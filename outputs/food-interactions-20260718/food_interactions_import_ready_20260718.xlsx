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4bdc1b1630444b" /></Relationships>
</file>

<file path=xl/workbook.xml><?xml version="1.0" encoding="utf-8"?>
<x:workbook xmlns:x="http://schemas.openxmlformats.org/spreadsheetml/2006/main">
  <x:sheets>
    <x:sheet xmlns:r="http://schemas.openxmlformats.org/officeDocument/2006/relationships" name="Food_Interactions" sheetId="1" r:id="R78790312100d432d"/>
    <x:sheet xmlns:r="http://schemas.openxmlformats.org/officeDocument/2006/relationships" name="Food_Evidence" sheetId="2" r:id="R4892e1d9f11144ba"/>
    <x:sheet xmlns:r="http://schemas.openxmlformats.org/officeDocument/2006/relationships" name="Food_QA" sheetId="3" r:id="R09cabe44c0e94977"/>
    <x:sheet xmlns:r="http://schemas.openxmlformats.org/officeDocument/2006/relationships" name="Import_Ready" sheetId="4" r:id="Ra0f6ecc69fac419e"/>
    <x:sheet xmlns:r="http://schemas.openxmlformats.org/officeDocument/2006/relationships" name="Pair_Decisions" sheetId="5" r:id="R39057afcd85a4e1d"/>
    <x:sheet xmlns:r="http://schemas.openxmlformats.org/officeDocument/2006/relationships" name="QA_Final" sheetId="6" r:id="R0c7c0a0897d14c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0"/>
      <x:color rgb="FFFFFFFF"/>
      <x:name val="Aptos"/>
    </x:font>
    <x:font>
      <x:sz val="10"/>
      <x:name val="Aptos"/>
    </x:font>
    <x:font>
      <x:b/>
      <x:sz val="16"/>
      <x:color rgb="FFFFFFFF"/>
      <x:name val="Aptos"/>
    </x:font>
    <x:font>
      <x:sz val="10"/>
      <x:color rgb="FF7F2704"/>
      <x:name val="Aptos"/>
    </x:font>
    <x:font>
      <x:b/>
      <x:sz val="11"/>
      <x:color rgb="FFFFFFFF"/>
      <x:name val="Carlito"/>
    </x:font>
    <x:font>
      <x:b/>
      <x:sz val="11"/>
      <x:color rgb="FF075985"/>
      <x:name val="Carlito"/>
    </x:font>
    <x:font>
      <x:b/>
      <x:sz val="18"/>
      <x:color rgb="FFFFFFFF"/>
      <x:name val="Carlito"/>
    </x:font>
    <x:font>
      <x:sz val="11"/>
      <x:color rgb="FF374151"/>
      <x:name val="Carlito"/>
    </x:font>
  </x:fonts>
  <x:fills count="11">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FCE4D6"/>
      </x:patternFill>
    </x:fill>
    <x:fill>
      <x:patternFill patternType="solid">
        <x:fgColor rgb="FF164E63"/>
      </x:patternFill>
    </x:fill>
    <x:fill>
      <x:patternFill patternType="solid">
        <x:fgColor rgb="FFE0F2FE"/>
      </x:patternFill>
    </x:fill>
    <x:fill>
      <x:patternFill patternType="solid">
        <x:fgColor rgb="FF1E3A5F"/>
      </x:patternFill>
    </x:fill>
    <x:fill>
      <x:patternFill patternType="solid">
        <x:fgColor rgb="FF111827"/>
      </x:patternFill>
    </x:fill>
    <x:fill>
      <x:patternFill patternType="solid">
        <x:fgColor rgb="FFE5E7EB"/>
      </x:patternFill>
    </x:fill>
    <x:fill>
      <x:patternFill patternType="solid">
        <x:fgColor rgb="FF7C2D12"/>
      </x:patternFill>
    </x:fill>
  </x:fills>
  <x:borders count="14">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medium">
        <x:color rgb="FFC65911"/>
      </x:left>
      <x:top style="medium">
        <x:color rgb="FFC65911"/>
      </x:top>
    </x:border>
    <x:border>
      <x:top style="medium">
        <x:color rgb="FFC65911"/>
      </x:top>
    </x:border>
    <x:border>
      <x:right style="medium">
        <x:color rgb="FFC65911"/>
      </x:right>
      <x:top style="medium">
        <x:color rgb="FFC65911"/>
      </x:top>
    </x:border>
    <x:border>
      <x:left style="medium">
        <x:color rgb="FFC65911"/>
      </x:left>
    </x:border>
    <x:border>
      <x:right style="medium">
        <x:color rgb="FFC65911"/>
      </x:right>
    </x:border>
    <x:border>
      <x:left style="medium">
        <x:color rgb="FFC65911"/>
      </x:left>
      <x:bottom style="medium">
        <x:color rgb="FFC65911"/>
      </x:bottom>
    </x:border>
    <x:border>
      <x:bottom style="medium">
        <x:color rgb="FFC65911"/>
      </x:bottom>
    </x:border>
    <x:border>
      <x:right style="medium">
        <x:color rgb="FFC65911"/>
      </x:right>
      <x:bottom style="medium">
        <x:color rgb="FFC65911"/>
      </x:bottom>
    </x:border>
    <x:border>
      <x:left style="thin">
        <x:color rgb="FFD8E3E7"/>
      </x:left>
      <x:right style="thin">
        <x:color rgb="FFD8E3E7"/>
      </x:right>
      <x:top style="thin">
        <x:color rgb="FFD8E3E7"/>
      </x:top>
      <x:bottom style="thin">
        <x:color rgb="FFD8E3E7"/>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7"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8" xfId="0" applyNumberFormat="1" applyFont="1" applyFill="1" applyBorder="1" applyAlignment="1">
      <x:alignment wrapText="1"/>
    </x:xf>
    <x:xf numFmtId="0" fontId="4" fillId="4" borderId="9" xfId="0" applyNumberFormat="1" applyFont="1" applyFill="1" applyBorder="1" applyAlignment="1">
      <x:alignment wrapText="1"/>
    </x:xf>
    <x:xf numFmtId="0" fontId="4" fillId="4" borderId="10" xfId="0" applyNumberFormat="1" applyFont="1" applyFill="1" applyBorder="1" applyAlignment="1">
      <x:alignment wrapText="1"/>
    </x:xf>
    <x:xf numFmtId="0" fontId="4" fillId="4" borderId="11" xfId="0" applyNumberFormat="1" applyFont="1" applyFill="1" applyBorder="1" applyAlignment="1">
      <x:alignment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8" xfId="0" applyNumberFormat="1" applyFont="1" applyFill="1" applyBorder="1" applyAlignment="1">
      <x:alignment vertical="top" wrapText="1"/>
    </x:xf>
    <x:xf numFmtId="0" fontId="4" fillId="4" borderId="9" xfId="0" applyNumberFormat="1" applyFont="1" applyFill="1" applyBorder="1" applyAlignment="1">
      <x:alignment vertical="top" wrapText="1"/>
    </x:xf>
    <x:xf numFmtId="0" fontId="4" fillId="4" borderId="10" xfId="0" applyNumberFormat="1" applyFont="1" applyFill="1" applyBorder="1" applyAlignment="1">
      <x:alignment vertical="top" wrapText="1"/>
    </x:xf>
    <x:xf numFmtId="0" fontId="4" fillId="4" borderId="1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12" xfId="0" applyNumberFormat="1" applyFont="1" applyFill="1" applyBorder="1"/>
    <x:xf numFmtId="0" fontId="5" fillId="5" borderId="12" xfId="0" applyNumberFormat="1" applyFont="1" applyFill="1" applyBorder="1" applyAlignment="1">
      <x:alignment wrapText="1"/>
    </x:xf>
    <x:xf numFmtId="0" fontId="5" fillId="5" borderId="12" xfId="0" applyNumberFormat="1" applyFont="1" applyFill="1" applyBorder="1" applyAlignment="1">
      <x:alignment vertical="center" wrapText="1"/>
    </x:xf>
    <x:xf numFmtId="0" fontId="0" fillId="0" borderId="12" xfId="0" applyNumberFormat="1" applyFont="1" applyFill="1" applyBorder="1"/>
    <x:xf numFmtId="0" fontId="0" fillId="0" borderId="12" xfId="0" applyNumberFormat="1" applyFont="1" applyFill="1" applyBorder="1" applyAlignment="1">
      <x:alignment wrapText="1"/>
    </x:xf>
    <x:xf numFmtId="0" fontId="0" fillId="0" borderId="12" xfId="0" applyNumberFormat="1" applyFont="1" applyFill="1" applyBorder="1" applyAlignment="1">
      <x:alignment vertical="top" wrapText="1"/>
    </x:xf>
    <x:xf numFmtId="0" fontId="0" fillId="0" borderId="12" xfId="0" applyNumberFormat="1" applyFont="1" applyFill="1" applyBorder="1" applyAlignment="1">
      <x:alignment vertical="top" wrapText="0"/>
    </x:xf>
    <x:xf numFmtId="0" fontId="0" fillId="6" borderId="12"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0" fontId="6" fillId="6" borderId="12" xfId="0" applyNumberFormat="1" applyFont="1" applyFill="1" applyBorder="1" applyAlignment="1">
      <x:alignment horizontal="center" vertical="top" wrapText="1"/>
    </x:xf>
    <x:xf numFmtId="0" fontId="0" fillId="7" borderId="0" xfId="0" applyNumberFormat="1" applyFont="1" applyFill="1" applyBorder="1"/>
    <x:xf numFmtId="0" fontId="5" fillId="7" borderId="0" xfId="0" applyNumberFormat="1" applyFont="1" applyFill="1" applyBorder="1"/>
    <x:xf numFmtId="0" fontId="5" fillId="7" borderId="12" xfId="0" applyNumberFormat="1" applyFont="1" applyFill="1" applyBorder="1"/>
    <x:xf numFmtId="0" fontId="5" fillId="7" borderId="12" xfId="0" applyNumberFormat="1" applyFont="1" applyFill="1" applyBorder="1" applyAlignment="1">
      <x:alignment wrapText="1"/>
    </x:xf>
    <x:xf numFmtId="0" fontId="5" fillId="7" borderId="12" xfId="0" applyNumberFormat="1" applyFont="1" applyFill="1" applyBorder="1" applyAlignment="1">
      <x:alignment vertical="center"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horizontal="left"/>
    </x:xf>
    <x:xf numFmtId="0" fontId="7" fillId="8" borderId="0" xfId="0" applyNumberFormat="1" applyFont="1" applyFill="1" applyBorder="1" applyAlignment="1">
      <x:alignment horizontal="left" vertical="center"/>
    </x:xf>
    <x:xf numFmtId="0" fontId="0" fillId="9" borderId="0" xfId="0" applyNumberFormat="1" applyFont="1" applyFill="1" applyBorder="1"/>
    <x:xf numFmtId="0" fontId="8" fillId="9" borderId="0" xfId="0" applyNumberFormat="1" applyFont="1" applyFill="1" applyBorder="1"/>
    <x:xf numFmtId="0" fontId="0" fillId="0" borderId="12" xfId="0" applyNumberFormat="1" applyFont="1" applyFill="1" applyBorder="1" applyAlignment="1">
      <x:alignment vertical="center"/>
    </x:xf>
    <x:xf numFmtId="200" fontId="0" fillId="0" borderId="12"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5" fillId="10" borderId="12" xfId="0" applyNumberFormat="1" applyFont="1" applyFill="1" applyBorder="1"/>
    <x:xf numFmtId="0" fontId="5" fillId="10" borderId="12" xfId="0" applyNumberFormat="1" applyFont="1" applyFill="1" applyBorder="1" applyAlignment="1">
      <x:alignment wrapText="1"/>
    </x:xf>
    <x:xf numFmtId="0" fontId="5" fillId="10" borderId="12" xfId="0" applyNumberFormat="1" applyFont="1" applyFill="1" applyBorder="1" applyAlignment="1">
      <x:alignment vertical="center" wrapText="1"/>
    </x:xf>
    <x:xf numFmtId="0" fontId="0" fillId="0" borderId="13" xfId="0" applyNumberFormat="1" applyFont="1" applyFill="1" applyBorder="1"/>
    <x:xf numFmtId="0" fontId="0" fillId="0" borderId="13" xfId="0" applyNumberFormat="1" applyFont="1" applyFill="1" applyBorder="1" applyAlignment="1">
      <x:alignment wrapText="1"/>
    </x:xf>
    <x:xf numFmtId="0" fontId="0" fillId="0" borderId="13" xfId="0" applyNumberFormat="1" applyFont="1" applyFill="1" applyBorder="1" applyAlignment="1">
      <x:alignment vertical="center" wrapText="1"/>
    </x:xf>
  </x:cellXfs>
  <x:cellStyles count="1">
    <x:cellStyle name="Normal" xfId="0"/>
  </x:cellStyles>
  <x:dxfs count="15">
    <x:dxf>
      <x:font>
        <x:b/>
        <x:color rgb="FFC00000"/>
      </x:font>
      <x:fill>
        <x:patternFill>
          <x:bgColor rgb="FFF4CCCC"/>
        </x:patternFill>
      </x:fill>
    </x:dxf>
    <x:dxf>
      <x:font>
        <x:b/>
        <x:color rgb="FFC65911"/>
      </x:font>
      <x:fill>
        <x:patternFill>
          <x:bgColor rgb="FFFCE4D6"/>
        </x:patternFill>
      </x:fill>
    </x:dxf>
    <x:dxf>
      <x:font>
        <x:b/>
        <x:color rgb="FFC65911"/>
      </x:font>
      <x:fill>
        <x:patternFill>
          <x:bgColor rgb="FFFCE4D6"/>
        </x:patternFill>
      </x:fill>
    </x:dxf>
    <x:dxf>
      <x:font>
        <x:b/>
        <x:color rgb="FFC65911"/>
      </x:font>
      <x:fill>
        <x:patternFill>
          <x:bgColor rgb="FFFCE4D6"/>
        </x:patternFill>
      </x:fill>
    </x:dxf>
    <x:dxf>
      <x:font>
        <x:b/>
        <x:color rgb="FFC00000"/>
      </x:font>
      <x:fill>
        <x:patternFill>
          <x:bgColor rgb="FFF4CCCC"/>
        </x:patternFill>
      </x:fill>
    </x:dxf>
    <x:dxf>
      <x:font>
        <x:b/>
        <x:color rgb="FFC65911"/>
      </x:font>
      <x:fill>
        <x:patternFill>
          <x:bgColor rgb="FFFCE4D6"/>
        </x:patternFill>
      </x:fill>
    </x:dxf>
    <x:dxf>
      <x:font>
        <x:b/>
        <x:color rgb="FF548235"/>
      </x:font>
      <x:fill>
        <x:patternFill>
          <x:bgColor rgb="FFE2F0D9"/>
        </x:patternFill>
      </x:fill>
    </x:dxf>
    <x:dxf>
      <x:font>
        <x:b/>
        <x:color rgb="FFC00000"/>
      </x:font>
      <x:fill>
        <x:patternFill>
          <x:bgColor rgb="FFF4CCCC"/>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374151"/>
      </x:font>
      <x:fill>
        <x:patternFill patternType="solid">
          <x:bgColor rgb="FFF3F4F6"/>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53b715d8034339" /><Relationship Type="http://schemas.openxmlformats.org/officeDocument/2006/relationships/theme" Target="/xl/theme/theme1.xml" Id="R1dfbaa2817f74077" /><Relationship Type="http://schemas.openxmlformats.org/officeDocument/2006/relationships/sharedStrings" Target="/xl/sharedStrings.xml" Id="R2f27de718dd640b2" /><Relationship Type="http://schemas.openxmlformats.org/officeDocument/2006/relationships/worksheet" Target="/xl/worksheets/sheet1.xml" Id="R78790312100d432d" /><Relationship Type="http://schemas.openxmlformats.org/officeDocument/2006/relationships/worksheet" Target="/xl/worksheets/sheet2.xml" Id="R4892e1d9f11144ba" /><Relationship Type="http://schemas.openxmlformats.org/officeDocument/2006/relationships/worksheet" Target="/xl/worksheets/sheet3.xml" Id="R09cabe44c0e94977" /><Relationship Type="http://schemas.openxmlformats.org/officeDocument/2006/relationships/worksheet" Target="/xl/worksheets/sheet4.xml" Id="Ra0f6ecc69fac419e" /><Relationship Type="http://schemas.openxmlformats.org/officeDocument/2006/relationships/worksheet" Target="/xl/worksheets/sheet5.xml" Id="R39057afcd85a4e1d" /><Relationship Type="http://schemas.openxmlformats.org/officeDocument/2006/relationships/worksheet" Target="/xl/worksheets/sheet6.xml" Id="R0c7c0a0897d14cd6" /></Relationships>
</file>

<file path=xl/tables/table1.xml><?xml version="1.0" encoding="utf-8"?>
<x:table xmlns:x="http://schemas.openxmlformats.org/spreadsheetml/2006/main" id="1" name="FoodInteractionsStandaloneTable" displayName="FoodInteractionsStandaloneTable" ref="A1:L10" headerRowCount="1" totalsRowCount="0" totalsRowShown="0">
  <x:tableColumns count="12">
    <x:tableColumn id="1" name="code"/>
    <x:tableColumn id="2" name="food_th"/>
    <x:tableColumn id="3" name="keywords"/>
    <x:tableColumn id="4" name="medicine_codes"/>
    <x:tableColumn id="5" name="disease_codes"/>
    <x:tableColumn id="6" name="severity"/>
    <x:tableColumn id="7" name="description_th"/>
    <x:tableColumn id="8" name="dataset_version"/>
    <x:tableColumn id="9" name="reviewed_at"/>
    <x:tableColumn id="10" name="status"/>
    <x:tableColumn id="11" name="source_references"/>
    <x:tableColumn id="12" name="review_notes"/>
  </x:tableColumns>
  <x:tableStyleInfo name="TableStyleMedium2" showFirstColumn="0" showLastColumn="0" showRowStripes="1" showColumnStripes="0"/>
</x:table>
</file>

<file path=xl/tables/table2.xml><?xml version="1.0" encoding="utf-8"?>
<x:table xmlns:x="http://schemas.openxmlformats.org/spreadsheetml/2006/main" id="2" name="FoodEvidenceStandaloneTable" displayName="FoodEvidenceStandaloneTable" ref="A1:O109" headerRowCount="1" totalsRowCount="0" totalsRowShown="0">
  <x:tableColumns count="15">
    <x:tableColumn id="1" name="drug_code"/>
    <x:tableColumn id="2" name="food_code"/>
    <x:tableColumn id="3" name="food_th"/>
    <x:tableColumn id="4" name="severity"/>
    <x:tableColumn id="5" name="recommendation"/>
    <x:tableColumn id="6" name="document_id"/>
    <x:tableColumn id="7" name="document_type"/>
    <x:tableColumn id="8" name="source_page"/>
    <x:tableColumn id="9" name="source_url"/>
    <x:tableColumn id="10" name="evidence_excerpt"/>
    <x:tableColumn id="11" name="disease_codes"/>
    <x:tableColumn id="12" name="confidence"/>
    <x:tableColumn id="13" name="decision"/>
    <x:tableColumn id="14" name="review_reason"/>
    <x:tableColumn id="15" name="medicine_sql_read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031b7d171e4e6b" /></Relationships>
</file>

<file path=xl/worksheets/_rels/sheet2.xml.rels>&#65279;<?xml version="1.0" encoding="utf-8"?><Relationships xmlns="http://schemas.openxmlformats.org/package/2006/relationships"><Relationship Type="http://schemas.openxmlformats.org/officeDocument/2006/relationships/table" Target="/xl/tables/table2.xml" Id="R098a5b0dcc58441b"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50" hidden="0" customWidth="1"/>
    <x:col min="4" max="4" width="78" hidden="0" customWidth="1"/>
    <x:col min="5" max="5" width="26" hidden="0" customWidth="1"/>
    <x:col min="6" max="6" width="14" hidden="0" customWidth="1"/>
    <x:col min="7" max="7" width="58" hidden="0" customWidth="1"/>
    <x:col min="8" max="8" width="16" hidden="0" customWidth="1"/>
    <x:col min="9" max="9" width="16" hidden="0" customWidth="1"/>
    <x:col min="10" max="10" width="16" hidden="0" customWidth="1"/>
    <x:col min="11" max="11" width="90" hidden="0" customWidth="1"/>
    <x:col min="12" max="12" width="62" hidden="0" customWidth="1"/>
  </x:cols>
  <x:sheetData>
    <x:row r="1">
      <x:c r="A1" s="9" t="str">
        <x:v>code</x:v>
      </x:c>
      <x:c r="B1" s="10" t="str">
        <x:v>food_th</x:v>
      </x:c>
      <x:c r="C1" s="10" t="str">
        <x:v>keywords</x:v>
      </x:c>
      <x:c r="D1" s="10" t="str">
        <x:v>medicine_codes</x:v>
      </x:c>
      <x:c r="E1" s="10" t="str">
        <x:v>disease_codes</x:v>
      </x:c>
      <x:c r="F1" s="10" t="str">
        <x:v>severity</x:v>
      </x:c>
      <x:c r="G1" s="10" t="str">
        <x:v>description_th</x:v>
      </x:c>
      <x:c r="H1" s="10" t="str">
        <x:v>dataset_version</x:v>
      </x:c>
      <x:c r="I1" s="10" t="str">
        <x:v>reviewed_at</x:v>
      </x:c>
      <x:c r="J1" s="10" t="str">
        <x:v>status</x:v>
      </x:c>
      <x:c r="K1" s="10" t="str">
        <x:v>source_references</x:v>
      </x:c>
      <x:c r="L1" s="11" t="str">
        <x:v>review_notes</x:v>
      </x:c>
    </x:row>
    <x:row r="2" ht="58" customHeight="1">
      <x:c r="A2" s="13" t="str">
        <x:v>alcohol</x:v>
      </x:c>
      <x:c r="B2" s="14" t="str">
        <x:v>แอลกอฮอล์/เครื่องดื่มแอลกอฮอล์</x:v>
      </x:c>
      <x:c r="C2" s="14" t="str">
        <x:v>["แอลกอฮอล์","สุรา","เหล้า","เบียร์","ไวน์","alcohol"]</x:v>
      </x:c>
      <x:c r="D2" s="14" t="str">
        <x:v>["atropine","cyclophosphamide","dextromethorphan_hydrobromide","diphenhydramine","disulfiram","doxycycline_hyclate","fenofibrate","fluoxetine","gliclazide","glipizide","griseofulvin","haloperidol","hydroxyzine","isoniazid","mefenamic_acid","metformin","methocarbamol","methotrexate","metoclopramide","metronidazole","mianserin","niclosamide","nortriptyline","paracetamol","pimozide","piroxicam","pizotifen_malate","propofol","simvastatin","theophylline","tinidazole","tramadol","trazodone"]</x:v>
      </x:c>
      <x:c r="E2" s="14" t="str">
        <x:v>[]</x:v>
      </x:c>
      <x:c r="F2" s="13" t="str">
        <x:v>severe</x:v>
      </x:c>
      <x:c r="G2" s="14" t="str">
        <x:v>อาหารหรือสารนี้อาจเกิดปฏิกิริยากับยาที่ระบุและอาจเป็นอันตราย ควรหลีกเลี่ยงและปรึกษาแพทย์หรือเภสัชกรก่อนใช้ร่วมกัน</x:v>
      </x:c>
      <x:c r="H2" s="13" t="n">
        <x:v>2</x:v>
      </x:c>
      <x:c r="I2" s="13"/>
      <x:c r="J2" s="13" t="str">
        <x:v>draft</x:v>
      </x:c>
      <x:c r="K2" s="15" t="str">
        <x:v>["https://drug.fda.moph.go.th/media.php?id=808542706069544960&amp;name=Fenofibrate_capsule, tablet_PIL.pdf#page=1","https://drug.fda.moph.go.th/media.php?id=808571302360260608&amp;name=SmPC - Haloperidol ORAL SOLUTION.pdf#page=11","https://drug.fda.moph.go.th/media.php?id=808604508509839360&amp;name=Pizotifen_sugarcoatedtablet-syrup_PIL.pdf#page=1","https://drug.fda.moph.go.th/media.php?id=808610458117480448&amp;name=simvastatin_PIL.pdf#page=1","https://drug.fda.moph.go.th/media.php?id=808611857748336640&amp;name=Theophylline_compressedTablet_PIL.pdf#page=1","https://drug.fda.moph.go.th/media.php?id=809657437689880576&amp;name=SMPC_Atropine_Tablets.pdf#page=4","https://drug.fda.moph.go.th/media.php?id=809693226402455552&amp;name=SMPC_Cyclophosphamide_Powders for solutions for injections or infusions.pdf#page=12","https://drug.fda.moph.go.th/media.php?id=809693226402455552&amp;name=SMPC_Cyclophosphamide_Powders for solutions for injections or infusions.pdf#page=17","https://drug.fda.moph.go.th/media.php?id=810067905235525632&amp;name=SMPC_Dextromethorphan_Lozenge.pdf#page=3","https://drug.fda.moph.go.th/media.php?id=810068299789508608&amp;name=SMPC_Dextromethorphan_Syrup.pdf#page=3","https://drug.fda.moph.go.th/media.php?id=810072772666597376&amp;name=SMPC_Disulfiram_Tablets.pdf#page=1","https://drug.fda.moph.go.th/media.php?id=810072772666597376&amp;name=SMPC_Disulfiram_Tablets.pdf#page=3","https://drug.fda.moph.go.th/media.php?id=810072772666597376&amp;name=SMPC_Disulfiram_Tablets.pdf#page=4","https://drug.fda.moph.go.th/media.php?id=810072772666597376&amp;name=SMPC_Disulfiram_Tablets.pdf#page=6","https://drug.fda.moph.go.th/media.php?id=810074802814590976&amp;name=SMPC_Doxycycline_Tablet.pdf#page=9","https://drug.fda.moph.go.th/media.php?id=810173242932338688&amp;name=SMPC_Fluoxetine_Capsules.pdf#page=12","https://drug.fda.moph.go.th/media.php?id=810175347420176384&amp;name=SMPC_Gliclazide_Modified-release Tablets.pdf#page=7","https://drug.fda.moph.go.th/media.php?id=810175662185914368&amp;name=SMPC_Gliclazide_Tablets.pdf#page=6","https://drug.fda.moph.go.th/media.php?id=810176024078852096&amp;name=SMPC_Glipizide_Tablets.pdf#page=5","https://drug.fda.moph.go.th/media.php?id=810180959625420800&amp;name=SMPC_Griseofulvin_Film-coated tablet.pdf#page=6","https://drug.fda.moph.go.th/media.php?id=810382200729116672&amp;name=SMPC_Hydroxyzine_Film-coated tablets.pdf#page=6","https://drug.fda.moph.go.th/media.php?id=810410734201741312&amp;name=SMPC_Mefenamic acid_Capsules.pdf#page=6","https://drug.fda.moph.go.th/media.php?id=810411685197258752&amp;name=SMPC_Metformin_Film-coated Tablet.pdf#page=7","https://drug.fda.moph.go.th/media.php?id=810412334496489472&amp;name=SMPC_Methocarbamol_Film-coated Tablet.pdf#page=4","https://drug.fda.moph.go.th/media.php?id=810414829838934016&amp;name=SMPC_Metoclopramide_Tablets.pdf#page=7","https://drug.fda.moph.go.th/media.php?id=810415338977107968&amp;name=SMPC_Metoclopramide_solution for infusion.pdf#page=10","https://drug.fda.moph.go.th/media.php?id=810416020589256704&amp;name=SMPC_Metoclopramide_Oral Solution.pdf#page=6","https://drug.fda.moph.go.th/media.php?id=810416555195244544&amp;name=SMPC_Metronidazole_Tablets.pdf#page=7","https://drug.fda.moph.go.th/media.php?id=810416973254107136&amp;name=SMPC_Metronidazole_Solutions for injections or infusions.pdf#page=8","https://drug.fda.moph.go.th/media.php?id=810417450431684608&amp;name=SMPC_Mianserin_Tablets.pdf#page=6","https://drug.fda.moph.go.th/media.php?id=810424052261986304&amp;name=SMPC_Nortriptyline_Film-coated Tablet.pdf#page=9","https://drug.fda.moph.go.th/media.php?id=810427720377966592&amp;name=SMPC_Paracetamol_Capsules.pdf#page=2","https://drug.fda.moph.go.th/media.php?id=810427720377966592&amp;name=SMPC_Paracetamol_Capsules.pdf#page=4","https://drug.fda.moph.go.th/media.php?id=810427720377966592&amp;name=SMPC_Paracetamol_Capsules.pdf#page=7","https://drug.fda.moph.go.th/media.php?id=810428236826812416&amp;name=SMPC_Paracetamol_Elixir.pdf#page=2","https://drug.fda.moph.go.th/media.php?id=810428236826812416&amp;name=SMPC_Paracetamol_Elixir.pdf#page=4","https://drug.fda.moph.go.th/media.php?id=810428236826812416&amp;name=SMPC_Paracetamol_Elixir.pdf#page=7","https://drug.fda.moph.go.th/media.php?id=810428697118121984&amp;name=SMPC_Paracetamol_Solutions for injections or infusions.pdf#page=5","https://drug.fda.moph.go.th/media.php?id=810428697118121984&amp;name=SMPC_Paracetamol_Solutions for injections or infusions.pdf#page=6","https://drug.fda.moph.go.th/media.php?id=810428697118121984&amp;name=SMPC_Paracetamol_Solutions for injections or infusions.pdf#page=9","https://drug.fda.moph.go.th/media.php?id=810429112165474304&amp;name=SMPC_Paracetamol_Syrup.pdf#page=2","https://drug.fda.moph.go.th/media.php?id=810429112165474304&amp;name=SMPC_Paracetamol_Syrup.pdf#page=4","https://drug.fda.moph.go.th/media.php?id=810429112165474304&amp;name=SMPC_Paracetamol_Syrup.pdf#page=7","https://drug.fda.moph.go.th/media.php?id=810429959502962688&amp;name=SMPC_Paracetamol_suspension.pdf#page=2","https://drug.fda.moph.go.th/media.php?id=810429959502962688&amp;name=SMPC_Paracetamol_suspension.pdf#page=4","https://drug.fda.moph.go.th/media.php?id=810429959502962688&amp;name=SMPC_Paracetamol_suspension.pdf#page=7","https://drug.fda.moph.go.th/media.php?id=810430466103582720&amp;name=SMPC_Paracetamol_Tablet.pdf#page=2","https://drug.fda.moph.go.th/media.php?id=810430466103582720&amp;name=SMPC_Paracetamol_Tablet.pdf#page=4","https://drug.fda.moph.go.th/media.php?id=810430466103582720&amp;name=SMPC_Paracetamol_Tablet.pdf#page=7","https://drug.fda.moph.go.th/media.php?id=810432738745262080&amp;name=SMPC_Pimozide_Tablet.pdf#page=9","https://drug.fda.moph.go.th/media.php?id=810433390829510656&amp;name=SMPC_Piroxicam_Capsules.pdf#page=4","https://drug.fda.moph.go.th/media.php?id=810482703316164608&amp;name=SMPC_Tinidazole_Film-coated Tablet.pdf#page=6","https://drug.fda.moph.go.th/media.php?id=810482703316164608&amp;name=SMPC_Tinidazole_Film-coated Tablet.pdf#page=7","https://drug.fda.moph.go.th/media.php?id=810483663501402112&amp;name=SMPC_Tramadol_Capsules.pdf#page=8","https://drug.fda.moph.go.th/media.php?id=810484035766853632&amp;name=SMPC_Tramadol_solution for injection or infusion.pdf#page=9","https://drug.fda.moph.go.th/media.php?id=810484413367459840&amp;name=SMPC_Trazodone_Tablets.pdf#page=11","https://drug.fda.moph.go.th/media.php?id=862918385716043776&amp;name=47.Trazodone_tablet_PIL.pdf#page=1","https://drug.fda.moph.go.th/media.php?id=862918386374549504&amp;name=42.Disulfiram_Tablets_PIL.pdf#page=1","https://drug.fda.moph.go.th/media.php?id=862918387037249536&amp;name=38.Pimozide_Tablets_PIL_final.pdf#page=1","https://drug.fda.moph.go.th/media.php?id=862918387754475520&amp;name=36.Niclosamide_Tablets_PIL_final.pdf#page=1","https://drug.fda.moph.go.th/media.php?id=862918388467507200&amp;name=33. isoniazid_tablets_PIL_final.pdf#page=1","https://drug.fda.moph.go.th/media.php?id=862918389411225600&amp;name=15.Methotrexate_Inj_PIL_final.pdf#page=1","https://drug.fda.moph.go.th/media.php?id=862918391248330752&amp;name=11. Cyclophosphamide_inj_PIL_final.pdf#page=1","https://drug.fda.moph.go.th/media.php?id=862918393693609984&amp;name=12.Cyclophosphamide_Tablets_PIL_final.pdf#page=1","https://drug.fda.moph.go.th/media.php?id=862918394234675200&amp;name=30. Diphenhydramine_tablet_PIL_Final.pdf#page=1","https://drug.fda.moph.go.th/media.php?id=904966130077147136&amp;name=4. Ref SmPC_PROPOFOL.pdf#page=11","https://drug.fda.moph.go.th/media.php?id=904966130077147136&amp;name=4. Ref SmPC_PROPOFOL.pdf#page=12"]</x:v>
      </x:c>
      <x:c r="L2" s="14" t="str">
        <x:v>สกัดจาก Ref. PIL/SmPC ของ อย.; ต้องให้ Clinical reviewer ตรวจสอบก่อนเผยแพร่ (หลักฐาน 69 รายการ)</x:v>
      </x:c>
    </x:row>
    <x:row r="3" ht="58" customHeight="1">
      <x:c r="A3" s="13" t="str">
        <x:v>calcium_fortified_drinks</x:v>
      </x:c>
      <x:c r="B3" s="14" t="str">
        <x:v>เครื่องดื่มเสริมแคลเซียม (เช่น น้ำส้มเสริมแคลเซียม)</x:v>
      </x:c>
      <x:c r="C3" s="14" t="str">
        <x:v>["เครื่องดื่มเสริมแคลเซียม","น้ำส้มเสริมแคลเซียม","calcium-fortified drinks","calcium-fortified orange juice"]</x:v>
      </x:c>
      <x:c r="D3" s="14" t="str">
        <x:v>["ciprofloxacin"]</x:v>
      </x:c>
      <x:c r="E3" s="14" t="str">
        <x:v>[]</x:v>
      </x:c>
      <x:c r="F3" s="13" t="str">
        <x:v>moderate</x:v>
      </x:c>
      <x:c r="G3" s="14" t="str">
        <x:v>อาหารหรือสารนี้อาจเปลี่ยนผลหรือการดูดซึมของยาที่ระบุ ควรตรวจสอบวิธีใช้และปรึกษาแพทย์หรือเภสัชกร</x:v>
      </x:c>
      <x:c r="H3" s="13" t="n">
        <x:v>2</x:v>
      </x:c>
      <x:c r="I3" s="13"/>
      <x:c r="J3" s="13" t="str">
        <x:v>draft</x:v>
      </x:c>
      <x:c r="K3" s="15" t="str">
        <x:v>["https://drug.fda.moph.go.th/media.php?id=842359238230679552&amp;name=SmPC Ciprofloxacin film-coated tablets.pdf#page=15","https://drug.fda.moph.go.th/media.php?id=842360112483016704&amp;name=SmPC Ciprofloxacin hydrochloride tablet.pdf#page=17"]</x:v>
      </x:c>
      <x:c r="L3" s="14" t="str">
        <x:v>สกัดจาก Ref. PIL/SmPC ของ อย.; ต้องให้ Clinical reviewer ตรวจสอบก่อนเผยแพร่ (หลักฐาน 2 รายการ)</x:v>
      </x:c>
    </x:row>
    <x:row r="4" ht="58" customHeight="1">
      <x:c r="A4" s="13" t="str">
        <x:v>food_meal</x:v>
      </x:c>
      <x:c r="B4" s="14" t="str">
        <x:v>อาหาร/มื้ออาหารทั่วไป</x:v>
      </x:c>
      <x:c r="C4" s="14" t="str">
        <x:v>["อาหาร","มื้ออาหาร","ท้องว่าง","with food","without food","fasting"]</x:v>
      </x:c>
      <x:c r="D4" s="14" t="str">
        <x:v>["bromhexine","rifampicin","terbutaline"]</x:v>
      </x:c>
      <x:c r="E4" s="14" t="str">
        <x:v>[]</x:v>
      </x:c>
      <x:c r="F4" s="13" t="str">
        <x:v>moderate</x:v>
      </x:c>
      <x:c r="G4" s="14" t="str">
        <x:v>อาหารหรือสารนี้อาจเปลี่ยนผลหรือการดูดซึมของยาที่ระบุ ควรตรวจสอบวิธีใช้และปรึกษาแพทย์หรือเภสัชกร</x:v>
      </x:c>
      <x:c r="H4" s="13" t="n">
        <x:v>2</x:v>
      </x:c>
      <x:c r="I4" s="13"/>
      <x:c r="J4" s="13" t="str">
        <x:v>draft</x:v>
      </x:c>
      <x:c r="K4" s="15" t="str">
        <x:v>["https://drug.fda.moph.go.th/media.php?id=809661846922600448&amp;name=SMPC_Bromhexine_Tablets.pdf#page=6","https://drug.fda.moph.go.th/media.php?id=810448559467012096&amp;name=SMPC_Rifampicin_Tablets.pdf#page=18","https://drug.fda.moph.go.th/media.php?id=810466986881589248&amp;name=SMPC_Terbutaline_Solution for injection or infusion.pdf#page=15","https://drug.fda.moph.go.th/media.php?id=810467535672713216&amp;name=SMPC_Terbutaline_Syrup.pdf#page=8"]</x:v>
      </x:c>
      <x:c r="L4" s="14" t="str">
        <x:v>สกัดจาก Ref. PIL/SmPC ของ อย.; ต้องให้ Clinical reviewer ตรวจสอบก่อนเผยแพร่ (หลักฐาน 4 รายการ)</x:v>
      </x:c>
    </x:row>
    <x:row r="5" ht="58" customHeight="1">
      <x:c r="A5" s="13" t="str">
        <x:v>grapefruit</x:v>
      </x:c>
      <x:c r="B5" s="14" t="str">
        <x:v>เกรปฟรุต/น้ำเกรปฟรุต</x:v>
      </x:c>
      <x:c r="C5" s="14" t="str">
        <x:v>["เกรปฟรุต","น้ำเกรปฟรุต","grapefruit","grapefruit juice"]</x:v>
      </x:c>
      <x:c r="D5" s="14" t="str">
        <x:v>["colchicine","felodipine"]</x:v>
      </x:c>
      <x:c r="E5" s="14" t="str">
        <x:v>[]</x:v>
      </x:c>
      <x:c r="F5" s="13" t="str">
        <x:v>moderate</x:v>
      </x:c>
      <x:c r="G5" s="14" t="str">
        <x:v>อาหารหรือสารนี้อาจเปลี่ยนผลหรือการดูดซึมของยาที่ระบุ ควรตรวจสอบวิธีใช้และปรึกษาแพทย์หรือเภสัชกร</x:v>
      </x:c>
      <x:c r="H5" s="13" t="n">
        <x:v>2</x:v>
      </x:c>
      <x:c r="I5" s="13"/>
      <x:c r="J5" s="13" t="str">
        <x:v>draft</x:v>
      </x:c>
      <x:c r="K5" s="15" t="str">
        <x:v>["https://drug.fda.moph.go.th/media.php?id=809692129914920960&amp;name=SMPC_Colchicine_Tablets.pdf#page=6","https://drug.fda.moph.go.th/media.php?id=810078823658954752&amp;name=SMPC_Felodipine_prolonged release tablets.pdf#page=5"]</x:v>
      </x:c>
      <x:c r="L5" s="14" t="str">
        <x:v>สกัดจาก Ref. PIL/SmPC ของ อย.; ต้องให้ Clinical reviewer ตรวจสอบก่อนเผยแพร่ (หลักฐาน 2 รายการ)</x:v>
      </x:c>
    </x:row>
    <x:row r="6" ht="58" customHeight="1">
      <x:c r="A6" s="13" t="str">
        <x:v>high_fat_meal</x:v>
      </x:c>
      <x:c r="B6" s="14" t="str">
        <x:v>อาหารหรือมื้ออาหารไขมันสูง</x:v>
      </x:c>
      <x:c r="C6" s="14" t="str">
        <x:v>["อาหารไขมันสูง","มื้ออาหารไขมันสูง","high-fat meal","fatty meal"]</x:v>
      </x:c>
      <x:c r="D6" s="14" t="str">
        <x:v>["albendazole","diclofenac","griseofulvin","mebendazole"]</x:v>
      </x:c>
      <x:c r="E6" s="14" t="str">
        <x:v>[]</x:v>
      </x:c>
      <x:c r="F6" s="13" t="str">
        <x:v>moderate</x:v>
      </x:c>
      <x:c r="G6" s="14" t="str">
        <x:v>อาหารหรือสารนี้อาจเปลี่ยนผลหรือการดูดซึมของยาที่ระบุ ควรตรวจสอบวิธีใช้และปรึกษาแพทย์หรือเภสัชกร</x:v>
      </x:c>
      <x:c r="H6" s="13" t="n">
        <x:v>2</x:v>
      </x:c>
      <x:c r="I6" s="13"/>
      <x:c r="J6" s="13" t="str">
        <x:v>draft</x:v>
      </x:c>
      <x:c r="K6" s="15" t="str">
        <x:v>["https://drug.fda.moph.go.th/media.php?id=809599347237986304&amp;name=SMPC_albendazole_tablet.pdf#page=14","https://drug.fda.moph.go.th/media.php?id=810069032811241472&amp;name=SMPC_Diclofenac_Prolonged-Release capsules.pdf#page=16","https://drug.fda.moph.go.th/media.php?id=810180959625420800&amp;name=SMPC_Griseofulvin_Film-coated tablet.pdf#page=14","https://drug.fda.moph.go.th/media.php?id=810180959625420800&amp;name=SMPC_Griseofulvin_Film-coated tablet.pdf#page=2","https://drug.fda.moph.go.th/media.php?id=810180959625420800&amp;name=SMPC_Griseofulvin_Film-coated tablet.pdf#page=5","https://drug.fda.moph.go.th/media.php?id=810409612485468160&amp;name=SMPC_Mebendazole_oral suspension.pdf#page=7"]</x:v>
      </x:c>
      <x:c r="L6" s="14" t="str">
        <x:v>สกัดจาก Ref. PIL/SmPC ของ อย.; ต้องให้ Clinical reviewer ตรวจสอบก่อนเผยแพร่ (หลักฐาน 6 รายการ)</x:v>
      </x:c>
    </x:row>
    <x:row r="7" ht="58" customHeight="1">
      <x:c r="A7" s="13" t="str">
        <x:v>high_protein_meal</x:v>
      </x:c>
      <x:c r="B7" s="14" t="str">
        <x:v>อาหารหรือมื้ออาหารโปรตีนสูง</x:v>
      </x:c>
      <x:c r="C7" s="14" t="str">
        <x:v>["อาหารโปรตีนสูง","มื้ออาหารโปรตีนสูง","high-protein meal"]</x:v>
      </x:c>
      <x:c r="D7" s="14" t="str">
        <x:v>["carbidopa_levodopa"]</x:v>
      </x:c>
      <x:c r="E7" s="14" t="str">
        <x:v>[]</x:v>
      </x:c>
      <x:c r="F7" s="13" t="str">
        <x:v>moderate</x:v>
      </x:c>
      <x:c r="G7" s="14" t="str">
        <x:v>อาหารหรือสารนี้อาจเปลี่ยนผลหรือการดูดซึมของยาที่ระบุ ควรตรวจสอบวิธีใช้และปรึกษาแพทย์หรือเภสัชกร</x:v>
      </x:c>
      <x:c r="H7" s="13" t="n">
        <x:v>2</x:v>
      </x:c>
      <x:c r="I7" s="13"/>
      <x:c r="J7" s="13" t="str">
        <x:v>draft</x:v>
      </x:c>
      <x:c r="K7" s="15" t="str">
        <x:v>["https://drug.fda.moph.go.th/media.php?id=904601732791803904&amp;name=8. ref PIL_Carbidopa+Levodopa.pdf#page=1","https://drug.fda.moph.go.th/media.php?id=904601733693579264&amp;name=8. Ref SmPC_Carbidopa+Levodopa.pdf#page=10"]</x:v>
      </x:c>
      <x:c r="L7" s="14" t="str">
        <x:v>สกัดจาก Ref. PIL/SmPC ของ อย.; ต้องให้ Clinical reviewer ตรวจสอบก่อนเผยแพร่ (หลักฐาน 2 รายการ)</x:v>
      </x:c>
    </x:row>
    <x:row r="8" ht="58" customHeight="1">
      <x:c r="A8" s="13" t="str">
        <x:v>milk_dairy</x:v>
      </x:c>
      <x:c r="B8" s="14" t="str">
        <x:v>นมและผลิตภัณฑ์จากนม</x:v>
      </x:c>
      <x:c r="C8" s="14" t="str">
        <x:v>["นม","ผลิตภัณฑ์นม","โยเกิร์ต","ชีส","milk","dairy"]</x:v>
      </x:c>
      <x:c r="D8" s="14" t="str">
        <x:v>["bisacodyl","ciprofloxacin","ferrous","oxytetracycline","tetracycline","zinc"]</x:v>
      </x:c>
      <x:c r="E8" s="14" t="str">
        <x:v>[]</x:v>
      </x:c>
      <x:c r="F8" s="13" t="str">
        <x:v>moderate</x:v>
      </x:c>
      <x:c r="G8" s="14" t="str">
        <x:v>อาหารหรือสารนี้อาจเปลี่ยนผลหรือการดูดซึมของยาที่ระบุ ควรตรวจสอบวิธีใช้และปรึกษาแพทย์หรือเภสัชกร</x:v>
      </x:c>
      <x:c r="H8" s="13" t="n">
        <x:v>2</x:v>
      </x:c>
      <x:c r="I8" s="13"/>
      <x:c r="J8" s="13" t="str">
        <x:v>draft</x:v>
      </x:c>
      <x:c r="K8" s="15" t="str">
        <x:v>["https://drug.fda.moph.go.th/media.php?id=809660019980247040&amp;name=SMPC_Bisacodyl_Gastro-resistant tablets.pdf#page=4","https://drug.fda.moph.go.th/media.php?id=810081060158316544&amp;name=SMPC_Ferrous sulfate_film-coated tablets.pdf#page=5","https://drug.fda.moph.go.th/media.php?id=810426784758767616&amp;name=SMPC_Oxytetracycline_Capsules.pdf#page=10","https://drug.fda.moph.go.th/media.php?id=810426784758767616&amp;name=SMPC_Oxytetracycline_Capsules.pdf#page=4","https://drug.fda.moph.go.th/media.php?id=810426784758767616&amp;name=SMPC_Oxytetracycline_Capsules.pdf#page=6","https://drug.fda.moph.go.th/media.php?id=810426784758767616&amp;name=SMPC_Oxytetracycline_Capsules.pdf#page=9","https://drug.fda.moph.go.th/media.php?id=810476861875429376&amp;name=SMPC_Tetracycline_Tablets.pdf#page=11","https://drug.fda.moph.go.th/media.php?id=810476861875429376&amp;name=SMPC_Tetracycline_Tablets.pdf#page=2","https://drug.fda.moph.go.th/media.php?id=810476861875429376&amp;name=SMPC_Tetracycline_Tablets.pdf#page=6","https://drug.fda.moph.go.th/media.php?id=810495775787327488&amp;name=SMPC_Zinc sulfate_hardcapsules.pdf#page=3","https://drug.fda.moph.go.th/media.php?id=842359238230679552&amp;name=SmPC Ciprofloxacin film-coated tablets.pdf#page=15","https://drug.fda.moph.go.th/media.php?id=842359238230679552&amp;name=SmPC Ciprofloxacin film-coated tablets.pdf#page=5","https://drug.fda.moph.go.th/media.php?id=842360112483016704&amp;name=SmPC Ciprofloxacin hydrochloride tablet.pdf#page=17"]</x:v>
      </x:c>
      <x:c r="L8" s="14" t="str">
        <x:v>สกัดจาก Ref. PIL/SmPC ของ อย.; ต้องให้ Clinical reviewer ตรวจสอบก่อนเผยแพร่ (หลักฐาน 13 รายการ)</x:v>
      </x:c>
    </x:row>
    <x:row r="9" ht="58" customHeight="1">
      <x:c r="A9" s="13" t="str">
        <x:v>potassium_rich</x:v>
      </x:c>
      <x:c r="B9" s="14" t="str">
        <x:v>อาหารโพแทสเซียมสูง/เกลือทดแทนที่มีโพแทสเซียม</x:v>
      </x:c>
      <x:c r="C9" s="14" t="str">
        <x:v>["โพแทสเซียมสูง","เกลือทดแทน","potassium-rich","salt substitute"]</x:v>
      </x:c>
      <x:c r="D9" s="14" t="str">
        <x:v>["enalapril","hydrochlorothiazide_amiloride","lisinopril"]</x:v>
      </x:c>
      <x:c r="E9" s="14" t="str">
        <x:v>["kidney"]</x:v>
      </x:c>
      <x:c r="F9" s="13" t="str">
        <x:v>severe</x:v>
      </x:c>
      <x:c r="G9" s="14" t="str">
        <x:v>อาหารหรือสารนี้อาจเกิดปฏิกิริยากับยาที่ระบุและอาจเป็นอันตราย ควรหลีกเลี่ยงและปรึกษาแพทย์หรือเภสัชกรก่อนใช้ร่วมกัน</x:v>
      </x:c>
      <x:c r="H9" s="13" t="n">
        <x:v>2</x:v>
      </x:c>
      <x:c r="I9" s="13"/>
      <x:c r="J9" s="13" t="str">
        <x:v>draft</x:v>
      </x:c>
      <x:c r="K9" s="15" t="str">
        <x:v>["https://drug.fda.moph.go.th/media.php?id=810075899746721792&amp;name=SMPC_Enalapril_Tablets.pdf#page=10","https://drug.fda.moph.go.th/media.php?id=810075899746721792&amp;name=SMPC_Enalapril_Tablets.pdf#page=12","https://drug.fda.moph.go.th/media.php?id=810380894354415616&amp;name=SMPC_Amiloride+Hydrochlorothiazide _Tablets.pdf#page=3","https://drug.fda.moph.go.th/media.php?id=810405133153345536&amp;name=SMPC_Lisinopril_Tablets.pdf#page=14"]</x:v>
      </x:c>
      <x:c r="L9" s="14" t="str">
        <x:v>สกัดจาก Ref. PIL/SmPC ของ อย.; ต้องให้ Clinical reviewer ตรวจสอบก่อนเผยแพร่ (หลักฐาน 4 รายการ)</x:v>
      </x:c>
    </x:row>
    <x:row r="10" ht="58" customHeight="1">
      <x:c r="A10" s="13" t="str">
        <x:v>tea</x:v>
      </x:c>
      <x:c r="B10" s="14" t="str">
        <x:v>ชา</x:v>
      </x:c>
      <x:c r="C10" s="14" t="str">
        <x:v>["ชา","tea"]</x:v>
      </x:c>
      <x:c r="D10" s="14" t="str">
        <x:v>["ferrous"]</x:v>
      </x:c>
      <x:c r="E10" s="14" t="str">
        <x:v>[]</x:v>
      </x:c>
      <x:c r="F10" s="13" t="str">
        <x:v>moderate</x:v>
      </x:c>
      <x:c r="G10" s="14" t="str">
        <x:v>อาหารหรือสารนี้อาจเปลี่ยนผลหรือการดูดซึมของยาที่ระบุ ควรตรวจสอบวิธีใช้และปรึกษาแพทย์หรือเภสัชกร</x:v>
      </x:c>
      <x:c r="H10" s="13" t="n">
        <x:v>2</x:v>
      </x:c>
      <x:c r="I10" s="13"/>
      <x:c r="J10" s="13" t="str">
        <x:v>draft</x:v>
      </x:c>
      <x:c r="K10" s="15" t="str">
        <x:v>["https://drug.fda.moph.go.th/media.php?id=810079316368039936&amp;name=SMPC_Ferrous fumarate_Tablets.pdf#page=4","https://drug.fda.moph.go.th/media.php?id=810079681742249984&amp;name=SMPC_Ferrous fumarate_ syrup.pdf#page=4","https://drug.fda.moph.go.th/media.php?id=810081060158316544&amp;name=SMPC_Ferrous sulfate_film-coated tablets.pdf#page=5"]</x:v>
      </x:c>
      <x:c r="L10" s="14" t="str">
        <x:v>สกัดจาก Ref. PIL/SmPC ของ อย.; ต้องให้ Clinical reviewer ตรวจสอบก่อนเผยแพร่ (หลักฐาน 3 รายการ)</x:v>
      </x:c>
    </x:row>
  </x:sheetData>
  <x:conditionalFormatting sqref="F2:F10">
    <x:cfRule type="containsText" dxfId="0" priority="1" operator="containsText" text="severe"/>
    <x:cfRule type="containsText" dxfId="1" priority="2" operator="containsText" text="moderate"/>
  </x:conditionalFormatting>
  <x:conditionalFormatting sqref="J2:J10">
    <x:cfRule type="containsText" dxfId="2" priority="3" operator="containsText" text="draft"/>
  </x:conditionalFormatting>
  <x:dataValidations count="2">
    <x:dataValidation type="list" sqref="F2:F10">
      <x:formula1>"moderate,severe"</x:formula1>
    </x:dataValidation>
    <x:dataValidation type="list" sqref="J2:J10">
      <x:formula1>"draft,in_review,published,archived"</x:formula1>
    </x:dataValidation>
  </x:dataValidations>
  <x:pageMargins left="0.7" right="0.7" top="0.75" bottom="0.75" header="0.3" footer="0.3"/>
  <x:tableParts count="1">
    <x:tablePart xmlns:r="http://schemas.openxmlformats.org/officeDocument/2006/relationships" r:id="R66031b7d171e4e6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6" hidden="0" customWidth="1"/>
    <x:col min="3" max="3" width="38" hidden="0" customWidth="1"/>
    <x:col min="4" max="4" width="14" hidden="0" customWidth="1"/>
    <x:col min="5" max="5" width="16" hidden="0" customWidth="1"/>
    <x:col min="6" max="6" width="18" hidden="0" customWidth="1"/>
    <x:col min="7" max="7" width="14" hidden="0" customWidth="1"/>
    <x:col min="8" max="8" width="12" hidden="0" customWidth="1"/>
    <x:col min="9" max="9" width="68" hidden="0" customWidth="1"/>
    <x:col min="10" max="10" width="96" hidden="0" customWidth="1"/>
    <x:col min="11" max="11" width="26" hidden="0" customWidth="1"/>
    <x:col min="12" max="12" width="14" hidden="0" customWidth="1"/>
    <x:col min="13" max="13" width="16" hidden="0" customWidth="1"/>
    <x:col min="14" max="14" width="42" hidden="0" customWidth="1"/>
    <x:col min="15" max="15" width="20" hidden="0" customWidth="1"/>
  </x:cols>
  <x:sheetData>
    <x:row r="1">
      <x:c r="A1" s="9" t="str">
        <x:v>drug_code</x:v>
      </x:c>
      <x:c r="B1" s="10" t="str">
        <x:v>food_code</x:v>
      </x:c>
      <x:c r="C1" s="10" t="str">
        <x:v>food_th</x:v>
      </x:c>
      <x:c r="D1" s="10" t="str">
        <x:v>severity</x:v>
      </x:c>
      <x:c r="E1" s="10" t="str">
        <x:v>recommendation</x:v>
      </x:c>
      <x:c r="F1" s="10" t="str">
        <x:v>document_id</x:v>
      </x:c>
      <x:c r="G1" s="10" t="str">
        <x:v>document_type</x:v>
      </x:c>
      <x:c r="H1" s="10" t="str">
        <x:v>source_page</x:v>
      </x:c>
      <x:c r="I1" s="10" t="str">
        <x:v>source_url</x:v>
      </x:c>
      <x:c r="J1" s="10" t="str">
        <x:v>evidence_excerpt</x:v>
      </x:c>
      <x:c r="K1" s="10" t="str">
        <x:v>disease_codes</x:v>
      </x:c>
      <x:c r="L1" s="10" t="str">
        <x:v>confidence</x:v>
      </x:c>
      <x:c r="M1" s="10" t="str">
        <x:v>decision</x:v>
      </x:c>
      <x:c r="N1" s="10" t="str">
        <x:v>review_reason</x:v>
      </x:c>
      <x:c r="O1" s="11" t="str">
        <x:v>medicine_sql_ready</x:v>
      </x:c>
    </x:row>
    <x:row r="2" ht="72" customHeight="1">
      <x:c r="A2" s="13" t="str">
        <x:v>atropine</x:v>
      </x:c>
      <x:c r="B2" s="13" t="str">
        <x:v>alcohol</x:v>
      </x:c>
      <x:c r="C2" s="14" t="str">
        <x:v>แอลกอฮอล์/เครื่องดื่มแอลกอฮอล์</x:v>
      </x:c>
      <x:c r="D2" s="13" t="str">
        <x:v>moderate</x:v>
      </x:c>
      <x:c r="E2" s="13" t="str">
        <x:v>consult</x:v>
      </x:c>
      <x:c r="F2" s="13" t="str">
        <x:v>r0029_smpc</x:v>
      </x:c>
      <x:c r="G2" s="13" t="str">
        <x:v>SMPC</x:v>
      </x:c>
      <x:c r="H2" s="13" t="n">
        <x:v>4</x:v>
      </x:c>
      <x:c r="I2" s="14" t="str">
        <x:v>https://drug.fda.moph.go.th/media.php?id=809657437689880576&amp;name=SMPC_Atropine_Tablets.pdf</x:v>
      </x:c>
      <x:c r="J2" s="14" t="str">
        <x:v>ious adverse effects of phenylephrine absorbed from eye drops may be markedly increased by atropine. 4.6. Fertility, pregnancy and lactation Atropine crosses the placenta and traces are found in breast milk. It should therefore only be used with caution. 4.7. Effects on ability to drive and use machines Atropine may cause visual disturbances, giddiness and staggering. In addition, marked impairment of attention can occur with alcohol (see 4.5 Interactions). If affected, patients should be cautioned against driving a car or operating machinery. 4.8. Undesirable effects Some of the central effects of atropine seen at toxic doses (see section 4.9) may also occur at therapeutic doses. Immune system disorders Hypersensitivity. In rare cases a fever may develop. Psychiatric disorders Confusional states (particularly in the elderly). Nervous system disorders Occ</x:v>
      </x:c>
      <x:c r="K2" s="14" t="str">
        <x:v>[]</x:v>
      </x:c>
      <x:c r="L2" s="13" t="str">
        <x:v>medium</x:v>
      </x:c>
      <x:c r="M2" s="13" t="str">
        <x:v>eligible</x:v>
      </x:c>
      <x:c r="N2" s="14" t="str"/>
      <x:c r="O2" s="13" t="str">
        <x:f>IF(M2="eligible","YES","NO")</x:f>
        <x:v>YES</x:v>
      </x:c>
    </x:row>
    <x:row r="3" ht="72" customHeight="1">
      <x:c r="A3" s="13" t="str">
        <x:v>cyclophosphamide</x:v>
      </x:c>
      <x:c r="B3" s="13" t="str">
        <x:v>alcohol</x:v>
      </x:c>
      <x:c r="C3" s="14" t="str">
        <x:v>แอลกอฮอล์/เครื่องดื่มแอลกอฮอล์</x:v>
      </x:c>
      <x:c r="D3" s="13" t="str">
        <x:v>moderate</x:v>
      </x:c>
      <x:c r="E3" s="13" t="str">
        <x:v>consult</x:v>
      </x:c>
      <x:c r="F3" s="13" t="str">
        <x:v>r0091_smpc</x:v>
      </x:c>
      <x:c r="G3" s="13" t="str">
        <x:v>SMPC</x:v>
      </x:c>
      <x:c r="H3" s="13" t="n">
        <x:v>12</x:v>
      </x:c>
      <x:c r="I3" s="14" t="str">
        <x:v>https://drug.fda.moph.go.th/media.php?id=809693226402455552&amp;name=SMPC_Cyclophosphamide_Powders for solutions for injections or infusions.pdf</x:v>
      </x:c>
      <x:c r="J3" s="14" t="str">
        <x:v>monly with increasing doses. Alopecia may progress to baldness. The hair can be expected to grow back after treatment with the drug or even during continued drug treatment, though it may be different in texture or colour. Nausea and Vomiting Administration of cyclophosphamide may cause nausea and vomiting. Current guidelines on the use of antiemetics for prevention and amelioration of nausea and vomiting should be considered. Alcohol consumption may increase cyclophosphamide -induced vomiting and nausea. Stomatitis Administration of cyclophosphamide may cause stomatitis (oral mucositis). Current guidelines on measures for prevention and amelioration of stomatitis should be considered. Paravenous Administration The cytostatic effect of cyclophosphamide occurs after its activation, which takes place mainly in the liver. Therefore, the risk of tissue injury</x:v>
      </x:c>
      <x:c r="K3" s="14" t="str">
        <x:v>[]</x:v>
      </x:c>
      <x:c r="L3" s="13" t="str">
        <x:v>medium</x:v>
      </x:c>
      <x:c r="M3" s="13" t="str">
        <x:v>eligible</x:v>
      </x:c>
      <x:c r="N3" s="14" t="str"/>
      <x:c r="O3" s="13" t="str">
        <x:f>IF(M3="eligible","YES","NO")</x:f>
        <x:v>YES</x:v>
      </x:c>
    </x:row>
    <x:row r="4" ht="72" customHeight="1">
      <x:c r="A4" s="13" t="str">
        <x:v>cyclophosphamide</x:v>
      </x:c>
      <x:c r="B4" s="13" t="str">
        <x:v>alcohol</x:v>
      </x:c>
      <x:c r="C4" s="14" t="str">
        <x:v>แอลกอฮอล์/เครื่องดื่มแอลกอฮอล์</x:v>
      </x:c>
      <x:c r="D4" s="13" t="str">
        <x:v>moderate</x:v>
      </x:c>
      <x:c r="E4" s="13" t="str">
        <x:v>consult</x:v>
      </x:c>
      <x:c r="F4" s="13" t="str">
        <x:v>r0091_smpc</x:v>
      </x:c>
      <x:c r="G4" s="13" t="str">
        <x:v>SMPC</x:v>
      </x:c>
      <x:c r="H4" s="13" t="n">
        <x:v>17</x:v>
      </x:c>
      <x:c r="I4" s="14" t="str">
        <x:v>https://drug.fda.moph.go.th/media.php?id=809693226402455552&amp;name=SMPC_Cyclophosphamide_Powders for solutions for injections or infusions.pdf</x:v>
      </x:c>
      <x:c r="J4" s="14" t="str">
        <x:v>e macrophage colony -stimulating factor): reports suggest an increased risk of pulmonary toxicity in patients treated with cytotoxic chemotherapy that includes cyclophosphamide and G-CSF or GMCSF. • Increased nephrotoxicity may result from a combined effect of cyclophosphamide and, for example - Amphotericin B - Indomethacin: acute water intoxication has been reported with concomitant use of indomethacin. Other interactions • Alcohol A reduced antitumor activity was observed in tumour -bearing animals during ethanol (alcohol) consumption and concomitant oral low -dose cyclophosphamide medication. In some patients, alcohol may increase cyclophosphamide-induced vomiting and nausea. • Etanercept In patients with Wegener's granulomatosis, the addition of etanercept to standard treatment, including cyclophosphamide, was associated with a higher incidence of no</x:v>
      </x:c>
      <x:c r="K4" s="14" t="str">
        <x:v>[]</x:v>
      </x:c>
      <x:c r="L4" s="13" t="str">
        <x:v>medium</x:v>
      </x:c>
      <x:c r="M4" s="13" t="str">
        <x:v>eligible</x:v>
      </x:c>
      <x:c r="N4" s="14" t="str"/>
      <x:c r="O4" s="13" t="str">
        <x:f>IF(M4="eligible","YES","NO")</x:f>
        <x:v>YES</x:v>
      </x:c>
    </x:row>
    <x:row r="5" ht="72" customHeight="1">
      <x:c r="A5" s="13" t="str">
        <x:v>cyclophosphamide</x:v>
      </x:c>
      <x:c r="B5" s="13" t="str">
        <x:v>alcohol</x:v>
      </x:c>
      <x:c r="C5" s="14" t="str">
        <x:v>แอลกอฮอล์/เครื่องดื่มแอลกอฮอล์</x:v>
      </x:c>
      <x:c r="D5" s="13" t="str">
        <x:v>moderate</x:v>
      </x:c>
      <x:c r="E5" s="13" t="str">
        <x:v>avoid</x:v>
      </x:c>
      <x:c r="F5" s="13" t="str">
        <x:v>r0395_pil</x:v>
      </x:c>
      <x:c r="G5" s="13" t="str">
        <x:v>PIL</x:v>
      </x:c>
      <x:c r="H5" s="13" t="n">
        <x:v>1</x:v>
      </x:c>
      <x:c r="I5" s="14" t="str">
        <x:v>https://drug.fda.moph.go.th/media.php?id=862918391248330752&amp;name=11. Cyclophosphamide_inj_PIL_final.pdf</x:v>
      </x:c>
      <x:c r="J5" s="14" t="str">
        <x:v>ืออันตรายจากยา • มาฉีดยานี้ตามนัดอย่างต่อเนื่อง ตามค าแนะน าของ แพทย์หรือเภสัชกร • ผู ้ หญิงวัยเจริญพันธุ์หรือมีโอกาสตั้งครรภ์ ควร คุมก าเนิดด ้วยวิธีที่มีประสิทธิภาพระหว่างการรักษา และคุมก าเนิดต่อเนื่องจนกระทั่งหยุดการรักษาด ้ วยยา นี้แล ้ วอย่างน ้ อย 12 เดือน • ผู ้ ชายควรคุมก าเนิดด ้วยวิธีที่มีประสิทธิภาพระหว่าง การรักษาจนกระทั่งหยุดการรักษาด ้ วยยานี้แล ้ วอย่าง น ้ อย 6 เดือน • หลีกเลี่ยงการดื่มสุราหรือเครื่องดื่มที่มีแอลกอฮอล์ ระหว่างที่ใช ้ยานี้ เพราะอาจเพิ่มความเสี่ยงให ้เกิด อันตรายจากยา • ระมัดระวังการขับขี่ยานยนต์ หรือท างานเกี่ยวกับ เครื่องจักรกล หรือท างานที่เสี่ยงต่อการพลัดตกจากที่ สูง เพราะยานี้อาจท าให ้การมองเห็นผิดปกติ เอกสารนี้เป ็ นข้อมูลโดยย่อ หากมีข้อสงส ัยให้ปรึกษาแพทย์หรือเภส ัชกร</x:v>
      </x:c>
      <x:c r="K5" s="14" t="str">
        <x:v>[]</x:v>
      </x:c>
      <x:c r="L5" s="13" t="str">
        <x:v>medium</x:v>
      </x:c>
      <x:c r="M5" s="13" t="str">
        <x:v>eligible</x:v>
      </x:c>
      <x:c r="N5" s="14" t="str"/>
      <x:c r="O5" s="13" t="str">
        <x:f>IF(M5="eligible","YES","NO")</x:f>
        <x:v>YES</x:v>
      </x:c>
    </x:row>
    <x:row r="6" ht="72" customHeight="1">
      <x:c r="A6" s="13" t="str">
        <x:v>cyclophosphamide</x:v>
      </x:c>
      <x:c r="B6" s="13" t="str">
        <x:v>alcohol</x:v>
      </x:c>
      <x:c r="C6" s="14" t="str">
        <x:v>แอลกอฮอล์/เครื่องดื่มแอลกอฮอล์</x:v>
      </x:c>
      <x:c r="D6" s="13" t="str">
        <x:v>moderate</x:v>
      </x:c>
      <x:c r="E6" s="13" t="str">
        <x:v>avoid</x:v>
      </x:c>
      <x:c r="F6" s="13" t="str">
        <x:v>r0396_pil</x:v>
      </x:c>
      <x:c r="G6" s="13" t="str">
        <x:v>PIL</x:v>
      </x:c>
      <x:c r="H6" s="13" t="n">
        <x:v>1</x:v>
      </x:c>
      <x:c r="I6" s="14" t="str">
        <x:v>https://drug.fda.moph.go.th/media.php?id=862918393693609984&amp;name=12.Cyclophosphamide_Tablets_PIL_final.pdf</x:v>
      </x:c>
      <x:c r="J6" s="14" t="str">
        <x:v>นาดที่แนะน า ควรท าอย่างไร • ให ้ไปพบแพทย์หรือน าส่งโรงพยาบาลทันที 4. ข้อควรปฏิบ ัติระหว่างใช้ยานี้ • ห ้ ามหยุดยาเอง และให ้ กินยานี้อย่างต่อเนื่องตาม ค าแนะน าของแพทย์ หรือเภสัชกร • พบแพทย์ตามนัดอย่างสม ่าเสมอ เพื่อติดตาม ผลการรักษาหรืออันตรายจากยา • ควรคุมก าเนิดด ้ วยวิธีที่มีประสิทธิภาพระหว่างการรักษา และหลังจากหยุดการรักษาอย่างน ้ อย 6-12 เดือน ทั้ง ในผู ้ ชายและผู ้ หญิงวัยเจริญพันธุ์ • หลีกเลี่ยงการดื่มเครื่องดื่มที่มีแอลกอฮอล์ระหว่างใช ้ ยานี้ เพราะอาจเพิ่มความเสี่ยงให ้เกิดอันตรายจากยา • ระมัดระวังการขับขี่ยานยนต์ หรือท างานเกี่ยวกับ เครื่องจักรกล หรือท างานที่เสี่ยงต่อการพลัดตกจากที่สูง • ควรหลีกเลี่ยงการไปในที่ชุมชนแออัด • รักษาความสะอาดในช่องปาก เพราะยานี้อาจท าให ้ เกิดแผลในช่องปากและติดเชื้อได ้ • ให ้ ดื่มน ้ามาก ๆ เอกสารนี้เป ็ นข้อมูลโดยย่อ หากมีข้อสงส ัยให้ปรึกษาแพทย์หรือเภส ัชกร</x:v>
      </x:c>
      <x:c r="K6" s="14" t="str">
        <x:v>[]</x:v>
      </x:c>
      <x:c r="L6" s="13" t="str">
        <x:v>medium</x:v>
      </x:c>
      <x:c r="M6" s="13" t="str">
        <x:v>eligible</x:v>
      </x:c>
      <x:c r="N6" s="14" t="str"/>
      <x:c r="O6" s="13" t="str">
        <x:f>IF(M6="eligible","YES","NO")</x:f>
        <x:v>YES</x:v>
      </x:c>
    </x:row>
    <x:row r="7" ht="72" customHeight="1">
      <x:c r="A7" s="13" t="str">
        <x:v>dextromethorphan_hydrobromide</x:v>
      </x:c>
      <x:c r="B7" s="13" t="str">
        <x:v>alcohol</x:v>
      </x:c>
      <x:c r="C7" s="14" t="str">
        <x:v>แอลกอฮอล์/เครื่องดื่มแอลกอฮอล์</x:v>
      </x:c>
      <x:c r="D7" s="13" t="str">
        <x:v>moderate</x:v>
      </x:c>
      <x:c r="E7" s="13" t="str">
        <x:v>avoid</x:v>
      </x:c>
      <x:c r="F7" s="13" t="str">
        <x:v>r0100_smpc</x:v>
      </x:c>
      <x:c r="G7" s="13" t="str">
        <x:v>SMPC</x:v>
      </x:c>
      <x:c r="H7" s="13" t="n">
        <x:v>3</x:v>
      </x:c>
      <x:c r="I7" s="14" t="str">
        <x:v>https://drug.fda.moph.go.th/media.php?id=810067905235525632&amp;name=SMPC_Dextromethorphan_Lozenge.pdf</x:v>
      </x:c>
      <x:c r="J7" s="14" t="str">
        <x:v>d in children under the age of 6 years 4.4. Special warnings and precautions for use Should be used with caution in atopic children due to histamine release. Ask a doctor before use if you suffer from a chronic or persistent cough, if you have asthma or are suffering from an acute asthma attack or where cough is accompanied by excessive secretions. Do not take with any other cough and cold medicine. Use of &lt;GENERIC NAME&gt; with alcohol or other CNS depressants may increase theeffects on the CNS and cause toxicity in relatively smaller doses. Drug dependence, tolerance and potential for abuse For all patients, prolonged use of this product may lead to drug dependence (addiction), even at therapeutic doses. The risks are increased in individuals with current or past history of substance misuse disorder (including alcohol misuse) or mental health disorder (e.g</x:v>
      </x:c>
      <x:c r="K7" s="14" t="str">
        <x:v>[]</x:v>
      </x:c>
      <x:c r="L7" s="13" t="str">
        <x:v>medium</x:v>
      </x:c>
      <x:c r="M7" s="13" t="str">
        <x:v>eligible</x:v>
      </x:c>
      <x:c r="N7" s="14" t="str"/>
      <x:c r="O7" s="13" t="str">
        <x:f>IF(M7="eligible","YES","NO")</x:f>
        <x:v>YES</x:v>
      </x:c>
    </x:row>
    <x:row r="8" ht="72" customHeight="1">
      <x:c r="A8" s="13" t="str">
        <x:v>dextromethorphan_hydrobromide</x:v>
      </x:c>
      <x:c r="B8" s="13" t="str">
        <x:v>alcohol</x:v>
      </x:c>
      <x:c r="C8" s="14" t="str">
        <x:v>แอลกอฮอล์/เครื่องดื่มแอลกอฮอล์</x:v>
      </x:c>
      <x:c r="D8" s="13" t="str">
        <x:v>moderate</x:v>
      </x:c>
      <x:c r="E8" s="13" t="str">
        <x:v>avoid</x:v>
      </x:c>
      <x:c r="F8" s="13" t="str">
        <x:v>r0101_smpc</x:v>
      </x:c>
      <x:c r="G8" s="13" t="str">
        <x:v>SMPC</x:v>
      </x:c>
      <x:c r="H8" s="13" t="n">
        <x:v>3</x:v>
      </x:c>
      <x:c r="I8" s="14" t="str">
        <x:v>https://drug.fda.moph.go.th/media.php?id=810068299789508608&amp;name=SMPC_Dextromethorphan_Syrup.pdf</x:v>
      </x:c>
      <x:c r="J8" s="14" t="str">
        <x:v>metabolism of serotonin (including monoamine oxidase inhibitors (MAOIs)) and CYP2D6 inhibitors. Serotonin syndrome may include mental -status changes, autonomic instability, neuromuscular abnormalities, and/or gastrointestinal symptoms. If serotonin syndrome is suspected, treatment with this medicine should be discontinued. This product should not be taken with any other cough and cold medicines. Use of dextromethorphan with alcohol or other CNS depressants may increase the effects on the CNS and cause toxicity in relatively smaller doses. While taking this product, patients should be advised to avoid</x:v>
      </x:c>
      <x:c r="K8" s="14" t="str">
        <x:v>[]</x:v>
      </x:c>
      <x:c r="L8" s="13" t="str">
        <x:v>medium</x:v>
      </x:c>
      <x:c r="M8" s="13" t="str">
        <x:v>eligible</x:v>
      </x:c>
      <x:c r="N8" s="14" t="str"/>
      <x:c r="O8" s="13" t="str">
        <x:f>IF(M8="eligible","YES","NO")</x:f>
        <x:v>YES</x:v>
      </x:c>
    </x:row>
    <x:row r="9" ht="72" customHeight="1">
      <x:c r="A9" s="13" t="str">
        <x:v>diphenhydramine</x:v>
      </x:c>
      <x:c r="B9" s="13" t="str">
        <x:v>alcohol</x:v>
      </x:c>
      <x:c r="C9" s="14" t="str">
        <x:v>แอลกอฮอล์/เครื่องดื่มแอลกอฮอล์</x:v>
      </x:c>
      <x:c r="D9" s="13" t="str">
        <x:v>moderate</x:v>
      </x:c>
      <x:c r="E9" s="13" t="str">
        <x:v>avoid</x:v>
      </x:c>
      <x:c r="F9" s="13" t="str">
        <x:v>r0414_pil</x:v>
      </x:c>
      <x:c r="G9" s="13" t="str">
        <x:v>PIL</x:v>
      </x:c>
      <x:c r="H9" s="13" t="n">
        <x:v>1</x:v>
      </x:c>
      <x:c r="I9" s="14" t="str">
        <x:v>https://drug.fda.moph.go.th/media.php?id=862918394234675200&amp;name=30. Diphenhydramine_tablet_PIL_Final.pdf</x:v>
      </x:c>
      <x:c r="J9" s="14" t="str">
        <x:v>นึกได ้ แต่ถ ้ าใกล ้ เวลาของมื้อต่อไปให ้ รอกินยาของมื้อต่อไป ห ้ ามกินยา เพิ่มเป ็ น 2 เท่า • หากไม่มีอาการแล ้ ว สามารถหยุดยาได ้ เลย 3.3 ถ้ากินยานี้เกินขนาดที่แนะน า ควรท าอย่างไร • ให ้สังเกตอาการอย่างใกล ้ชิด หากมีอาการผิดปกติที่ รุนแรง ให ้น าส่งโรงพยาบาลทันที 4. ข้อควรปฏิบ ัติระหว่างใช้ยานี้ • ไม่ควรใช ้ยานี้ติดต่อกันเป็ นระยะเวลานาน ยกเว ้นใน กรณีที่แพทย์หรือเภสัชกรแนะน า • หลีกเลี่ยงการดื่มเหล ้ าหรือเครื่องดื่มที่มีแอลกอฮอล์ ระหว่างใช ้ยานี้ เพราะอาจเพิ่มความเสี่ยงให ้เกิด อันตรายจากยา • ระมัดระวังการขับขี่ยานยนต์ หรือท างานเกี่ยวกับ เครื่องจักรกล หรือท างานที่เสี่ยงต่อการพลัดตกจากที่ สูง เพราะยานี้อาจท าให ้เกิดอาการง่วงซึมได ้ 5. อ ั นตรายที่อาจเกิดจากยา 5.1 อาการที่ต้องหยุดยาแล้วไปพบแพทย์ท ั นที • บวมที่ใบหน ้ า เปลือกตา ริมฝ ี ปาก ลมพิษ • หน ้ ามืด เป ็ นลม แน่นหน ้ าอก หายใจล าบาก • ผื่นแดง ตุ่มพอง ผิวหนังลอก หรือมีจ ้าตามผิวหนัง • ภาวะติดเช</x:v>
      </x:c>
      <x:c r="K9" s="14" t="str">
        <x:v>[]</x:v>
      </x:c>
      <x:c r="L9" s="13" t="str">
        <x:v>medium</x:v>
      </x:c>
      <x:c r="M9" s="13" t="str">
        <x:v>eligible</x:v>
      </x:c>
      <x:c r="N9" s="14" t="str"/>
      <x:c r="O9" s="13" t="str">
        <x:f>IF(M9="eligible","YES","NO")</x:f>
        <x:v>YES</x:v>
      </x:c>
    </x:row>
    <x:row r="10" ht="72" customHeight="1">
      <x:c r="A10" s="13" t="str">
        <x:v>disulfiram</x:v>
      </x:c>
      <x:c r="B10" s="13" t="str">
        <x:v>alcohol</x:v>
      </x:c>
      <x:c r="C10" s="14" t="str">
        <x:v>แอลกอฮอล์/เครื่องดื่มแอลกอฮอล์</x:v>
      </x:c>
      <x:c r="D10" s="13" t="str">
        <x:v>severe</x:v>
      </x:c>
      <x:c r="E10" s="13" t="str">
        <x:v>avoid</x:v>
      </x:c>
      <x:c r="F10" s="13" t="str">
        <x:v>r0114_smpc</x:v>
      </x:c>
      <x:c r="G10" s="13" t="str">
        <x:v>SMPC</x:v>
      </x:c>
      <x:c r="H10" s="13" t="n">
        <x:v>1</x:v>
      </x:c>
      <x:c r="I10" s="14" t="str">
        <x:v>https://drug.fda.moph.go.th/media.php?id=810072772666597376&amp;name=SMPC_Disulfiram_Tablets.pdf</x:v>
      </x:c>
      <x:c r="J10" s="14" t="str">
        <x:v>co-operative patients with drinking problems. Its use must be accompanied by appropriate supportive treatment. 4.2. Posology and method of administration Posology Adults and elderly patients only: It is recommended that treatment with Disulfiram should be initiated only in a hospital or specialised clinic and by physicians experienced in its use. The patient should have adequate social and family support to avoid ingestion of alcohol. Suitable pati ents should not have ingested alcohol for at least 24 hours and must be warned that a Disulfiram - alcohol reaction is potentially dangerous.</x:v>
      </x:c>
      <x:c r="K10" s="14" t="str">
        <x:v>[]</x:v>
      </x:c>
      <x:c r="L10" s="13" t="str">
        <x:v>high</x:v>
      </x:c>
      <x:c r="M10" s="13" t="str">
        <x:v>eligible</x:v>
      </x:c>
      <x:c r="N10" s="14" t="str"/>
      <x:c r="O10" s="13" t="str">
        <x:f>IF(M10="eligible","YES","NO")</x:f>
        <x:v>YES</x:v>
      </x:c>
    </x:row>
    <x:row r="11" ht="72" customHeight="1">
      <x:c r="A11" s="13" t="str">
        <x:v>disulfiram</x:v>
      </x:c>
      <x:c r="B11" s="13" t="str">
        <x:v>alcohol</x:v>
      </x:c>
      <x:c r="C11" s="14" t="str">
        <x:v>แอลกอฮอล์/เครื่องดื่มแอลกอฮอล์</x:v>
      </x:c>
      <x:c r="D11" s="13" t="str">
        <x:v>severe</x:v>
      </x:c>
      <x:c r="E11" s="13" t="str">
        <x:v>avoid</x:v>
      </x:c>
      <x:c r="F11" s="13" t="str">
        <x:v>r0114_smpc</x:v>
      </x:c>
      <x:c r="G11" s="13" t="str">
        <x:v>SMPC</x:v>
      </x:c>
      <x:c r="H11" s="13" t="n">
        <x:v>3</x:v>
      </x:c>
      <x:c r="I11" s="14" t="str">
        <x:v>https://drug.fda.moph.go.th/media.php?id=810072772666597376&amp;name=SMPC_Disulfiram_Tablets.pdf</x:v>
      </x:c>
      <x:c r="J11" s="14" t="str">
        <x:v>1 Ref: Antabuse, MHRA, 16/05/2022 3 4.4. Special warnings and precautions for use Caution should be exercised in the presence of: • renal failure • reduced hepatic function • respiratory disease • diabetes mellitus • hypothyroidism • cerebral damage • epileps Alcohol must not be consumed during treatment and for up to 14 days after discontinuation, as disulfiram prevents the metabolism of ethanol, causing acetaldehyde to accumulate in the body. This can result in a “disulfiram-alcohol reaction” causing adverse effects as listed in section 4.8). Before initiating treatment, it is advised that appropriate examinations should be carried out to establish the suitability of the patient for tre</x:v>
      </x:c>
      <x:c r="K11" s="14" t="str">
        <x:v>["kidney","liver","diabetes"]</x:v>
      </x:c>
      <x:c r="L11" s="13" t="str">
        <x:v>high</x:v>
      </x:c>
      <x:c r="M11" s="13" t="str">
        <x:v>eligible</x:v>
      </x:c>
      <x:c r="N11" s="14" t="str"/>
      <x:c r="O11" s="13" t="str">
        <x:f>IF(M11="eligible","YES","NO")</x:f>
        <x:v>YES</x:v>
      </x:c>
    </x:row>
    <x:row r="12" ht="72" customHeight="1">
      <x:c r="A12" s="13" t="str">
        <x:v>disulfiram</x:v>
      </x:c>
      <x:c r="B12" s="13" t="str">
        <x:v>alcohol</x:v>
      </x:c>
      <x:c r="C12" s="14" t="str">
        <x:v>แอลกอฮอล์/เครื่องดื่มแอลกอฮอล์</x:v>
      </x:c>
      <x:c r="D12" s="13" t="str">
        <x:v>moderate</x:v>
      </x:c>
      <x:c r="E12" s="13" t="str">
        <x:v>consult</x:v>
      </x:c>
      <x:c r="F12" s="13" t="str">
        <x:v>r0114_smpc</x:v>
      </x:c>
      <x:c r="G12" s="13" t="str">
        <x:v>SMPC</x:v>
      </x:c>
      <x:c r="H12" s="13" t="n">
        <x:v>4</x:v>
      </x:c>
      <x:c r="I12" s="14" t="str">
        <x:v>https://drug.fda.moph.go.th/media.php?id=810072772666597376&amp;name=SMPC_Disulfiram_Tablets.pdf</x:v>
      </x:c>
      <x:c r="J12" s="14" t="str">
        <x:v>ontinuation if symptoms or signs of liver injury associated with jaundice occur. Excipient information &lt;REGARDING THE APPROVAL&gt; 4.5. Interaction with other medicinal products and other forms of interaction Disulfiram blocks the metabolism of alcohol and leads to an accumulation of acetaldehyde in the blood stream. For full details of the disulfiram-alcohol reaction please refer to section 4.8. The intensity of the Disulfiram -alcohol reaction may be increased by amitriptyline. Chlorpromazine while decreasing certain components of the Disulfiram-alcohol reaction may increase the overall intensity of the reaction. Disulfiram inhibits the metabolism of certain benzodiazepines such as chlordiazepoxide and diazepam enhancing their sedative effect. The interaction is not indicated for oxazepam. Benzodiazepines may reduce the disulfiram-alcohol reaction. Disulfi</x:v>
      </x:c>
      <x:c r="K12" s="14" t="str">
        <x:v>[]</x:v>
      </x:c>
      <x:c r="L12" s="13" t="str">
        <x:v>medium</x:v>
      </x:c>
      <x:c r="M12" s="13" t="str">
        <x:v>eligible</x:v>
      </x:c>
      <x:c r="N12" s="14" t="str"/>
      <x:c r="O12" s="13" t="str">
        <x:f>IF(M12="eligible","YES","NO")</x:f>
        <x:v>YES</x:v>
      </x:c>
    </x:row>
    <x:row r="13" ht="72" customHeight="1">
      <x:c r="A13" s="13" t="str">
        <x:v>disulfiram</x:v>
      </x:c>
      <x:c r="B13" s="13" t="str">
        <x:v>alcohol</x:v>
      </x:c>
      <x:c r="C13" s="14" t="str">
        <x:v>แอลกอฮอล์/เครื่องดื่มแอลกอฮอล์</x:v>
      </x:c>
      <x:c r="D13" s="13" t="str">
        <x:v>severe</x:v>
      </x:c>
      <x:c r="E13" s="13" t="str">
        <x:v>consult</x:v>
      </x:c>
      <x:c r="F13" s="13" t="str">
        <x:v>r0114_smpc</x:v>
      </x:c>
      <x:c r="G13" s="13" t="str">
        <x:v>SMPC</x:v>
      </x:c>
      <x:c r="H13" s="13" t="n">
        <x:v>6</x:v>
      </x:c>
      <x:c r="I13" s="14" t="str">
        <x:v>https://drug.fda.moph.go.th/media.php?id=810072772666597376&amp;name=SMPC_Disulfiram_Tablets.pdf</x:v>
      </x:c>
      <x:c r="J13" s="14" t="str">
        <x:v>nase. Intake of ethanol during disulfiram therapy will lead to accumulation of acetaldehyde, which is considered the main contributing factor to the disulfiram-alcohol reaction. Disulfiram-ethanol reactions often develop within 15 minutes after exposure to ethanol; symptoms usually peak within 30 minutes to 1 hour, and then gradually subside over the next few hours. Symptoms may be severe and life-threatening. The disulfiram- alcohol reaction is characterised by: • Intense vasodilation of the face and neck causing flushing, increased body temperature, sweating, nausea, vomiting, pruritis, urticaria, anxiety, dizziness, headache, blurred vision, dyspnoea, palpitations and hyperventilation. • In severe cases tachycardia, hypotension, respiratory depression, chest pain, QT prolongation, ST depression, arrhythmias, coma and convulsions may occur. • Rare compl</x:v>
      </x:c>
      <x:c r="K13" s="14" t="str">
        <x:v>[]</x:v>
      </x:c>
      <x:c r="L13" s="13" t="str">
        <x:v>high</x:v>
      </x:c>
      <x:c r="M13" s="13" t="str">
        <x:v>eligible</x:v>
      </x:c>
      <x:c r="N13" s="14" t="str"/>
      <x:c r="O13" s="13" t="str">
        <x:f>IF(M13="eligible","YES","NO")</x:f>
        <x:v>YES</x:v>
      </x:c>
    </x:row>
    <x:row r="14" ht="72" customHeight="1">
      <x:c r="A14" s="13" t="str">
        <x:v>disulfiram</x:v>
      </x:c>
      <x:c r="B14" s="13" t="str">
        <x:v>alcohol</x:v>
      </x:c>
      <x:c r="C14" s="14" t="str">
        <x:v>แอลกอฮอล์/เครื่องดื่มแอลกอฮอล์</x:v>
      </x:c>
      <x:c r="D14" s="13" t="str">
        <x:v>severe</x:v>
      </x:c>
      <x:c r="E14" s="13" t="str">
        <x:v>avoid</x:v>
      </x:c>
      <x:c r="F14" s="13" t="str">
        <x:v>r0426_pil</x:v>
      </x:c>
      <x:c r="G14" s="13" t="str">
        <x:v>PIL</x:v>
      </x:c>
      <x:c r="H14" s="13" t="n">
        <x:v>1</x:v>
      </x:c>
      <x:c r="I14" s="14" t="str">
        <x:v>https://drug.fda.moph.go.th/media.php?id=862918386374549504&amp;name=42.Disulfiram_Tablets_PIL.pdf</x:v>
      </x:c>
      <x:c r="J14" s="14" t="str">
        <x:v>ไดซ ัลฟิ แรม ความแรง &lt;ปร ั บตามทะเบียน&gt; มิลลิกร ั ม ชนิดเม็ด &lt;ปร ั บตามทะเบียน&gt; ชื่อการค้า &lt;tradename&gt; 1. ยานี้คือยาอะไร 1.1 ยานี้มีชื่อว่าอะไร • ยานี้ชื่อว่า ไดซัลฟิแรม (disulfiram) 1.2 ยานี้ใช้เพื่ออะไร • ใช ้เพื่อรักษาอาการติดสุราเรื้อรัง 2. ข้อควรรู้ก่อนใช้ยา 2.1 ห้ามใช้ยานี้เมื่อไร ● เคยแพ ้ ยานี้ หรือส่วนประกอบของยานี้ ● เป ็ นโรคหัวใจ หรือมีภาวะหัวใจล ้ มเหลว ● มีภาวะความดันโลหิตสูง ● เป ็ นโรคทางจิตเวชที่อาการรุนแรง ● เป ็ นโรคหลอดเลือดสมอง ● เพิ่งดื่มสุราหรือเครื่องดื่มที่มีแอลกอฮอล์ 2.2 ข้อควรระว ังเมื่อใช้ยานี้ ให้ปรึกษาแพทย์หรือเภส ัชกรในกรณีต่อไปนี้ • หญิงตั้งท ้องและหญิงให ้นมลูก ควรหลีกเลี่ยงการใช ้ ยานี้ เพราะอาจท าให ้ เกิดอันตรายต่อทารก</x:v>
      </x:c>
      <x:c r="K14" s="14" t="str">
        <x:v>["hypertension","heart"]</x:v>
      </x:c>
      <x:c r="L14" s="13" t="str">
        <x:v>high</x:v>
      </x:c>
      <x:c r="M14" s="13" t="str">
        <x:v>eligible</x:v>
      </x:c>
      <x:c r="N14" s="14" t="str"/>
      <x:c r="O14" s="13" t="str">
        <x:f>IF(M14="eligible","YES","NO")</x:f>
        <x:v>YES</x:v>
      </x:c>
    </x:row>
    <x:row r="15" ht="72" customHeight="1">
      <x:c r="A15" s="13" t="str">
        <x:v>doxycycline_hyclate</x:v>
      </x:c>
      <x:c r="B15" s="13" t="str">
        <x:v>alcohol</x:v>
      </x:c>
      <x:c r="C15" s="14" t="str">
        <x:v>แอลกอฮอล์/เครื่องดื่มแอลกอฮอล์</x:v>
      </x:c>
      <x:c r="D15" s="13" t="str">
        <x:v>moderate</x:v>
      </x:c>
      <x:c r="E15" s="13" t="str">
        <x:v>consult</x:v>
      </x:c>
      <x:c r="F15" s="13" t="str">
        <x:v>r0119_smpc</x:v>
      </x:c>
      <x:c r="G15" s="13" t="str">
        <x:v>SMPC</x:v>
      </x:c>
      <x:c r="H15" s="13" t="n">
        <x:v>9</x:v>
      </x:c>
      <x:c r="I15" s="14" t="str">
        <x:v>https://drug.fda.moph.go.th/media.php?id=810074802814590976&amp;name=SMPC_Doxycycline_Tablet.pdf</x:v>
      </x:c>
      <x:c r="J15" s="14" t="str">
        <x:v>cillin. There have been reports of prolonged prothrombin time in patients taking warfarin and doxycycline. Tetracyclines depress plasma prothrombin activity and reduced doses of concomitant anticoagulants may be necessary. The serum half-life of doxycycline may be shortened when patients are concurrently receiving barbiturates, carbamazepine or phenytoin. An increase in the daily dosage of &lt;GENERIC NAME&gt; should be considered. Alcohol may decrease the half-life of doxycycline. A few cases of pregnancy or breakthrough bleeding have been attributed to the concurrent use of tetracycline antibiotics with oral contraceptives. Doxycycline may increase the plasma concentration of ciclosporin. Co- administration should only be undertaken with appropriate monitoring. The concurrent use of tetracyclines and methoxyflurane has been reported to result in fatal renal t</x:v>
      </x:c>
      <x:c r="K15" s="14" t="str">
        <x:v>[]</x:v>
      </x:c>
      <x:c r="L15" s="13" t="str">
        <x:v>medium</x:v>
      </x:c>
      <x:c r="M15" s="13" t="str">
        <x:v>eligible</x:v>
      </x:c>
      <x:c r="N15" s="14" t="str"/>
      <x:c r="O15" s="13" t="str">
        <x:f>IF(M15="eligible","YES","NO")</x:f>
        <x:v>YES</x:v>
      </x:c>
    </x:row>
    <x:row r="16" ht="72" customHeight="1">
      <x:c r="A16" s="13" t="str">
        <x:v>drug_0ec240fe15</x:v>
      </x:c>
      <x:c r="B16" s="13" t="str">
        <x:v>alcohol</x:v>
      </x:c>
      <x:c r="C16" s="14" t="str">
        <x:v>แอลกอฮอล์/เครื่องดื่มแอลกอฮอล์</x:v>
      </x:c>
      <x:c r="D16" s="13" t="str">
        <x:v>severe</x:v>
      </x:c>
      <x:c r="E16" s="13" t="str">
        <x:v>avoid</x:v>
      </x:c>
      <x:c r="F16" s="13" t="str">
        <x:v>r0377_pil</x:v>
      </x:c>
      <x:c r="G16" s="13" t="str">
        <x:v>PIL</x:v>
      </x:c>
      <x:c r="H16" s="13" t="n">
        <x:v>1</x:v>
      </x:c>
      <x:c r="I16" s="14" t="str">
        <x:v>https://drug.fda.moph.go.th/media.php?id=733930253092790272&amp;name=PIL ยาขับลม (15032024).pdf</x:v>
      </x:c>
      <x:c r="J16" s="14" t="str">
        <x:v>ับลม ประกอบด ้ วยตัวยาสําคัญ คือ ทิงเจอร์กระวานเทศ (compound cardamom tincture) ท ิง เ จ อ ร ์พ ร ิก ส ก ั ด เ ข ้ม ข ้น (strong capsicum tincture) และ ท ิง เ จ อ ร ์ข ิง ส ก ั ด เ ข ้ม ข ้น (strong ginger tincture) 1.2 ยานี้ใช้เพื่ออะไร • ใช ้เพื่อบรรเทาอาการท ้ องขึ้น ท ้ องอืด ท ้ องเฟ้อ และขับลมในกระเพาะอาหาร 2. ข ้อควรรู้ก่อนใช้ยา 2.1 ห้ามใช้ยานี้เมื่อไร ● เคยแพ ้ ยานี้ หรือแพ ้ส่วนประกอบของยานี้ 2.2 ข้อควรระวัง • ยานี้มีแอลกอฮอล์ผสมอยู่ ควรใช้ด ้ วยความ ระมัดระวัง โดยเฉพาะในเด็ก และหญิงตั้งท ้อ ง 3. วิธีใช้ยา 3.1 ขนาดและวิธีใช้ • ผู้ ใหญ่: กินครั้งละ 1 หรือ 2 ช ้อนโต๊ะ • เด็ก 6-12 ปี: กินครั้งละ 1/2หรือ 1 ช ้อนโต๊ะ • กินวันละ 3-4 ครั้ง • เขย่าขวดก่อนใช ้ยา 3.2 หากลืมกินยาควรทําอย่างไร • หากยังมีอาการของโรคอยู่ ให้ กินยาทันทีที่นึกได้ แต่ถ ้ าใกล ้ เวลาของมื้อต่อไปให ้ รอกินยาของมื้อต่อไป ห ้ ามกินยาเพิ่มเป็น 2 เท่า • หากไม่มีอาการของโรคแล ้ วสามารถหยุ</x:v>
      </x:c>
      <x:c r="K16" s="14" t="str">
        <x:v>[]</x:v>
      </x:c>
      <x:c r="L16" s="13" t="str">
        <x:v>high</x:v>
      </x:c>
      <x:c r="M16" s="13" t="str">
        <x:v>review</x:v>
      </x:c>
      <x:c r="N16" s="14" t="str">
        <x:v>Medication code is not SQL-ready.</x:v>
      </x:c>
      <x:c r="O16" s="13" t="str">
        <x:f>IF(M16="eligible","YES","NO")</x:f>
        <x:v>NO</x:v>
      </x:c>
    </x:row>
    <x:row r="17" ht="72" customHeight="1">
      <x:c r="A17" s="13" t="str">
        <x:v>drug_b4b2b3db2d</x:v>
      </x:c>
      <x:c r="B17" s="13" t="str">
        <x:v>alcohol</x:v>
      </x:c>
      <x:c r="C17" s="14" t="str">
        <x:v>แอลกอฮอล์/เครื่องดื่มแอลกอฮอล์</x:v>
      </x:c>
      <x:c r="D17" s="13" t="str">
        <x:v>severe</x:v>
      </x:c>
      <x:c r="E17" s="13" t="str">
        <x:v>avoid</x:v>
      </x:c>
      <x:c r="F17" s="13" t="str">
        <x:v>r0378_pil</x:v>
      </x:c>
      <x:c r="G17" s="13" t="str">
        <x:v>PIL</x:v>
      </x:c>
      <x:c r="H17" s="13" t="n">
        <x:v>1</x:v>
      </x:c>
      <x:c r="I17" s="14" t="str">
        <x:v>https://drug.fda.moph.go.th/media.php?id=733929846647955456&amp;name=PIL ยาดมแก้วิงเวียนเหล้าแอมโมเนียหอม (15032024).pdf</x:v>
      </x:c>
      <x:c r="J17" s="14" t="str">
        <x:v>าในที่แห ้ ง อย่าให ้ โดนแสงโดยตรง ควรเก็บที่ อุณหภูมิไม่เกิน 30 องศาเซลเซียส [ปรับตามทะเบียน ยา] ไม่ควรเก็บยาในที่ร ้อนหรือชื้น เช่น ในรถ ห ้องน ้า ห ้ องครัว • เก็บยาให ้ พ ้ นมือเด็ก 7. ล ักษณะและส่วนประกอบของยา • ยามีล ั กษณะ เป ็ นสารละลาย • ต ัวยาส าค ัญ คือ แอมโมเนียมคาร์บอเน็ต (ammonium carbonate) และสารละลายแอมโมเนีย (ammonia solution) • ขนาดบรรจุ ภาชนะบรรจุขนาดไม่เกิน 15 มิลลิลิตร (ตามที่ขึ้นทะเบียน) ยาดมแก้วิงเวียน เหล้าแอมโมเนียหอม ชนิดสารละลาย [ชื่อการค้า ปร ับตามทะเบียนยา] ยาใช้ภายนอก/ยาใช้เฉพาะที่ ห้ามร ั บประทาน เอกสารนี้เป ็ นข้อมูลโดยย่อ หากมีข้อสงส ัยให้ปรึกษาแพทย์หรือเภส ัชกร เอกสารฉบับนี้ปรับปรุงครั้งล่าสุด 15 มีนาคม 2567 ศึกษาข้อมูลยาเพิ่มเติมทางเว็บไซต์ของ อย. แสดง URL หรือ QR code ที่เชื่อมมายังเว็บไซต์ของ อย.</x:v>
      </x:c>
      <x:c r="K17" s="14" t="str">
        <x:v>[]</x:v>
      </x:c>
      <x:c r="L17" s="13" t="str">
        <x:v>high</x:v>
      </x:c>
      <x:c r="M17" s="13" t="str">
        <x:v>review</x:v>
      </x:c>
      <x:c r="N17" s="14" t="str">
        <x:v>Medication code is not SQL-ready.</x:v>
      </x:c>
      <x:c r="O17" s="13" t="str">
        <x:f>IF(M17="eligible","YES","NO")</x:f>
        <x:v>NO</x:v>
      </x:c>
    </x:row>
    <x:row r="18" ht="72" customHeight="1">
      <x:c r="A18" s="13" t="str">
        <x:v>drug_cdacb08fe5</x:v>
      </x:c>
      <x:c r="B18" s="13" t="str">
        <x:v>alcohol</x:v>
      </x:c>
      <x:c r="C18" s="14" t="str">
        <x:v>แอลกอฮอล์/เครื่องดื่มแอลกอฮอล์</x:v>
      </x:c>
      <x:c r="D18" s="13" t="str">
        <x:v>severe</x:v>
      </x:c>
      <x:c r="E18" s="13" t="str">
        <x:v>avoid</x:v>
      </x:c>
      <x:c r="F18" s="13" t="str">
        <x:v>r0368_pil</x:v>
      </x:c>
      <x:c r="G18" s="13" t="str">
        <x:v>PIL</x:v>
      </x:c>
      <x:c r="H18" s="13" t="n">
        <x:v>1</x:v>
      </x:c>
      <x:c r="I18" s="14" t="str">
        <x:v>https://drug.fda.moph.go.th/media.php?id=733928051582312448&amp;name=PIL asafetida tincture_ทิงเจอร์มหาหิงคุ์ (15032024).pdf</x:v>
      </x:c>
      <x:c r="J18" s="14" t="str">
        <x:v>[ชื่อการค้า ปรับตามทะเบียนยา] 1. ยานี้คือยาอะไร 1.1 ยานี้มีชื่อว่าอะไร • ยานี้ชื่อว่า ทิงเจอร์มหาหิงค์ (asafetida tincture) 1.2 ยานี้ใช้เพื่ออะไร • ใช ้เพื่อบรรเทาอาการท ้อ งอืด ท ้ องเฟ้อ ปวดท ้ องในเด็ก 2. ข ้อควรรู้ก่อนใช้ยา 2.1 ห้ามใช้ยานี้เมื่อไร ● เคยแพ ้ ยานี้ หรือแพ ้ส่วนประกอบของยานี้ 3. วิธีใช้ยา 3.1 ขนาดและวิธีใช้ • ทาบาง ๆ ที่หน้าท ้ อง วันละ 2-3 ครั้ง • ไม่ควรให ้ เด็กกินยานี้ เพราะทิงเจอร์มหาหิงค์มีส่วน ประกอบของแอลกอฮอล์ซึ่งอาจจะมีผลเสียต่อเด็ก 3. 2 ถ ้าทายานี้เกินขนาดที่แนะนํา ควรทําอย่างไร 4. ข้อควรปฏิบัติระหว่างใช้ยานี้ • ควรทายาด ้ วยความระมัดระวังไม่ให ้ ยาเข ้ าปาก หรือเข ้ า ตา เพื่อหลีกเลี่ยงอันตรายที่อาจเกิดจากยา 5. อันตรายที่อาจเกิดจากยา 5.1 อาการทีต้องหยุดยาแล้วรีบไปพบแพทย์ท ันท ี • บวมที่ใบหน้า เปลือกตา ริมฝีปาก ลมพิษ • หน้ามืด เป็ นลม แน่ นหน ้าอก หายใจลําบาก • ผื่นแดง ตุ่มพอง ผิวหนังหลุดลอก มีจํ้าตามผิวหนัง 5.2 อาการที่ไม่จําเป</x:v>
      </x:c>
      <x:c r="K18" s="14" t="str">
        <x:v>[]</x:v>
      </x:c>
      <x:c r="L18" s="13" t="str">
        <x:v>high</x:v>
      </x:c>
      <x:c r="M18" s="13" t="str">
        <x:v>review</x:v>
      </x:c>
      <x:c r="N18" s="14" t="str">
        <x:v>Medication code is not SQL-ready.</x:v>
      </x:c>
      <x:c r="O18" s="13" t="str">
        <x:f>IF(M18="eligible","YES","NO")</x:f>
        <x:v>NO</x:v>
      </x:c>
    </x:row>
    <x:row r="19" ht="72" customHeight="1">
      <x:c r="A19" s="13" t="str">
        <x:v>fenofibrate</x:v>
      </x:c>
      <x:c r="B19" s="13" t="str">
        <x:v>alcohol</x:v>
      </x:c>
      <x:c r="C19" s="14" t="str">
        <x:v>แอลกอฮอล์/เครื่องดื่มแอลกอฮอล์</x:v>
      </x:c>
      <x:c r="D19" s="13" t="str">
        <x:v>moderate</x:v>
      </x:c>
      <x:c r="E19" s="13" t="str">
        <x:v>avoid</x:v>
      </x:c>
      <x:c r="F19" s="13" t="str">
        <x:v>r0142_pil</x:v>
      </x:c>
      <x:c r="G19" s="13" t="str">
        <x:v>PIL</x:v>
      </x:c>
      <x:c r="H19" s="13" t="n">
        <x:v>1</x:v>
      </x:c>
      <x:c r="I19" s="14" t="str">
        <x:v>https://drug.fda.moph.go.th/media.php?id=808542706069544960&amp;name=Fenofibrate_capsule, tablet_PIL.pdf</x:v>
      </x:c>
      <x:c r="J19" s="14" t="str">
        <x:v>มรูปแบบยา&gt; 3.2 หากลืมกินยาควรท าอย่างไร • กินยาทันทีที่นึกได ้ แต่ถ ้ าใกล ้ เวลาของมื้อต่อไปให ้ รอ กินยาของมื้อต่อไป ห ้ ามกินยาเพิ่มเป ็ น 2 เท่า 3.3 ถ้ากินยานี้เกินขนาดที่แนะน า ควรท าอย่างไร • ให ้สังเกตอาการอย่างใกล ้ชิด หากมีอาการผิดปกติที่ รุนแรง ให ้น าส่งโรงพยาบาลทันที 4. ข้อควรปฏิบ ัติระหว่างใช้ยานี้ • ห ้ ามหยุดยาเอง และให ้ กินยานี้อย่างต่อเนื่องตาม ค าแนะน าของแพทย์ หรือเภสัชกร • หลีกเลี่ยงการดื่มเครื่องดื่มที่มีแอลกอฮอล์ เพราะอาจ เพิ่มความเสี่ยงให ้เกิดอันตรายจากยา • พบแพทย์ตามนัดอย่างสม ่าเสมอ เพื่อติดตาม ผลการรักษาหรืออันตรายจากยา • ควรออกก าลังกาย ควบคุมน ้าหนัก และกินอาหารที่มี ไขมันต ่าตามค าแนะน าของแพทย์ หรือเภสัชกร เพื่อผลการรักษาที่ดี เอกสารฉบับนี้ปรับปรุงครั้งล่าสุด 19 มีนาคม 2568 ศึกษาข้อมูลยาเพิ่มเติมทางเว็บไซต์ของอย. URL หรือ QR code ที่เชื่อมมายังเว็บไซต์ของ อย. &lt;ปรับตามทะเบียนยา&gt; 5. อ ั นตรายที่อาจเกิดจากยา 5.1 อาการที่ต้องหยุด</x:v>
      </x:c>
      <x:c r="K19" s="14" t="str">
        <x:v>[]</x:v>
      </x:c>
      <x:c r="L19" s="13" t="str">
        <x:v>medium</x:v>
      </x:c>
      <x:c r="M19" s="13" t="str">
        <x:v>eligible</x:v>
      </x:c>
      <x:c r="N19" s="14" t="str"/>
      <x:c r="O19" s="13" t="str">
        <x:f>IF(M19="eligible","YES","NO")</x:f>
        <x:v>YES</x:v>
      </x:c>
    </x:row>
    <x:row r="20" ht="72" customHeight="1">
      <x:c r="A20" s="13" t="str">
        <x:v>fluoxetine</x:v>
      </x:c>
      <x:c r="B20" s="13" t="str">
        <x:v>alcohol</x:v>
      </x:c>
      <x:c r="C20" s="14" t="str">
        <x:v>แอลกอฮอล์/เครื่องดื่มแอลกอฮอล์</x:v>
      </x:c>
      <x:c r="D20" s="13" t="str">
        <x:v>severe</x:v>
      </x:c>
      <x:c r="E20" s="13" t="str">
        <x:v>avoid</x:v>
      </x:c>
      <x:c r="F20" s="13" t="str">
        <x:v>r0149_smpc</x:v>
      </x:c>
      <x:c r="G20" s="13" t="str">
        <x:v>SMPC</x:v>
      </x:c>
      <x:c r="H20" s="13" t="n">
        <x:v>12</x:v>
      </x:c>
      <x:c r="I20" s="14" t="str">
        <x:v>https://drug.fda.moph.go.th/media.php?id=810173242932338688&amp;name=SMPC_Fluoxetine_Capsules.pdf</x:v>
      </x:c>
      <x:c r="J20" s="14" t="str">
        <x:v>oxife n has been reported with concomitant usage of some SSRI antidepressants in some studies. As a reduced effect of tamoxifen cannot be excluded, co-administration with potent CYP2D6 inhibitors (including fluoxetine) should whenever possible be avoided (see section 4.4). Alcohol: In formal testing, fluoxetine did not raise blood alcohol levels or enhance the effects of alcohol. However, the combination of SSRI treatment and alcohol is not advisable. MAOI-A including linezolid and methylthioninium chloride (methylene blue): Risk of serotonin syndrome including diarrhoea, tachycardia, sweating, tremor, confusion or coma. If concomitant use of these active substances with fluoxetine cannot be avoided, a close clinical monitoring should be undertaken and the concomitant agents should be initiated at the lower recommended doses (see section 4.4). Mequitazine</x:v>
      </x:c>
      <x:c r="K20" s="14" t="str">
        <x:v>[]</x:v>
      </x:c>
      <x:c r="L20" s="13" t="str">
        <x:v>high</x:v>
      </x:c>
      <x:c r="M20" s="13" t="str">
        <x:v>eligible</x:v>
      </x:c>
      <x:c r="N20" s="14" t="str"/>
      <x:c r="O20" s="13" t="str">
        <x:f>IF(M20="eligible","YES","NO")</x:f>
        <x:v>YES</x:v>
      </x:c>
    </x:row>
    <x:row r="21" ht="72" customHeight="1">
      <x:c r="A21" s="13" t="str">
        <x:v>gliclazide</x:v>
      </x:c>
      <x:c r="B21" s="13" t="str">
        <x:v>alcohol</x:v>
      </x:c>
      <x:c r="C21" s="14" t="str">
        <x:v>แอลกอฮอล์/เครื่องดื่มแอลกอฮอล์</x:v>
      </x:c>
      <x:c r="D21" s="13" t="str">
        <x:v>severe</x:v>
      </x:c>
      <x:c r="E21" s="13" t="str">
        <x:v>avoid</x:v>
      </x:c>
      <x:c r="F21" s="13" t="str">
        <x:v>r0159_smpc</x:v>
      </x:c>
      <x:c r="G21" s="13" t="str">
        <x:v>SMPC</x:v>
      </x:c>
      <x:c r="H21" s="13" t="n">
        <x:v>7</x:v>
      </x:c>
      <x:c r="I21" s="14" t="str">
        <x:v>https://drug.fda.moph.go.th/media.php?id=810175347420176384&amp;name=SMPC_Gliclazide_Modified-release Tablets.pdf</x:v>
      </x:c>
      <x:c r="J21" s="14" t="str">
        <x:v>1 Ref:Diamicron 30mg MR Tablets, MHRA, 23/04/2020 7 It is preferable to use a different anti -inflammatory agent, or else to warn the patient and emphasise the importance of self -monitoring. Where necessary, adjust the dose during and after treatment with the anti-inflammatory agent. • Alcohol: increases the hypoglycaemic reaction (by inhibiting compensatory reactions) that can lead to the onset of hypoglycaemic coma. Avoid alcohol or medicines containing alcohol. Combinations requiring precautions for use Potentiation of the blood glucose lowering effect and thus, in some instances, hypoglycaemia may occur when one of the following drugs is taken: other anti -diabetic agents (insulins, acarbose, metformin, thiazol</x:v>
      </x:c>
      <x:c r="K21" s="14" t="str">
        <x:v>[]</x:v>
      </x:c>
      <x:c r="L21" s="13" t="str">
        <x:v>high</x:v>
      </x:c>
      <x:c r="M21" s="13" t="str">
        <x:v>eligible</x:v>
      </x:c>
      <x:c r="N21" s="14" t="str"/>
      <x:c r="O21" s="13" t="str">
        <x:f>IF(M21="eligible","YES","NO")</x:f>
        <x:v>YES</x:v>
      </x:c>
    </x:row>
    <x:row r="22" ht="72" customHeight="1">
      <x:c r="A22" s="13" t="str">
        <x:v>gliclazide</x:v>
      </x:c>
      <x:c r="B22" s="13" t="str">
        <x:v>alcohol</x:v>
      </x:c>
      <x:c r="C22" s="14" t="str">
        <x:v>แอลกอฮอล์/เครื่องดื่มแอลกอฮอล์</x:v>
      </x:c>
      <x:c r="D22" s="13" t="str">
        <x:v>severe</x:v>
      </x:c>
      <x:c r="E22" s="13" t="str">
        <x:v>avoid</x:v>
      </x:c>
      <x:c r="F22" s="13" t="str">
        <x:v>r0160_smpc</x:v>
      </x:c>
      <x:c r="G22" s="13" t="str">
        <x:v>SMPC</x:v>
      </x:c>
      <x:c r="H22" s="13" t="n">
        <x:v>6</x:v>
      </x:c>
      <x:c r="I22" s="14" t="str">
        <x:v>https://drug.fda.moph.go.th/media.php?id=810175662185914368&amp;name=SMPC_Gliclazide_Tablets.pdf</x:v>
      </x:c>
      <x:c r="J22" s="14" t="str">
        <x:v>which are not recommended: • Phenylbutazone (systemic route): increases the hypoglycaemic effect of sulfonylureas (displaces their binding to plasma proteins and/or reduces their elimination). It is preferable to use a different anti -inflammatory agent, or else to warn the patient and emphasise the importance of self -monitoring. Where necessary, adjust the dose during and after treatment with the anti-inflammatory agent. • Alcohol: increases the hypoglycaemic reaction (by inhibiting compensatory reactions) that can lead to the onset of hypoglycaemic coma. Avoid alcohol or medicines containing alcohol. Combinations requiring precautions for use: Potentiation of the blood glucose lowering effect and thus, in some instances, hypoglycaemia may occur when one of the following drugs is taken: other antidiabetic agents (insulins, acarbose, metformin, thiazoli</x:v>
      </x:c>
      <x:c r="K22" s="14" t="str">
        <x:v>[]</x:v>
      </x:c>
      <x:c r="L22" s="13" t="str">
        <x:v>high</x:v>
      </x:c>
      <x:c r="M22" s="13" t="str">
        <x:v>eligible</x:v>
      </x:c>
      <x:c r="N22" s="14" t="str"/>
      <x:c r="O22" s="13" t="str">
        <x:f>IF(M22="eligible","YES","NO")</x:f>
        <x:v>YES</x:v>
      </x:c>
    </x:row>
    <x:row r="23" ht="72" customHeight="1">
      <x:c r="A23" s="13" t="str">
        <x:v>glipizide</x:v>
      </x:c>
      <x:c r="B23" s="13" t="str">
        <x:v>alcohol</x:v>
      </x:c>
      <x:c r="C23" s="14" t="str">
        <x:v>แอลกอฮอล์/เครื่องดื่มแอลกอฮอล์</x:v>
      </x:c>
      <x:c r="D23" s="13" t="str">
        <x:v>severe</x:v>
      </x:c>
      <x:c r="E23" s="13" t="str">
        <x:v>consult</x:v>
      </x:c>
      <x:c r="F23" s="13" t="str">
        <x:v>r0161_smpc</x:v>
      </x:c>
      <x:c r="G23" s="13" t="str">
        <x:v>SMPC</x:v>
      </x:c>
      <x:c r="H23" s="13" t="n">
        <x:v>5</x:v>
      </x:c>
      <x:c r="I23" s="14" t="str">
        <x:v>https://drug.fda.moph.go.th/media.php?id=810176024078852096&amp;name=SMPC_Glipizide_Tablets.pdf</x:v>
      </x:c>
      <x:c r="J23" s="14" t="str">
        <x:v>roducts are likely to increase the hypoglycaemic effect: Contraindicated combinations Miconazole: Increase in hypoglycaemic effect, possibly leading to symptoms of hypoglycaemia or even coma. Inadvisable combinations Nonsteroidal Anti-inflammatory Drugs (e.g. phenylbutazone): Increase in hypoglycaemic effect of sulfonylureas (displacement of sulfonylurea binding to plasma proteins and/or decrease in sulfonylurea elimination). Alcohol: Increase in hypoglycaemic reaction, which can lead to hypoglycaemic coma.</x:v>
      </x:c>
      <x:c r="K23" s="14" t="str">
        <x:v>[]</x:v>
      </x:c>
      <x:c r="L23" s="13" t="str">
        <x:v>high</x:v>
      </x:c>
      <x:c r="M23" s="13" t="str">
        <x:v>eligible</x:v>
      </x:c>
      <x:c r="N23" s="14" t="str"/>
      <x:c r="O23" s="13" t="str">
        <x:f>IF(M23="eligible","YES","NO")</x:f>
        <x:v>YES</x:v>
      </x:c>
    </x:row>
    <x:row r="24" ht="72" customHeight="1">
      <x:c r="A24" s="13" t="str">
        <x:v>griseofulvin</x:v>
      </x:c>
      <x:c r="B24" s="13" t="str">
        <x:v>alcohol</x:v>
      </x:c>
      <x:c r="C24" s="14" t="str">
        <x:v>แอลกอฮอล์/เครื่องดื่มแอลกอฮอล์</x:v>
      </x:c>
      <x:c r="D24" s="13" t="str">
        <x:v>moderate</x:v>
      </x:c>
      <x:c r="E24" s="13" t="str">
        <x:v>avoid</x:v>
      </x:c>
      <x:c r="F24" s="13" t="str">
        <x:v>r0169_smpc</x:v>
      </x:c>
      <x:c r="G24" s="13" t="str">
        <x:v>SMPC</x:v>
      </x:c>
      <x:c r="H24" s="13" t="n">
        <x:v>6</x:v>
      </x:c>
      <x:c r="I24" s="14" t="str">
        <x:v>https://drug.fda.moph.go.th/media.php?id=810180959625420800&amp;name=SMPC_Griseofulvin_Film-coated tablet.pdf</x:v>
      </x:c>
      <x:c r="J24" s="14" t="str">
        <x:v>lae. Patients should be cautioned to avoid excessive and unnecessary exposure to sunlight or U.V sources, including sunbeds, during &lt;GENERIC NAME&gt; therapy as photosensitivity reactions can occur, see section 4.8. Consumption of alcohol in association with &lt;GENERIC NAME&gt; can result in an “Antabuse” type reaction, see section 4.5. Patients should be cautioned to avoid consumption of alcoholic beverages, and medicines containing alcohol, while undergoing &lt;GENERIC NAME&gt; therapy. In patients undergoing long term &lt;GENERIC NAME&gt; therapy, i.e for tinea unguium, consideration should be given to periodic monitoring of blood chemistry, particularly for patients with pre -existing blood disorders, since &lt;GENERIC NAME&gt; may cause blood disorders, see section 4.8. In common with any antibiotic, therapy with &lt;GENERIC NAME&gt; may result in the overgrowth of non -susceptible</x:v>
      </x:c>
      <x:c r="K24" s="14" t="str">
        <x:v>[]</x:v>
      </x:c>
      <x:c r="L24" s="13" t="str">
        <x:v>medium</x:v>
      </x:c>
      <x:c r="M24" s="13" t="str">
        <x:v>eligible</x:v>
      </x:c>
      <x:c r="N24" s="14" t="str"/>
      <x:c r="O24" s="13" t="str">
        <x:f>IF(M24="eligible","YES","NO")</x:f>
        <x:v>YES</x:v>
      </x:c>
    </x:row>
    <x:row r="25" ht="72" customHeight="1">
      <x:c r="A25" s="13" t="str">
        <x:v>haloperidol</x:v>
      </x:c>
      <x:c r="B25" s="13" t="str">
        <x:v>alcohol</x:v>
      </x:c>
      <x:c r="C25" s="14" t="str">
        <x:v>แอลกอฮอล์/เครื่องดื่มแอลกอฮอล์</x:v>
      </x:c>
      <x:c r="D25" s="13" t="str">
        <x:v>moderate</x:v>
      </x:c>
      <x:c r="E25" s="13" t="str">
        <x:v>consult</x:v>
      </x:c>
      <x:c r="F25" s="13" t="str">
        <x:v>r0172_smpc</x:v>
      </x:c>
      <x:c r="G25" s="13" t="str">
        <x:v>SMPC</x:v>
      </x:c>
      <x:c r="H25" s="13" t="n">
        <x:v>11</x:v>
      </x:c>
      <x:c r="I25" s="14" t="str">
        <x:v>https://drug.fda.moph.go.th/media.php?id=808571302360260608&amp;name=SmPC - Haloperidol ORAL SOLUTION.pdf</x:v>
      </x:c>
      <x:c r="J25" s="14" t="str">
        <x:v>1 Ref: HALDOL, MHRA, 03/11/2023 11 It has been reported that seizures can be triggered by haloperidol. Caution is advised in patients suffering from epilepsy and in conditions predisposing to seizures (e.g. alcohol withdrawal and brain damage). Hepatobiliary concerns As haloperidol is metabolised by the liver, dose adjustment and caution is advised in patients with hepatic impairment (see sections 4.2 and 5.2). Isolated cases of liver function abnormalities or hepatitis, most often cholestatic, have been reported (see section 4.8). Endocrine system concerns Thyroxin may facilitate haloperidol toxicity. Antipsychotic therapy in patients</x:v>
      </x:c>
      <x:c r="K25" s="14" t="str">
        <x:v>["liver"]</x:v>
      </x:c>
      <x:c r="L25" s="13" t="str">
        <x:v>medium</x:v>
      </x:c>
      <x:c r="M25" s="13" t="str">
        <x:v>eligible</x:v>
      </x:c>
      <x:c r="N25" s="14" t="str"/>
      <x:c r="O25" s="13" t="str">
        <x:f>IF(M25="eligible","YES","NO")</x:f>
        <x:v>YES</x:v>
      </x:c>
    </x:row>
    <x:row r="26" ht="72" customHeight="1">
      <x:c r="A26" s="13" t="str">
        <x:v>hydroxyzine</x:v>
      </x:c>
      <x:c r="B26" s="13" t="str">
        <x:v>alcohol</x:v>
      </x:c>
      <x:c r="C26" s="14" t="str">
        <x:v>แอลกอฮอล์/เครื่องดื่มแอลกอฮอล์</x:v>
      </x:c>
      <x:c r="D26" s="13" t="str">
        <x:v>moderate</x:v>
      </x:c>
      <x:c r="E26" s="13" t="str">
        <x:v>consult</x:v>
      </x:c>
      <x:c r="F26" s="13" t="str">
        <x:v>r0179_smpc</x:v>
      </x:c>
      <x:c r="G26" s="13" t="str">
        <x:v>SMPC</x:v>
      </x:c>
      <x:c r="H26" s="13" t="n">
        <x:v>6</x:v>
      </x:c>
      <x:c r="I26" s="14" t="str">
        <x:v>https://drug.fda.moph.go.th/media.php?id=810382200729116672&amp;name=SMPC_Hydroxyzine_Film-coated tablets.pdf</x:v>
      </x:c>
      <x:c r="J26" s="14" t="str">
        <x:v>cin, moxifloxacin ), some antifungal agents (e.g. pentamidine ), some gastrointestinal medicines (e.g. prucalopride ), some medicines used in cancer (e.g., toremifene, vandetanib ), methadone, increase the risk of cardiac arrhythmia. Therefore, the combination is contra -indicated (see section 4.3). Associations requiring precaution of use Caution with bradycardia and hypokalaemia-inducing drugs. Hydroxyzine is metabolized by alcohol dehydrogenase and CYP3A4 /5 and an increase in hydroxyzine blood concentrations may be expected when hydroxyzine is co -administered with drugs known to be potent inhibitors of these enzymes. Hydroxyzine may also have the following interactions: Methocholine test Treatment should be stopped for 96 hours prior to a methacholine test, to avoid effects on the test results (see section 4 .4 'Special warnings and precautions for u</x:v>
      </x:c>
      <x:c r="K26" s="14" t="str">
        <x:v>[]</x:v>
      </x:c>
      <x:c r="L26" s="13" t="str">
        <x:v>medium</x:v>
      </x:c>
      <x:c r="M26" s="13" t="str">
        <x:v>eligible</x:v>
      </x:c>
      <x:c r="N26" s="14" t="str"/>
      <x:c r="O26" s="13" t="str">
        <x:f>IF(M26="eligible","YES","NO")</x:f>
        <x:v>YES</x:v>
      </x:c>
    </x:row>
    <x:row r="27" ht="72" customHeight="1">
      <x:c r="A27" s="13" t="str">
        <x:v>isoniazid</x:v>
      </x:c>
      <x:c r="B27" s="13" t="str">
        <x:v>alcohol</x:v>
      </x:c>
      <x:c r="C27" s="14" t="str">
        <x:v>แอลกอฮอล์/เครื่องดื่มแอลกอฮอล์</x:v>
      </x:c>
      <x:c r="D27" s="13" t="str">
        <x:v>moderate</x:v>
      </x:c>
      <x:c r="E27" s="13" t="str">
        <x:v>avoid</x:v>
      </x:c>
      <x:c r="F27" s="13" t="str">
        <x:v>r0417_pil</x:v>
      </x:c>
      <x:c r="G27" s="13" t="str">
        <x:v>PIL</x:v>
      </x:c>
      <x:c r="H27" s="13" t="n">
        <x:v>1</x:v>
      </x:c>
      <x:c r="I27" s="14" t="str">
        <x:v>https://drug.fda.moph.go.th/media.php?id=862918388467507200&amp;name=33. isoniazid_tablets_PIL_final.pdf</x:v>
      </x:c>
      <x:c r="J27" s="14" t="str">
        <x:v>ป ห ้ ามกินยาเพิ่มเป ็ น 2 เท่า 3.3 ถ้ากินยานี้เกินขนาดที่แนะน า ควรท าอย่างไร • ให ้สังเกตอาการอย่างใกล ้ชิด หากมีอาการผิดปกติที่ รุนแรง ให ้น าส่งโรงพยาบาลทันที 4. ข้อควรปฏิบ ัติระหว่างใช้ยานี้ • ให ้ กินยานี้ติดต่อกันทุกวันจนครบตามค าแนะน าของ แพทย์ หรือเภสัชกร แม ้อาการจะดีขึ้นแล ้วก็ตาม มิฉะนั้นเชื้อจะดื้อยา • พบแพทย์ตามนัดอย่างสม ่าเสมอ เพื่อติดตาม ผลการรักษาหรืออันตรายจากยา • หลีกเลี่ยงการดื่มเหล ้ าหรือเครื่องดื่มที่มีแอลกอฮอล์ ระหว่างใช ้ยานี้ เพราะอาจเพิ่มความเสี่ยงให ้เกิด อันตรายจากยา 5. อ ั นตรายที่อาจเกิดจากยา 5.1 อาการที่ต้องหยุดยาแล้วไปพบแพทย์ท ั นที • บวมที่ใบหน ้ า เปลือกตา ริมฝ ี ปาก ลมพิษ • หน ้ ามืด เป ็ นลม แน่นหน ้ าอก หายใจล าบาก • ผื่นแดง ตุ่มพอง จ ้าตามผิวหนัง หรือมีการหลุดลอก ของผิวหนังหรือบริเวณเยื่อบุต่าง ๆ เช่น ในช่องปาก ล าคอ จมูก อวัยวะสืบพันธุ์ และเยื่อบุตาอักเสบ ร่วมกับอาการไข ้ • ปวดท ้ องรุนแรง ปวดร ้ าวไปที่หลัง • ตัวเหล</x:v>
      </x:c>
      <x:c r="K27" s="14" t="str">
        <x:v>[]</x:v>
      </x:c>
      <x:c r="L27" s="13" t="str">
        <x:v>medium</x:v>
      </x:c>
      <x:c r="M27" s="13" t="str">
        <x:v>eligible</x:v>
      </x:c>
      <x:c r="N27" s="14" t="str"/>
      <x:c r="O27" s="13" t="str">
        <x:f>IF(M27="eligible","YES","NO")</x:f>
        <x:v>YES</x:v>
      </x:c>
    </x:row>
    <x:row r="28" ht="72" customHeight="1">
      <x:c r="A28" s="13" t="str">
        <x:v>mefenamic_acid</x:v>
      </x:c>
      <x:c r="B28" s="13" t="str">
        <x:v>alcohol</x:v>
      </x:c>
      <x:c r="C28" s="14" t="str">
        <x:v>แอลกอฮอล์/เครื่องดื่มแอลกอฮอล์</x:v>
      </x:c>
      <x:c r="D28" s="13" t="str">
        <x:v>moderate</x:v>
      </x:c>
      <x:c r="E28" s="13" t="str">
        <x:v>consult</x:v>
      </x:c>
      <x:c r="F28" s="13" t="str">
        <x:v>r0226_smpc</x:v>
      </x:c>
      <x:c r="G28" s="13" t="str">
        <x:v>SMPC</x:v>
      </x:c>
      <x:c r="H28" s="13" t="n">
        <x:v>6</x:v>
      </x:c>
      <x:c r="I28" s="14" t="str">
        <x:v>https://drug.fda.moph.go.th/media.php?id=810410734201741312&amp;name=SMPC_Mefenamic acid_Capsules.pdf</x:v>
      </x:c>
      <x:c r="J28" s="14" t="str">
        <x:v>ould alert the physician to investigate other causes. Epilepsy: Caution should be exercised when treating patients suffering from epilepsy. In patients who are known or suspected to be poor CYP2C9 metabolisers based on previous history/experience with other CYP2C9 substrates, mefenamic acid should be administered with caution as they may have abnormally high plasma levels due to reduced metabo lic clearance (see section 5.2). Alcohol: Concomitant consumption of alcohol with mefenamic acid may increase gastrointestinal bleeding, ulceration and perforation. Excipient information &lt;REGARDING THE APPROVAL&gt; 4.5. Interaction with other medicinal products and other forms of interaction Concurrent therapy with other plasma protein binding drugs may necessitate a modification in dosage. Anti-coagulants: NSAIDs may enhance the effects of anti -coagulants, such as wa</x:v>
      </x:c>
      <x:c r="K28" s="14" t="str">
        <x:v>[]</x:v>
      </x:c>
      <x:c r="L28" s="13" t="str">
        <x:v>medium</x:v>
      </x:c>
      <x:c r="M28" s="13" t="str">
        <x:v>eligible</x:v>
      </x:c>
      <x:c r="N28" s="14" t="str"/>
      <x:c r="O28" s="13" t="str">
        <x:f>IF(M28="eligible","YES","NO")</x:f>
        <x:v>YES</x:v>
      </x:c>
    </x:row>
    <x:row r="29" ht="72" customHeight="1">
      <x:c r="A29" s="13" t="str">
        <x:v>metformin</x:v>
      </x:c>
      <x:c r="B29" s="13" t="str">
        <x:v>alcohol</x:v>
      </x:c>
      <x:c r="C29" s="14" t="str">
        <x:v>แอลกอฮอล์/เครื่องดื่มแอลกอฮอล์</x:v>
      </x:c>
      <x:c r="D29" s="13" t="str">
        <x:v>moderate</x:v>
      </x:c>
      <x:c r="E29" s="13" t="str">
        <x:v>consult</x:v>
      </x:c>
      <x:c r="F29" s="13" t="str">
        <x:v>r0228_smpc</x:v>
      </x:c>
      <x:c r="G29" s="13" t="str">
        <x:v>SMPC</x:v>
      </x:c>
      <x:c r="H29" s="13" t="n">
        <x:v>7</x:v>
      </x:c>
      <x:c r="I29" s="14" t="str">
        <x:v>https://drug.fda.moph.go.th/media.php?id=810411685197258752&amp;name=SMPC_Metformin_Film-coated Tablet.pdf</x:v>
      </x:c>
      <x:c r="J29" s="14" t="str">
        <x:v>1 Ref:Ketotifen, MHRA, 24/12/2020 7 Alcohol intoxication is associated with an increased risk of lactic acidosis, particularly in case of fasting, malnutrition or hepatic impairment. Iodinated contrast agents Metformin must be discontinued prior to or at the time of the imaging procedure and not restarted until at least 48 hours after, provided that renal function has been re-evaluated and found to be stable, see sections 4.2 and 4.4. Combinations requiring precautions</x:v>
      </x:c>
      <x:c r="K29" s="14" t="str">
        <x:v>["liver"]</x:v>
      </x:c>
      <x:c r="L29" s="13" t="str">
        <x:v>medium</x:v>
      </x:c>
      <x:c r="M29" s="13" t="str">
        <x:v>eligible</x:v>
      </x:c>
      <x:c r="N29" s="14" t="str"/>
      <x:c r="O29" s="13" t="str">
        <x:f>IF(M29="eligible","YES","NO")</x:f>
        <x:v>YES</x:v>
      </x:c>
    </x:row>
    <x:row r="30" ht="72" customHeight="1">
      <x:c r="A30" s="13" t="str">
        <x:v>methocarbamol</x:v>
      </x:c>
      <x:c r="B30" s="13" t="str">
        <x:v>alcohol</x:v>
      </x:c>
      <x:c r="C30" s="14" t="str">
        <x:v>แอลกอฮอล์/เครื่องดื่มแอลกอฮอล์</x:v>
      </x:c>
      <x:c r="D30" s="13" t="str">
        <x:v>severe</x:v>
      </x:c>
      <x:c r="E30" s="13" t="str">
        <x:v>avoid</x:v>
      </x:c>
      <x:c r="F30" s="13" t="str">
        <x:v>r0230_smpc</x:v>
      </x:c>
      <x:c r="G30" s="13" t="str">
        <x:v>SMPC</x:v>
      </x:c>
      <x:c r="H30" s="13" t="n">
        <x:v>4</x:v>
      </x:c>
      <x:c r="I30" s="14" t="str">
        <x:v>https://drug.fda.moph.go.th/media.php?id=810412334496489472&amp;name=SMPC_Methocarbamol_Film-coated Tablet.pdf</x:v>
      </x:c>
      <x:c r="J30" s="14" t="str">
        <x:v>n The concomitant administration of &lt;GENERIC NAME&gt; and centrally acting medicinal products such as barbiturates, opioids and appetite suppressants may potentiate the effect of these products. Using &lt;GENERIC NAME&gt; together with alcohol may potentiate the effect of the medicinal product. The effects of anticholinergics, such as atropine and other psychotropic medicinal products may be increased by &lt;GENERIC NAME&gt;. Consumption of alcohol during &lt;GENERIC NAME&gt; treatment may lead to an increased effect. &lt;GENERIC NAME&gt; may inhibit the effect of pyridostigmine bromide. Therefore, &lt;GENERIC NAME&gt; must not be taken by patients with myasthenia gravis especially those who are being treated with pyridostigmine (see section 4.3). 4.6. Fertility, pregnancy and lactation Pregnancy There is no experience in the use of &lt;GENERIC NAME&gt; during pregnancy. Data from animal studi</x:v>
      </x:c>
      <x:c r="K30" s="14" t="str">
        <x:v>[]</x:v>
      </x:c>
      <x:c r="L30" s="13" t="str">
        <x:v>high</x:v>
      </x:c>
      <x:c r="M30" s="13" t="str">
        <x:v>eligible</x:v>
      </x:c>
      <x:c r="N30" s="14" t="str"/>
      <x:c r="O30" s="13" t="str">
        <x:f>IF(M30="eligible","YES","NO")</x:f>
        <x:v>YES</x:v>
      </x:c>
    </x:row>
    <x:row r="31" ht="72" customHeight="1">
      <x:c r="A31" s="13" t="str">
        <x:v>methotrexate</x:v>
      </x:c>
      <x:c r="B31" s="13" t="str">
        <x:v>alcohol</x:v>
      </x:c>
      <x:c r="C31" s="14" t="str">
        <x:v>แอลกอฮอล์/เครื่องดื่มแอลกอฮอล์</x:v>
      </x:c>
      <x:c r="D31" s="13" t="str">
        <x:v>moderate</x:v>
      </x:c>
      <x:c r="E31" s="13" t="str">
        <x:v>avoid</x:v>
      </x:c>
      <x:c r="F31" s="13" t="str">
        <x:v>r0399_pil</x:v>
      </x:c>
      <x:c r="G31" s="13" t="str">
        <x:v>PIL</x:v>
      </x:c>
      <x:c r="H31" s="13" t="n">
        <x:v>1</x:v>
      </x:c>
      <x:c r="I31" s="14" t="str">
        <x:v>https://drug.fda.moph.go.th/media.php?id=862918389411225600&amp;name=15.Methotrexate_Inj_PIL_final.pdf</x:v>
      </x:c>
      <x:c r="J31" s="14" t="str">
        <x:v>าสงส ัยว่าได้ร ับยานี้เกินขนาด ควรท าอย่างไร • ให ้ แจ ้ งแพทย์หรือพยาบาลทันที 4. ข้อควรปฏิบ ัติระหว่างใช้ยานี้ • พบแพทย์ตามนัดอย่างสม ่าเสมอ เพื่อติดตาม ผลการรักษาหรืออันตรายจากยา • ควรงดให ้ นมลูกระหว่างใช ้ยานี้และหลังจากหยุดยา อย่างน ้ อย 1 สัปดาห์ • ควรคุมก าเนิดด ้ วยวิธีที่มีประสิทธิภาพระหว่างการรักษา และหลังจากหยุดการรักษาอย่างน ้ อย 3-6 เดือนทั้งใน ผู ้ ชายและผู ้ หญิงวัยเจริญพันธุ์ • หลีกเลี่ยงการดื่มเครื่องดื่มที่มีแอลกอฮอล์ระหว่างใช ้ ยานี้ เพราะอาจเพิ่มความเสี่ยงท าให ้ เกิดอันตรายจากยา • หลีกเลี่ยงแสงแดดและควรใช ้ครีมกันแดด เพราะยานี้ อาจท าให ้ ผิวหนังไวต่อแสง • ระมัดระวังการขับขี่ยานยนต์ หรือท างานเกี่ยวกับ เครื่องจักรกล หรือท างานที่เสี่ยงต่อการพลัดตกจากที่ สูง เพราะยานี้อาจท าให ้เวียนหัว ง่วงซึม ตาพร่ามัว • หลีกเลี่ยงการไปในที่ชุมชนแออัด • รักษาความสะอาดในช่องปาก เพราะยานี้อาจท าให ้ เกิดแผลในช่องปากและติดเชื้อได ้ เอกสารนี้เป ็ นข้อมูลโด</x:v>
      </x:c>
      <x:c r="K31" s="14" t="str">
        <x:v>[]</x:v>
      </x:c>
      <x:c r="L31" s="13" t="str">
        <x:v>medium</x:v>
      </x:c>
      <x:c r="M31" s="13" t="str">
        <x:v>eligible</x:v>
      </x:c>
      <x:c r="N31" s="14" t="str"/>
      <x:c r="O31" s="13" t="str">
        <x:f>IF(M31="eligible","YES","NO")</x:f>
        <x:v>YES</x:v>
      </x:c>
    </x:row>
    <x:row r="32" ht="72" customHeight="1">
      <x:c r="A32" s="13" t="str">
        <x:v>metoclopramide</x:v>
      </x:c>
      <x:c r="B32" s="13" t="str">
        <x:v>alcohol</x:v>
      </x:c>
      <x:c r="C32" s="14" t="str">
        <x:v>แอลกอฮอล์/เครื่องดื่มแอลกอฮอล์</x:v>
      </x:c>
      <x:c r="D32" s="13" t="str">
        <x:v>severe</x:v>
      </x:c>
      <x:c r="E32" s="13" t="str">
        <x:v>avoid</x:v>
      </x:c>
      <x:c r="F32" s="13" t="str">
        <x:v>r0236_smpc</x:v>
      </x:c>
      <x:c r="G32" s="13" t="str">
        <x:v>SMPC</x:v>
      </x:c>
      <x:c r="H32" s="13" t="n">
        <x:v>7</x:v>
      </x:c>
      <x:c r="I32" s="14" t="str">
        <x:v>https://drug.fda.moph.go.th/media.php?id=810414829838934016&amp;name=SMPC_Metoclopramide_Tablets.pdf</x:v>
      </x:c>
      <x:c r="J32" s="14" t="str">
        <x:v>bances. There have been very rare reports of abnormalities of cardiac conduction with intravenous metoclopramide. Metoclopramide should be used with care with other drugs affecting cardiac conduction. 4.5. Interaction with other medicinal products and other forms of interaction Contraindicated combination Levodopa or dopaminergic agonists and metoclopramide have a mutual antagonism (see section 4.3). Combination to be avoided Alcohol potentiates the sedative effect of metoclopramide. Combination to be taken into account Due to the prokinetic effect of metoclopramide, the absorption of certain drugs may be modified.</x:v>
      </x:c>
      <x:c r="K32" s="14" t="str">
        <x:v>[]</x:v>
      </x:c>
      <x:c r="L32" s="13" t="str">
        <x:v>high</x:v>
      </x:c>
      <x:c r="M32" s="13" t="str">
        <x:v>eligible</x:v>
      </x:c>
      <x:c r="N32" s="14" t="str"/>
      <x:c r="O32" s="13" t="str">
        <x:f>IF(M32="eligible","YES","NO")</x:f>
        <x:v>YES</x:v>
      </x:c>
    </x:row>
    <x:row r="33" ht="72" customHeight="1">
      <x:c r="A33" s="13" t="str">
        <x:v>metoclopramide</x:v>
      </x:c>
      <x:c r="B33" s="13" t="str">
        <x:v>alcohol</x:v>
      </x:c>
      <x:c r="C33" s="14" t="str">
        <x:v>แอลกอฮอล์/เครื่องดื่มแอลกอฮอล์</x:v>
      </x:c>
      <x:c r="D33" s="13" t="str">
        <x:v>moderate</x:v>
      </x:c>
      <x:c r="E33" s="13" t="str">
        <x:v>avoid</x:v>
      </x:c>
      <x:c r="F33" s="13" t="str">
        <x:v>r0237_smpc</x:v>
      </x:c>
      <x:c r="G33" s="13" t="str">
        <x:v>SMPC</x:v>
      </x:c>
      <x:c r="H33" s="13" t="n">
        <x:v>10</x:v>
      </x:c>
      <x:c r="I33" s="14" t="str">
        <x:v>https://drug.fda.moph.go.th/media.php?id=810415338977107968&amp;name=SMPC_Metoclopramide_solution for infusion.pdf</x:v>
      </x:c>
      <x:c r="J33" s="14" t="str">
        <x:v>dium (23mg) per 6 ml, i.e. essentially ‘sodium- free’. 4.5. Interaction with other medicinal products and other forms of interaction Contraindicated combination Levodopa or dopaminergic agonists and metoclopramide have a mutual antagonism (see section 4.3). Metoclopramide should be used with care in association with other drugs acting at central dopamine receptors such as bromocriptine and pergolide. Combination to be avoided Alcohol potentiates the sedative effect of metoclopramide. Combination to be taken into account Due to the prokinetic effect of metoclopramide, the absorption of certain drugs may be modified.</x:v>
      </x:c>
      <x:c r="K33" s="14" t="str">
        <x:v>[]</x:v>
      </x:c>
      <x:c r="L33" s="13" t="str">
        <x:v>medium</x:v>
      </x:c>
      <x:c r="M33" s="13" t="str">
        <x:v>eligible</x:v>
      </x:c>
      <x:c r="N33" s="14" t="str"/>
      <x:c r="O33" s="13" t="str">
        <x:f>IF(M33="eligible","YES","NO")</x:f>
        <x:v>YES</x:v>
      </x:c>
    </x:row>
    <x:row r="34" ht="72" customHeight="1">
      <x:c r="A34" s="13" t="str">
        <x:v>metoclopramide</x:v>
      </x:c>
      <x:c r="B34" s="13" t="str">
        <x:v>alcohol</x:v>
      </x:c>
      <x:c r="C34" s="14" t="str">
        <x:v>แอลกอฮอล์/เครื่องดื่มแอลกอฮอล์</x:v>
      </x:c>
      <x:c r="D34" s="13" t="str">
        <x:v>severe</x:v>
      </x:c>
      <x:c r="E34" s="13" t="str">
        <x:v>avoid</x:v>
      </x:c>
      <x:c r="F34" s="13" t="str">
        <x:v>r0238_smpc</x:v>
      </x:c>
      <x:c r="G34" s="13" t="str">
        <x:v>SMPC</x:v>
      </x:c>
      <x:c r="H34" s="13" t="n">
        <x:v>6</x:v>
      </x:c>
      <x:c r="I34" s="14" t="str">
        <x:v>https://drug.fda.moph.go.th/media.php?id=810416020589256704&amp;name=SMPC_Metoclopramide_Oral Solution.pdf</x:v>
      </x:c>
      <x:c r="J34" s="14" t="str">
        <x:v>1 Ref:Metoclopramide hydrochloride 5mg/5ml Oral Solution, MHRA, 24/08/2023 6 4.5. Interaction with other medicinal products and other forms of interaction Contraindicated combination Levodopa or dopaminergic agonists and metoclopramide have a mutual antagonism (see section 4.3). Combination to be avoided Alcohol potentiates the sedative effect of metoclopramide. Combination to be taken into account Due to the prokinetic effect of metoclopramide, the absorption of certain drugs may be modified. Anticholinergics and morphine derivatives Anticholinergics and morphine derivatives may have both a mutual antagonism with metoclopramide on the digestive tract motility. Central nervous system depressants (morphine derivatives, anxiolytics, se</x:v>
      </x:c>
      <x:c r="K34" s="14" t="str">
        <x:v>[]</x:v>
      </x:c>
      <x:c r="L34" s="13" t="str">
        <x:v>high</x:v>
      </x:c>
      <x:c r="M34" s="13" t="str">
        <x:v>eligible</x:v>
      </x:c>
      <x:c r="N34" s="14" t="str"/>
      <x:c r="O34" s="13" t="str">
        <x:f>IF(M34="eligible","YES","NO")</x:f>
        <x:v>YES</x:v>
      </x:c>
    </x:row>
    <x:row r="35" ht="72" customHeight="1">
      <x:c r="A35" s="13" t="str">
        <x:v>metronidazole</x:v>
      </x:c>
      <x:c r="B35" s="13" t="str">
        <x:v>alcohol</x:v>
      </x:c>
      <x:c r="C35" s="14" t="str">
        <x:v>แอลกอฮอล์/เครื่องดื่มแอลกอฮอล์</x:v>
      </x:c>
      <x:c r="D35" s="13" t="str">
        <x:v>moderate</x:v>
      </x:c>
      <x:c r="E35" s="13" t="str">
        <x:v>consult</x:v>
      </x:c>
      <x:c r="F35" s="13" t="str">
        <x:v>r0239_smpc</x:v>
      </x:c>
      <x:c r="G35" s="13" t="str">
        <x:v>SMPC</x:v>
      </x:c>
      <x:c r="H35" s="13" t="n">
        <x:v>7</x:v>
      </x:c>
      <x:c r="I35" s="14" t="str">
        <x:v>https://drug.fda.moph.go.th/media.php?id=810416555195244544&amp;name=SMPC_Metronidazole_Tablets.pdf</x:v>
      </x:c>
      <x:c r="J35" s="14" t="str">
        <x:v>ions are based on a decrease in ultraviolet absorbance, a fact that occurs when nicotinamide adenine dinucleotide hydrogen (NADH) is oxidised to nicotinamide adenine dinucleotide (NAD). The interference is due to the similarity in the absorption peaks of NADH (340 nm) and metronidazole (322 nm) at pH 7. Excipient information &lt;REGARDING THE APPROVAL&gt; 4.5. Interaction with other medicinal products and other forms of interaction Alcohol: Patients should be advised not to take alcohol during metronidazole therapy and for at least 48 hours afterwards because of the possibility of a disulfiram-like (antabuse effect) reaction. Disulfiram: Psychotic reactions have been reported in patients who were using metronidazole and disulfiram concurrently. Oral anticoagulant therapy (warfarin type) : Some potentiation of anticoagulant therapy has been reported when metroni</x:v>
      </x:c>
      <x:c r="K35" s="14" t="str">
        <x:v>[]</x:v>
      </x:c>
      <x:c r="L35" s="13" t="str">
        <x:v>medium</x:v>
      </x:c>
      <x:c r="M35" s="13" t="str">
        <x:v>eligible</x:v>
      </x:c>
      <x:c r="N35" s="14" t="str"/>
      <x:c r="O35" s="13" t="str">
        <x:f>IF(M35="eligible","YES","NO")</x:f>
        <x:v>YES</x:v>
      </x:c>
    </x:row>
    <x:row r="36" ht="72" customHeight="1">
      <x:c r="A36" s="13" t="str">
        <x:v>metronidazole</x:v>
      </x:c>
      <x:c r="B36" s="13" t="str">
        <x:v>alcohol</x:v>
      </x:c>
      <x:c r="C36" s="14" t="str">
        <x:v>แอลกอฮอล์/เครื่องดื่มแอลกอฮอล์</x:v>
      </x:c>
      <x:c r="D36" s="13" t="str">
        <x:v>moderate</x:v>
      </x:c>
      <x:c r="E36" s="13" t="str">
        <x:v>avoid</x:v>
      </x:c>
      <x:c r="F36" s="13" t="str">
        <x:v>r0240_smpc</x:v>
      </x:c>
      <x:c r="G36" s="13" t="str">
        <x:v>SMPC</x:v>
      </x:c>
      <x:c r="H36" s="13" t="n">
        <x:v>8</x:v>
      </x:c>
      <x:c r="I36" s="14" t="str">
        <x:v>https://drug.fda.moph.go.th/media.php?id=810416973254107136&amp;name=SMPC_Metronidazole_Solutions for injections or infusions.pdf</x:v>
      </x:c>
      <x:c r="J36" s="14" t="str">
        <x:v>rmation &lt;REGARDING THE APPROVAL&gt; 4.5. Interaction with other medicinal products and other forms of interaction Not recommended concomitant therapy: Disulfiram: Concurrent use of metronidazole and disulfiram may result in psychotic reactions and confusion. Metronidazole should not be given to patients who have taken disulfiram within the last two weeks. Alcohol: Disulfiram -like effect (warmth, redness, vomiting, tachycardia). Alcohol beverage and drugs containing alcohol should be avoided. Patients should be advised not to take alcohol during Metronidazole therapy and at least 72 hours afterwards because of a disulfram -like (antabuse effect) reaction (flushing, vomiting, tachycardia). Concomitant therapy requiring special precautions: Oral anticoagulants (warfarin): metronidazole may increase the anticoagulant effects of warfarin and other oral anticoagu</x:v>
      </x:c>
      <x:c r="K36" s="14" t="str">
        <x:v>[]</x:v>
      </x:c>
      <x:c r="L36" s="13" t="str">
        <x:v>medium</x:v>
      </x:c>
      <x:c r="M36" s="13" t="str">
        <x:v>eligible</x:v>
      </x:c>
      <x:c r="N36" s="14" t="str"/>
      <x:c r="O36" s="13" t="str">
        <x:f>IF(M36="eligible","YES","NO")</x:f>
        <x:v>YES</x:v>
      </x:c>
    </x:row>
    <x:row r="37" ht="72" customHeight="1">
      <x:c r="A37" s="13" t="str">
        <x:v>mianserin</x:v>
      </x:c>
      <x:c r="B37" s="13" t="str">
        <x:v>alcohol</x:v>
      </x:c>
      <x:c r="C37" s="14" t="str">
        <x:v>แอลกอฮอล์/เครื่องดื่มแอลกอฮอล์</x:v>
      </x:c>
      <x:c r="D37" s="13" t="str">
        <x:v>moderate</x:v>
      </x:c>
      <x:c r="E37" s="13" t="str">
        <x:v>consult</x:v>
      </x:c>
      <x:c r="F37" s="13" t="str">
        <x:v>r0241_smpc</x:v>
      </x:c>
      <x:c r="G37" s="13" t="str">
        <x:v>SMPC</x:v>
      </x:c>
      <x:c r="H37" s="13" t="n">
        <x:v>6</x:v>
      </x:c>
      <x:c r="I37" s="14" t="str">
        <x:v>https://drug.fda.moph.go.th/media.php?id=810417450431684608&amp;name=SMPC_Mianserin_Tablets.pdf</x:v>
      </x:c>
      <x:c r="J37" s="14" t="str">
        <x:v>th mianserin. Carbamazepine and phenobarbital accelerate the metabolism of mianserin and can cause reduced plasma concentration. Mianserin may antagonise the anticonvulsant effect of antiepileptics, barbiturates and primidone by lowering the convulsive threshold (see section 4.4). Caution is advised in patients with epilepsy and other predisposing factors such as brain damage, conco mitant use of neuroleptics, withdrawal from alcohol. There may be increased risk of convulsions when antidepressants are given with atomoxetine. Interactions with sympathomimetic agents have not been reported, and are unlikely. Clinical experience has shown that mianserin does not interact with the anti-hypertensives bethanidine, clonidine, guanethidine or propranolol. Nevertheless, the monitoring of blood pressure is recommended for those patients receiving concurrent anti-hy</x:v>
      </x:c>
      <x:c r="K37" s="14" t="str">
        <x:v>[]</x:v>
      </x:c>
      <x:c r="L37" s="13" t="str">
        <x:v>medium</x:v>
      </x:c>
      <x:c r="M37" s="13" t="str">
        <x:v>eligible</x:v>
      </x:c>
      <x:c r="N37" s="14" t="str"/>
      <x:c r="O37" s="13" t="str">
        <x:f>IF(M37="eligible","YES","NO")</x:f>
        <x:v>YES</x:v>
      </x:c>
    </x:row>
    <x:row r="38" ht="72" customHeight="1">
      <x:c r="A38" s="13" t="str">
        <x:v>niclosamide</x:v>
      </x:c>
      <x:c r="B38" s="13" t="str">
        <x:v>alcohol</x:v>
      </x:c>
      <x:c r="C38" s="14" t="str">
        <x:v>แอลกอฮอล์/เครื่องดื่มแอลกอฮอล์</x:v>
      </x:c>
      <x:c r="D38" s="13" t="str">
        <x:v>moderate</x:v>
      </x:c>
      <x:c r="E38" s="13" t="str">
        <x:v>avoid</x:v>
      </x:c>
      <x:c r="F38" s="13" t="str">
        <x:v>r0420_pil</x:v>
      </x:c>
      <x:c r="G38" s="13" t="str">
        <x:v>PIL</x:v>
      </x:c>
      <x:c r="H38" s="13" t="n">
        <x:v>1</x:v>
      </x:c>
      <x:c r="I38" s="14" t="str">
        <x:v>https://drug.fda.moph.go.th/media.php?id=862918387754475520&amp;name=36.Niclosamide_Tablets_PIL_final.pdf</x:v>
      </x:c>
      <x:c r="J38" s="14" t="str">
        <x:v>• เคี้ยวยานี้ให ้ ละเอียดก่อนกลืน &lt;ปรับตามทะเบียน&gt; • กินยานี้พร ้ อมอาหารหรือหลังอาหารก็ได ้ 3.2 ถ้าลืมกินยาควรท าอย่างไร • กินยาทันทีที่นึกได ้ แต่ถ ้ าใกล ้ เวลาของมื้อต่อไปให ้ รอ กินยาของมื้อต่อไป ห ้ ามกินยาเพิ่มเป ็ น 2 เท่า 3.3 ถ้ากินยานี้เกินขนาดที่แนะน า ควรท าอย่างไร • ให ้สังเกตอาการอย่างใกล ้ชิด หากมีอาการผิดปกติที่ รุนแรง ให ้น าส่งโรงพยาบาลทันที 4. ข้อควรปฏิบ ัติระหว่างใช้ยานี้ • หลีกเลี่ยงการดื่มเครื่องดื่มที่มีแอลกอฮอล์ เพราะอาจ เพิ่มความเสี่ยงให ้เกิดอันตรายจากยา • รับประทานยาตามระยะเวลาที่แพทย์หรือเภสัชกร แนะน าอย่างเคร่งครัด 5. อ ั นตรายที่อาจเกิดจากยา 5.1 อาการที่ต้องหยุดยาแล้วไปพบแพทย์ท ั นที • ลมพิษ บวมที่ใบหน ้ า เปลือกตา ริมฝ ี ปาก • หน ้ ามืด เป ็ นลม แน่นหน ้ าอก หายใจล าบาก • ผื่นแดง ตุ่มพอง จ ้าตามผิวหนัง หรือมีการหลุดลอก ของผิวหนังหรือบริเวณเยื่อบุต่าง ๆ เช่น ในช่องปาก ล าคอ จมูก อวัยวะสืบพันธุ์ และเยื่อบุตาอักเสบ ร่วมกับ อาการไ</x:v>
      </x:c>
      <x:c r="K38" s="14" t="str">
        <x:v>[]</x:v>
      </x:c>
      <x:c r="L38" s="13" t="str">
        <x:v>medium</x:v>
      </x:c>
      <x:c r="M38" s="13" t="str">
        <x:v>eligible</x:v>
      </x:c>
      <x:c r="N38" s="14" t="str"/>
      <x:c r="O38" s="13" t="str">
        <x:f>IF(M38="eligible","YES","NO")</x:f>
        <x:v>YES</x:v>
      </x:c>
    </x:row>
    <x:row r="39" ht="72" customHeight="1">
      <x:c r="A39" s="13" t="str">
        <x:v>nortriptyline</x:v>
      </x:c>
      <x:c r="B39" s="13" t="str">
        <x:v>alcohol</x:v>
      </x:c>
      <x:c r="C39" s="14" t="str">
        <x:v>แอลกอฮอล์/เครื่องดื่มแอลกอฮอล์</x:v>
      </x:c>
      <x:c r="D39" s="13" t="str">
        <x:v>moderate</x:v>
      </x:c>
      <x:c r="E39" s="13" t="str">
        <x:v>avoid</x:v>
      </x:c>
      <x:c r="F39" s="13" t="str">
        <x:v>r0257_smpc</x:v>
      </x:c>
      <x:c r="G39" s="13" t="str">
        <x:v>SMPC</x:v>
      </x:c>
      <x:c r="H39" s="13" t="n">
        <x:v>9</x:v>
      </x:c>
      <x:c r="I39" s="14" t="str">
        <x:v>https://drug.fda.moph.go.th/media.php?id=810424052261986304&amp;name=SMPC_Nortriptyline_Film-coated Tablet.pdf</x:v>
      </x:c>
      <x:c r="J39" s="14" t="str">
        <x:v>adol to the active metabolite and thereby increasing tramadol concentrations potentially causing opioid toxicity. Antimycotics such as fluconazole and terbinafine raise the serum levels of tricyclic antidepressants and the accompanying toxicity. Syncope and torsade de pointes have been reported. Combinations which require caution when used Central nervous system depressants: Nortriptyline can potentiate the sedative effect of alcohol, barbiturates and other central nervous system depressants. The sedative effect of antipsychotics, hypnotics, sedatives, anxiolytics and antihistamines is poten tiated. Alcohol should be avoided. The dosages of these drugs should be lowered in these cases. Antidepressants in combination with thyreomimetics can lead to symptoms of hyperthyroidism. Moreover, thyreomimetics can potentiate the antidepressant effect. The metabolis</x:v>
      </x:c>
      <x:c r="K39" s="14" t="str">
        <x:v>[]</x:v>
      </x:c>
      <x:c r="L39" s="13" t="str">
        <x:v>medium</x:v>
      </x:c>
      <x:c r="M39" s="13" t="str">
        <x:v>eligible</x:v>
      </x:c>
      <x:c r="N39" s="14" t="str"/>
      <x:c r="O39" s="13" t="str">
        <x:f>IF(M39="eligible","YES","NO")</x:f>
        <x:v>YES</x:v>
      </x:c>
    </x:row>
    <x:row r="40" ht="72" customHeight="1">
      <x:c r="A40" s="13" t="str">
        <x:v>paracetamol</x:v>
      </x:c>
      <x:c r="B40" s="13" t="str">
        <x:v>alcohol</x:v>
      </x:c>
      <x:c r="C40" s="14" t="str">
        <x:v>แอลกอฮอล์/เครื่องดื่มแอลกอฮอล์</x:v>
      </x:c>
      <x:c r="D40" s="13" t="str">
        <x:v>moderate</x:v>
      </x:c>
      <x:c r="E40" s="13" t="str">
        <x:v>consult</x:v>
      </x:c>
      <x:c r="F40" s="13" t="str">
        <x:v>r0266_smpc</x:v>
      </x:c>
      <x:c r="G40" s="13" t="str">
        <x:v>SMPC</x:v>
      </x:c>
      <x:c r="H40" s="13" t="n">
        <x:v>2</x:v>
      </x:c>
      <x:c r="I40" s="14" t="str">
        <x:v>https://drug.fda.moph.go.th/media.php?id=810427720377966592&amp;name=SMPC_Paracetamol_Capsules.pdf</x:v>
      </x:c>
      <x:c r="J40" s="14" t="str">
        <x:v>pt out of the reach of children. Consumers who are chronic alcohol abusers or have hepatic disease should ask their doctor whether they should take paracetamol or other pain relievers or fever reducers. Physicians should be cognizant of and supervise the use of paracetamol in patients with chronic alcoholism, serious kidney or serious liver disease. Physicians should alert their patients who regularly consume large amounts of alcohol not to exceed the recommended doses of paracetamol. Chronic heavy alcohol abusers may be at increased risk of liver toxicity from excessive doses of paracetamol. Patients should be counseled to stop use and consult a physician if redness or swelling is present in an area of pain, if symptoms do not improve or if they worsen; if pain or fever persists or gets worse; or if</x:v>
      </x:c>
      <x:c r="K40" s="14" t="str">
        <x:v>["kidney","liver"]</x:v>
      </x:c>
      <x:c r="L40" s="13" t="str">
        <x:v>medium</x:v>
      </x:c>
      <x:c r="M40" s="13" t="str">
        <x:v>eligible</x:v>
      </x:c>
      <x:c r="N40" s="14" t="str"/>
      <x:c r="O40" s="13" t="str">
        <x:f>IF(M40="eligible","YES","NO")</x:f>
        <x:v>YES</x:v>
      </x:c>
    </x:row>
    <x:row r="41" ht="72" customHeight="1">
      <x:c r="A41" s="13" t="str">
        <x:v>paracetamol</x:v>
      </x:c>
      <x:c r="B41" s="13" t="str">
        <x:v>alcohol</x:v>
      </x:c>
      <x:c r="C41" s="14" t="str">
        <x:v>แอลกอฮอล์/เครื่องดื่มแอลกอฮอล์</x:v>
      </x:c>
      <x:c r="D41" s="13" t="str">
        <x:v>moderate</x:v>
      </x:c>
      <x:c r="E41" s="13" t="str">
        <x:v>consult</x:v>
      </x:c>
      <x:c r="F41" s="13" t="str">
        <x:v>r0266_smpc</x:v>
      </x:c>
      <x:c r="G41" s="13" t="str">
        <x:v>SMPC</x:v>
      </x:c>
      <x:c r="H41" s="13" t="n">
        <x:v>4</x:v>
      </x:c>
      <x:c r="I41" s="14" t="str">
        <x:v>https://drug.fda.moph.go.th/media.php?id=810427720377966592&amp;name=SMPC_Paracetamol_Capsules.pdf</x:v>
      </x:c>
      <x:c r="J41" s="14" t="str">
        <x:v>hypoglycemia, and encephalopathy. Renal failure and cardiomyopathy may also occur. In the event of known or suspected overdosage, treatment with N -acetyl cysteine should be instituted immediately (see OVERDOSAGE section below), even when there are no obvious symptoms. Failure to promptly treat paracetamol hepatotoxicity with N-acetyl cysteine can result in liver failure, leading to liver transplantation and/or death. Chronic Alcohol Use: Excessive alcohol use may increase risk of liver toxicity from paracetamol overdose (acute or chronic) Prospective data from Kuffner demonstrate that chronic alcoholics can take recommended doses of paracetamol without the added risk of liver injury. In these prospective, placebo-controlled studies, the researchers evaluated an actively drinking group of alcoholics with a high prevalence of malnourishment. The study part</x:v>
      </x:c>
      <x:c r="K41" s="14" t="str">
        <x:v>["liver"]</x:v>
      </x:c>
      <x:c r="L41" s="13" t="str">
        <x:v>medium</x:v>
      </x:c>
      <x:c r="M41" s="13" t="str">
        <x:v>eligible</x:v>
      </x:c>
      <x:c r="N41" s="14" t="str"/>
      <x:c r="O41" s="13" t="str">
        <x:f>IF(M41="eligible","YES","NO")</x:f>
        <x:v>YES</x:v>
      </x:c>
    </x:row>
    <x:row r="42" ht="72" customHeight="1">
      <x:c r="A42" s="13" t="str">
        <x:v>paracetamol</x:v>
      </x:c>
      <x:c r="B42" s="13" t="str">
        <x:v>alcohol</x:v>
      </x:c>
      <x:c r="C42" s="14" t="str">
        <x:v>แอลกอฮอล์/เครื่องดื่มแอลกอฮอล์</x:v>
      </x:c>
      <x:c r="D42" s="13" t="str">
        <x:v>moderate</x:v>
      </x:c>
      <x:c r="E42" s="13" t="str">
        <x:v>consult</x:v>
      </x:c>
      <x:c r="F42" s="13" t="str">
        <x:v>r0266_smpc</x:v>
      </x:c>
      <x:c r="G42" s="13" t="str">
        <x:v>SMPC</x:v>
      </x:c>
      <x:c r="H42" s="13" t="n">
        <x:v>7</x:v>
      </x:c>
      <x:c r="I42" s="14" t="str">
        <x:v>https://drug.fda.moph.go.th/media.php?id=810427720377966592&amp;name=SMPC_Paracetamol_Capsules.pdf</x:v>
      </x:c>
      <x:c r="J42" s="14" t="str">
        <x:v>ts but, more importantly, the half -life and metabolic clearance per total body weight did not differ among groups. Excipient information &lt;REGARDING THE APPROVAL&gt; 4.5. Interaction with other medicinal products and other forms of interaction Analgesics Caution is recommended when analgesic products are used in combination because of possible increases in adverse events (e.g. nephrotoxicity, gastrointestinal lesions, bleeding). Alcohol: Studies evaluating the metabolism of doses up to 20 mg/kg of paracetamol in chronic alcohol abusers and a study evaluating the effects of 2 days of paracetamol dosing at 4000 mg/d in chronic alcoholics undergoing detoxification, have yielded inconsistent results with regard to effects on paracetamol pharmacokinetics and demonstrate no evidence of adverse effect on liver function tests. Anticoagulants-Oral: Patients who conco</x:v>
      </x:c>
      <x:c r="K42" s="14" t="str">
        <x:v>[]</x:v>
      </x:c>
      <x:c r="L42" s="13" t="str">
        <x:v>medium</x:v>
      </x:c>
      <x:c r="M42" s="13" t="str">
        <x:v>eligible</x:v>
      </x:c>
      <x:c r="N42" s="14" t="str"/>
      <x:c r="O42" s="13" t="str">
        <x:f>IF(M42="eligible","YES","NO")</x:f>
        <x:v>YES</x:v>
      </x:c>
    </x:row>
    <x:row r="43" ht="72" customHeight="1">
      <x:c r="A43" s="13" t="str">
        <x:v>paracetamol</x:v>
      </x:c>
      <x:c r="B43" s="13" t="str">
        <x:v>alcohol</x:v>
      </x:c>
      <x:c r="C43" s="14" t="str">
        <x:v>แอลกอฮอล์/เครื่องดื่มแอลกอฮอล์</x:v>
      </x:c>
      <x:c r="D43" s="13" t="str">
        <x:v>moderate</x:v>
      </x:c>
      <x:c r="E43" s="13" t="str">
        <x:v>consult</x:v>
      </x:c>
      <x:c r="F43" s="13" t="str">
        <x:v>r0267_smpc</x:v>
      </x:c>
      <x:c r="G43" s="13" t="str">
        <x:v>SMPC</x:v>
      </x:c>
      <x:c r="H43" s="13" t="n">
        <x:v>2</x:v>
      </x:c>
      <x:c r="I43" s="14" t="str">
        <x:v>https://drug.fda.moph.go.th/media.php?id=810428236826812416&amp;name=SMPC_Paracetamol_Elixir.pdf</x:v>
      </x:c>
      <x:c r="J43" s="14" t="str">
        <x:v>pt out of the reach of children. Consumers who are chronic alcohol abusers or have hepatic disease should ask their doctor whether they should take paracetamol or other pain relievers or fever reducers. Physicians should be cognizant of and supervise the use of paracetamol in patients with chronic alcoholism, serious kidney or serious liver disease. Physicians should alert their patients who regularly consume large amounts of alcohol not to exceed the recommended doses of paracetamol. Chronic heavy alcohol abusers may be at increased risk of liver toxicity from excessive doses of paracetamol. Patients should be counseled to stop use and consult a physician if redness or swelling is present in an area of pain, if symptoms do not improve or if they worsen; if pain or fever persists or gets worse; or if</x:v>
      </x:c>
      <x:c r="K43" s="14" t="str">
        <x:v>["kidney","liver"]</x:v>
      </x:c>
      <x:c r="L43" s="13" t="str">
        <x:v>medium</x:v>
      </x:c>
      <x:c r="M43" s="13" t="str">
        <x:v>eligible</x:v>
      </x:c>
      <x:c r="N43" s="14" t="str"/>
      <x:c r="O43" s="13" t="str">
        <x:f>IF(M43="eligible","YES","NO")</x:f>
        <x:v>YES</x:v>
      </x:c>
    </x:row>
    <x:row r="44" ht="72" customHeight="1">
      <x:c r="A44" s="13" t="str">
        <x:v>paracetamol</x:v>
      </x:c>
      <x:c r="B44" s="13" t="str">
        <x:v>alcohol</x:v>
      </x:c>
      <x:c r="C44" s="14" t="str">
        <x:v>แอลกอฮอล์/เครื่องดื่มแอลกอฮอล์</x:v>
      </x:c>
      <x:c r="D44" s="13" t="str">
        <x:v>moderate</x:v>
      </x:c>
      <x:c r="E44" s="13" t="str">
        <x:v>consult</x:v>
      </x:c>
      <x:c r="F44" s="13" t="str">
        <x:v>r0267_smpc</x:v>
      </x:c>
      <x:c r="G44" s="13" t="str">
        <x:v>SMPC</x:v>
      </x:c>
      <x:c r="H44" s="13" t="n">
        <x:v>4</x:v>
      </x:c>
      <x:c r="I44" s="14" t="str">
        <x:v>https://drug.fda.moph.go.th/media.php?id=810428236826812416&amp;name=SMPC_Paracetamol_Elixir.pdf</x:v>
      </x:c>
      <x:c r="J44" s="14" t="str">
        <x:v>hypoglycemia, and encephalopathy. Renal failure and cardiomyopathy may also occur. In the event of known or suspected overdosage, treatment with N -acetyl cysteine should be instituted immediately (see OVERDOSAGE section below), even when there are no obvious symptoms. Failure to promptly treat paracetamol hepatotoxicity with N-acetyl cysteine can result in liver failure, leading to liver transplantation and/or death. Chronic Alcohol Use: Excessive alcohol use may increase risk of liver toxicity from paracetamol overdose (acute or chronic) Prospective data from Kuffner demonstrate that chronic alcoholics can take recommended doses of paracetamol without the added risk of liver injury. In these prospective, placebo-controlled studies, the researchers evaluated an actively drinking group of alcoholics with a high prevalence of malnourishment. The study part</x:v>
      </x:c>
      <x:c r="K44" s="14" t="str">
        <x:v>["liver"]</x:v>
      </x:c>
      <x:c r="L44" s="13" t="str">
        <x:v>medium</x:v>
      </x:c>
      <x:c r="M44" s="13" t="str">
        <x:v>eligible</x:v>
      </x:c>
      <x:c r="N44" s="14" t="str"/>
      <x:c r="O44" s="13" t="str">
        <x:f>IF(M44="eligible","YES","NO")</x:f>
        <x:v>YES</x:v>
      </x:c>
    </x:row>
    <x:row r="45" ht="72" customHeight="1">
      <x:c r="A45" s="13" t="str">
        <x:v>paracetamol</x:v>
      </x:c>
      <x:c r="B45" s="13" t="str">
        <x:v>alcohol</x:v>
      </x:c>
      <x:c r="C45" s="14" t="str">
        <x:v>แอลกอฮอล์/เครื่องดื่มแอลกอฮอล์</x:v>
      </x:c>
      <x:c r="D45" s="13" t="str">
        <x:v>moderate</x:v>
      </x:c>
      <x:c r="E45" s="13" t="str">
        <x:v>consult</x:v>
      </x:c>
      <x:c r="F45" s="13" t="str">
        <x:v>r0267_smpc</x:v>
      </x:c>
      <x:c r="G45" s="13" t="str">
        <x:v>SMPC</x:v>
      </x:c>
      <x:c r="H45" s="13" t="n">
        <x:v>7</x:v>
      </x:c>
      <x:c r="I45" s="14" t="str">
        <x:v>https://drug.fda.moph.go.th/media.php?id=810428236826812416&amp;name=SMPC_Paracetamol_Elixir.pdf</x:v>
      </x:c>
      <x:c r="J45" s="14" t="str">
        <x:v>ts but, more importantly, the half -life and metabolic clearance per total body weight did not differ among groups. Excipient information &lt;REGARDING THE APPROVAL&gt; 4.5. Interaction with other medicinal products and other forms of interaction Analgesics Caution is recommended when analgesic products are used in combination because of possible increases in adverse events (e.g. nephrotoxicity, gastrointestinal lesions, bleeding). Alcohol: Studies evaluating the metabolism of doses up to 20 mg/kg of paracetamol in chronic alcohol abusers and a study evaluating the effects of 2 days of paracetamol dosing at 4000 mg/d in chronic alcoholics undergoing detoxification, have yielded inconsistent results with regard to effects on paracetamol pharmacokinetics and demonstrate no evidence of adverse effect on liver function tests. Anticoagulants-Oral: Patients who conco</x:v>
      </x:c>
      <x:c r="K45" s="14" t="str">
        <x:v>[]</x:v>
      </x:c>
      <x:c r="L45" s="13" t="str">
        <x:v>medium</x:v>
      </x:c>
      <x:c r="M45" s="13" t="str">
        <x:v>eligible</x:v>
      </x:c>
      <x:c r="N45" s="14" t="str"/>
      <x:c r="O45" s="13" t="str">
        <x:f>IF(M45="eligible","YES","NO")</x:f>
        <x:v>YES</x:v>
      </x:c>
    </x:row>
    <x:row r="46" ht="72" customHeight="1">
      <x:c r="A46" s="13" t="str">
        <x:v>paracetamol</x:v>
      </x:c>
      <x:c r="B46" s="13" t="str">
        <x:v>alcohol</x:v>
      </x:c>
      <x:c r="C46" s="14" t="str">
        <x:v>แอลกอฮอล์/เครื่องดื่มแอลกอฮอล์</x:v>
      </x:c>
      <x:c r="D46" s="13" t="str">
        <x:v>moderate</x:v>
      </x:c>
      <x:c r="E46" s="13" t="str">
        <x:v>consult</x:v>
      </x:c>
      <x:c r="F46" s="13" t="str">
        <x:v>r0268_smpc</x:v>
      </x:c>
      <x:c r="G46" s="13" t="str">
        <x:v>SMPC</x:v>
      </x:c>
      <x:c r="H46" s="13" t="n">
        <x:v>5</x:v>
      </x:c>
      <x:c r="I46" s="14" t="str">
        <x:v>https://drug.fda.moph.go.th/media.php?id=810428697118121984&amp;name=SMPC_Paracetamol_Solutions for injections or infusions.pdf</x:v>
      </x:c>
      <x:c r="J46" s="14" t="str">
        <x:v>on for infusion, MHRA, 01/2022 5 Consumers who are chronic alcohol abusers or have hepatic disease should ask their doctor whether they should take paracetamol or other pain relievers or fever reducers. Physicians should be cognizant of and supervise the use of paracetamol in patients with chronic alcoholism, serious kidney or serious liver disease. Physicians should alert their patients who regularly consume large amounts of alcohol not to exceed the recommended doses of paracetamol. Chronic heavy alcohol abusers may be at increased risk of liver toxicity from excessive doses of paracetamol. Patients should be counseled to stop use and consult a physician if redness or swelling is present in an area of pain, if symptoms do not improve or if they worsen; if pain or fever persists or gets worse; or if new symptoms such as high fever, rash, itchi ng or pers</x:v>
      </x:c>
      <x:c r="K46" s="14" t="str">
        <x:v>["kidney","liver"]</x:v>
      </x:c>
      <x:c r="L46" s="13" t="str">
        <x:v>medium</x:v>
      </x:c>
      <x:c r="M46" s="13" t="str">
        <x:v>eligible</x:v>
      </x:c>
      <x:c r="N46" s="14" t="str"/>
      <x:c r="O46" s="13" t="str">
        <x:f>IF(M46="eligible","YES","NO")</x:f>
        <x:v>YES</x:v>
      </x:c>
    </x:row>
    <x:row r="47" ht="72" customHeight="1">
      <x:c r="A47" s="13" t="str">
        <x:v>paracetamol</x:v>
      </x:c>
      <x:c r="B47" s="13" t="str">
        <x:v>alcohol</x:v>
      </x:c>
      <x:c r="C47" s="14" t="str">
        <x:v>แอลกอฮอล์/เครื่องดื่มแอลกอฮอล์</x:v>
      </x:c>
      <x:c r="D47" s="13" t="str">
        <x:v>moderate</x:v>
      </x:c>
      <x:c r="E47" s="13" t="str">
        <x:v>consult</x:v>
      </x:c>
      <x:c r="F47" s="13" t="str">
        <x:v>r0268_smpc</x:v>
      </x:c>
      <x:c r="G47" s="13" t="str">
        <x:v>SMPC</x:v>
      </x:c>
      <x:c r="H47" s="13" t="n">
        <x:v>6</x:v>
      </x:c>
      <x:c r="I47" s="14" t="str">
        <x:v>https://drug.fda.moph.go.th/media.php?id=810428697118121984&amp;name=SMPC_Paracetamol_Solutions for injections or infusions.pdf</x:v>
      </x:c>
      <x:c r="J47" s="14" t="str">
        <x:v>hypoglycemia, and encephalopathy. Renal failure and cardiomyopathy may also occur. In the event of known or suspected overdosage, treatment with N -acetyl cysteine should be instituted immediately (see OVERDOSAGE section below), even when there are no obvious symptoms. Failure to promptly treat paracetamol hepatotoxicity with N-acetyl cysteine can result in liver failure, leading to liver transplantation and/or death. Chronic Alcohol Use: Excessive alcohol use may increase risk of liver toxicity from paracetamol overdose (acute or chronic) Prospective data from Kuffner demonstrate that chronic alcoholics can take recommended doses of paracetamol without the added risk of liver injury. In these prospective, placebo-controlled studies, the researchers evaluated an actively drinking group of alcoholics with a high</x:v>
      </x:c>
      <x:c r="K47" s="14" t="str">
        <x:v>["liver"]</x:v>
      </x:c>
      <x:c r="L47" s="13" t="str">
        <x:v>medium</x:v>
      </x:c>
      <x:c r="M47" s="13" t="str">
        <x:v>eligible</x:v>
      </x:c>
      <x:c r="N47" s="14" t="str"/>
      <x:c r="O47" s="13" t="str">
        <x:f>IF(M47="eligible","YES","NO")</x:f>
        <x:v>YES</x:v>
      </x:c>
    </x:row>
    <x:row r="48" ht="72" customHeight="1">
      <x:c r="A48" s="13" t="str">
        <x:v>paracetamol</x:v>
      </x:c>
      <x:c r="B48" s="13" t="str">
        <x:v>alcohol</x:v>
      </x:c>
      <x:c r="C48" s="14" t="str">
        <x:v>แอลกอฮอล์/เครื่องดื่มแอลกอฮอล์</x:v>
      </x:c>
      <x:c r="D48" s="13" t="str">
        <x:v>moderate</x:v>
      </x:c>
      <x:c r="E48" s="13" t="str">
        <x:v>consult</x:v>
      </x:c>
      <x:c r="F48" s="13" t="str">
        <x:v>r0268_smpc</x:v>
      </x:c>
      <x:c r="G48" s="13" t="str">
        <x:v>SMPC</x:v>
      </x:c>
      <x:c r="H48" s="13" t="n">
        <x:v>9</x:v>
      </x:c>
      <x:c r="I48" s="14" t="str">
        <x:v>https://drug.fda.moph.go.th/media.php?id=810428697118121984&amp;name=SMPC_Paracetamol_Solutions for injections or infusions.pdf</x:v>
      </x:c>
      <x:c r="J48" s="14" t="str">
        <x:v>ts but, more importantly, the half -life and metabolic clearance per total body weight did not differ among groups. Excipient information &lt;REGARDING THE APPROVAL&gt; 4.5. Interaction with other medicinal products and other forms of interaction Analgesics Caution is recommended when analgesic products are used in combination because of possible increases in adverse events (e.g. nephrotoxicity, gastrointestinal lesions, bleeding). Alcohol: Studies evaluating the metabolism of doses up to 20 mg/kg of paracetamol in chronic alcohol abusers and a study evaluating the effects</x:v>
      </x:c>
      <x:c r="K48" s="14" t="str">
        <x:v>[]</x:v>
      </x:c>
      <x:c r="L48" s="13" t="str">
        <x:v>medium</x:v>
      </x:c>
      <x:c r="M48" s="13" t="str">
        <x:v>eligible</x:v>
      </x:c>
      <x:c r="N48" s="14" t="str"/>
      <x:c r="O48" s="13" t="str">
        <x:f>IF(M48="eligible","YES","NO")</x:f>
        <x:v>YES</x:v>
      </x:c>
    </x:row>
    <x:row r="49" ht="72" customHeight="1">
      <x:c r="A49" s="13" t="str">
        <x:v>paracetamol</x:v>
      </x:c>
      <x:c r="B49" s="13" t="str">
        <x:v>alcohol</x:v>
      </x:c>
      <x:c r="C49" s="14" t="str">
        <x:v>แอลกอฮอล์/เครื่องดื่มแอลกอฮอล์</x:v>
      </x:c>
      <x:c r="D49" s="13" t="str">
        <x:v>moderate</x:v>
      </x:c>
      <x:c r="E49" s="13" t="str">
        <x:v>consult</x:v>
      </x:c>
      <x:c r="F49" s="13" t="str">
        <x:v>r0269_smpc</x:v>
      </x:c>
      <x:c r="G49" s="13" t="str">
        <x:v>SMPC</x:v>
      </x:c>
      <x:c r="H49" s="13" t="n">
        <x:v>2</x:v>
      </x:c>
      <x:c r="I49" s="14" t="str">
        <x:v>https://drug.fda.moph.go.th/media.php?id=810429112165474304&amp;name=SMPC_Paracetamol_Syrup.pdf</x:v>
      </x:c>
      <x:c r="J49" s="14" t="str">
        <x:v>pt out of the reach of children. Consumers who are chronic alcohol abusers or have hepatic disease should ask their doctor whether they should take paracetamol or other pain relievers or fever reducers. Physicians should be cognizant of and supervise the use of paracetamol in patients with chronic alcoholism, serious kidney or serious liver disease. Physicians should alert their patients who regularly consume large amounts of alcohol not to exceed the recommended doses of paracetamol. Chronic heavy alcohol abusers may be at increased risk of liver toxicity from excessive doses of paracetamol. Patients should be counseled to stop use and consult a physician if redness or swelling is present in an area of pain, if symptoms do not improve or if they worsen; if pain or fever persists or gets worse; or if</x:v>
      </x:c>
      <x:c r="K49" s="14" t="str">
        <x:v>["kidney","liver"]</x:v>
      </x:c>
      <x:c r="L49" s="13" t="str">
        <x:v>medium</x:v>
      </x:c>
      <x:c r="M49" s="13" t="str">
        <x:v>eligible</x:v>
      </x:c>
      <x:c r="N49" s="14" t="str"/>
      <x:c r="O49" s="13" t="str">
        <x:f>IF(M49="eligible","YES","NO")</x:f>
        <x:v>YES</x:v>
      </x:c>
    </x:row>
    <x:row r="50" ht="72" customHeight="1">
      <x:c r="A50" s="13" t="str">
        <x:v>paracetamol</x:v>
      </x:c>
      <x:c r="B50" s="13" t="str">
        <x:v>alcohol</x:v>
      </x:c>
      <x:c r="C50" s="14" t="str">
        <x:v>แอลกอฮอล์/เครื่องดื่มแอลกอฮอล์</x:v>
      </x:c>
      <x:c r="D50" s="13" t="str">
        <x:v>moderate</x:v>
      </x:c>
      <x:c r="E50" s="13" t="str">
        <x:v>consult</x:v>
      </x:c>
      <x:c r="F50" s="13" t="str">
        <x:v>r0269_smpc</x:v>
      </x:c>
      <x:c r="G50" s="13" t="str">
        <x:v>SMPC</x:v>
      </x:c>
      <x:c r="H50" s="13" t="n">
        <x:v>4</x:v>
      </x:c>
      <x:c r="I50" s="14" t="str">
        <x:v>https://drug.fda.moph.go.th/media.php?id=810429112165474304&amp;name=SMPC_Paracetamol_Syrup.pdf</x:v>
      </x:c>
      <x:c r="J50" s="14" t="str">
        <x:v>hypoglycemia, and encephalopathy. Renal failure and cardiomyopathy may also occur. In the event of known or suspected overdosage, treatment with N -acetyl cysteine should be instituted immediately (see OVERDOSAGE section below), even when there are no obvious symptoms. Failure to promptly treat paracetamol hepatotoxicity with N-acetyl cysteine can result in liver failure, leading to liver transplantation and/or death. Chronic Alcohol Use: Excessive alcohol use may increase risk of liver toxicity from paracetamol overdose (acute or chronic) Prospective data from Kuffner demonstrate that chronic alcoholics can take recommended doses of paracetamol without the added risk of liver injury. In these prospective, placebo-controlled studies, the researchers evaluated an actively drinking group of alcoholics with a high prevalence of malnourishment. The study part</x:v>
      </x:c>
      <x:c r="K50" s="14" t="str">
        <x:v>["liver"]</x:v>
      </x:c>
      <x:c r="L50" s="13" t="str">
        <x:v>medium</x:v>
      </x:c>
      <x:c r="M50" s="13" t="str">
        <x:v>eligible</x:v>
      </x:c>
      <x:c r="N50" s="14" t="str"/>
      <x:c r="O50" s="13" t="str">
        <x:f>IF(M50="eligible","YES","NO")</x:f>
        <x:v>YES</x:v>
      </x:c>
    </x:row>
    <x:row r="51" ht="72" customHeight="1">
      <x:c r="A51" s="13" t="str">
        <x:v>paracetamol</x:v>
      </x:c>
      <x:c r="B51" s="13" t="str">
        <x:v>alcohol</x:v>
      </x:c>
      <x:c r="C51" s="14" t="str">
        <x:v>แอลกอฮอล์/เครื่องดื่มแอลกอฮอล์</x:v>
      </x:c>
      <x:c r="D51" s="13" t="str">
        <x:v>moderate</x:v>
      </x:c>
      <x:c r="E51" s="13" t="str">
        <x:v>consult</x:v>
      </x:c>
      <x:c r="F51" s="13" t="str">
        <x:v>r0269_smpc</x:v>
      </x:c>
      <x:c r="G51" s="13" t="str">
        <x:v>SMPC</x:v>
      </x:c>
      <x:c r="H51" s="13" t="n">
        <x:v>7</x:v>
      </x:c>
      <x:c r="I51" s="14" t="str">
        <x:v>https://drug.fda.moph.go.th/media.php?id=810429112165474304&amp;name=SMPC_Paracetamol_Syrup.pdf</x:v>
      </x:c>
      <x:c r="J51" s="14" t="str">
        <x:v>ts but, more importantly, the half -life and metabolic clearance per total body weight did not differ among groups. Excipient information &lt;REGARDING THE APPROVAL&gt; 4.5. Interaction with other medicinal products and other forms of interaction Analgesics Caution is recommended when analgesic products are used in combination because of possible increases in adverse events (e.g. nephrotoxicity, gastrointestinal lesions, bleeding). Alcohol: Studies evaluating the metabolism of doses up to 20 mg/kg of paracetamol in chronic alcohol abusers and a study evaluating the effects of 2 days of paracetamol dosing at 4000 mg/d in chronic alcoholics undergoing detoxification, have yielded inconsistent results with regard to effects on paracetamol pharmacokinetics and demonstrate no evidence of adverse effect on liver function tests. Anticoagulants-Oral: Patients who conco</x:v>
      </x:c>
      <x:c r="K51" s="14" t="str">
        <x:v>[]</x:v>
      </x:c>
      <x:c r="L51" s="13" t="str">
        <x:v>medium</x:v>
      </x:c>
      <x:c r="M51" s="13" t="str">
        <x:v>eligible</x:v>
      </x:c>
      <x:c r="N51" s="14" t="str"/>
      <x:c r="O51" s="13" t="str">
        <x:f>IF(M51="eligible","YES","NO")</x:f>
        <x:v>YES</x:v>
      </x:c>
    </x:row>
    <x:row r="52" ht="72" customHeight="1">
      <x:c r="A52" s="13" t="str">
        <x:v>paracetamol</x:v>
      </x:c>
      <x:c r="B52" s="13" t="str">
        <x:v>alcohol</x:v>
      </x:c>
      <x:c r="C52" s="14" t="str">
        <x:v>แอลกอฮอล์/เครื่องดื่มแอลกอฮอล์</x:v>
      </x:c>
      <x:c r="D52" s="13" t="str">
        <x:v>moderate</x:v>
      </x:c>
      <x:c r="E52" s="13" t="str">
        <x:v>consult</x:v>
      </x:c>
      <x:c r="F52" s="13" t="str">
        <x:v>r0273_smpc</x:v>
      </x:c>
      <x:c r="G52" s="13" t="str">
        <x:v>SMPC</x:v>
      </x:c>
      <x:c r="H52" s="13" t="n">
        <x:v>2</x:v>
      </x:c>
      <x:c r="I52" s="14" t="str">
        <x:v>https://drug.fda.moph.go.th/media.php?id=810429959502962688&amp;name=SMPC_Paracetamol_suspension.pdf</x:v>
      </x:c>
      <x:c r="J52" s="14" t="str">
        <x:v>pt out of the reach of children. Consumers who are chronic alcohol abusers or have hepatic disease should ask their doctor whether they should take paracetamol or other pain relievers or fever reducers. Physicians should be cognizant of and supervise the use of paracetamol in patients with chronic alcoholism, serious kidney or serious liver disease. Physicians should alert their patients who regularly consume large amounts of alcohol not to exceed the recommended doses of paracetamol. Chronic heavy alcohol abusers may be at increased risk of liver toxicity from excessive doses of paracetamol. Patients should be counseled to stop use and consult a physician if redness or swelling is present in an area of pain, if symptoms do not improve or if they worsen; if pain or fever persists or gets worse; or if</x:v>
      </x:c>
      <x:c r="K52" s="14" t="str">
        <x:v>["kidney","liver"]</x:v>
      </x:c>
      <x:c r="L52" s="13" t="str">
        <x:v>medium</x:v>
      </x:c>
      <x:c r="M52" s="13" t="str">
        <x:v>eligible</x:v>
      </x:c>
      <x:c r="N52" s="14" t="str"/>
      <x:c r="O52" s="13" t="str">
        <x:f>IF(M52="eligible","YES","NO")</x:f>
        <x:v>YES</x:v>
      </x:c>
    </x:row>
    <x:row r="53" ht="72" customHeight="1">
      <x:c r="A53" s="13" t="str">
        <x:v>paracetamol</x:v>
      </x:c>
      <x:c r="B53" s="13" t="str">
        <x:v>alcohol</x:v>
      </x:c>
      <x:c r="C53" s="14" t="str">
        <x:v>แอลกอฮอล์/เครื่องดื่มแอลกอฮอล์</x:v>
      </x:c>
      <x:c r="D53" s="13" t="str">
        <x:v>moderate</x:v>
      </x:c>
      <x:c r="E53" s="13" t="str">
        <x:v>consult</x:v>
      </x:c>
      <x:c r="F53" s="13" t="str">
        <x:v>r0273_smpc</x:v>
      </x:c>
      <x:c r="G53" s="13" t="str">
        <x:v>SMPC</x:v>
      </x:c>
      <x:c r="H53" s="13" t="n">
        <x:v>4</x:v>
      </x:c>
      <x:c r="I53" s="14" t="str">
        <x:v>https://drug.fda.moph.go.th/media.php?id=810429959502962688&amp;name=SMPC_Paracetamol_suspension.pdf</x:v>
      </x:c>
      <x:c r="J53" s="14" t="str">
        <x:v>hypoglycemia, and encephalopathy. Renal failure and cardiomyopathy may also occur. In the event of known or suspected overdosage, treatment with N -acetyl cysteine should be instituted immediately (see OVERDOSAGE section below), even when there are no obvious symptoms. Failure to promptly treat paracetamol hepatotoxicity with N-acetyl cysteine can result in liver failure, leading to liver transplantation and/or death. Chronic Alcohol Use: Excessive alcohol use may increase risk of liver toxicity from paracetamol overdose (acute or chronic) Prospective data from Kuffner demonstrate that chronic alcoholics can take recommended doses of paracetamol without the added risk of liver injury. In these prospective, placebo-controlled studies, the researchers evaluated an actively drinking group of alcoholics with a high prevalence of malnourishment. The study part</x:v>
      </x:c>
      <x:c r="K53" s="14" t="str">
        <x:v>["liver"]</x:v>
      </x:c>
      <x:c r="L53" s="13" t="str">
        <x:v>medium</x:v>
      </x:c>
      <x:c r="M53" s="13" t="str">
        <x:v>eligible</x:v>
      </x:c>
      <x:c r="N53" s="14" t="str"/>
      <x:c r="O53" s="13" t="str">
        <x:f>IF(M53="eligible","YES","NO")</x:f>
        <x:v>YES</x:v>
      </x:c>
    </x:row>
    <x:row r="54" ht="72" customHeight="1">
      <x:c r="A54" s="13" t="str">
        <x:v>paracetamol</x:v>
      </x:c>
      <x:c r="B54" s="13" t="str">
        <x:v>alcohol</x:v>
      </x:c>
      <x:c r="C54" s="14" t="str">
        <x:v>แอลกอฮอล์/เครื่องดื่มแอลกอฮอล์</x:v>
      </x:c>
      <x:c r="D54" s="13" t="str">
        <x:v>moderate</x:v>
      </x:c>
      <x:c r="E54" s="13" t="str">
        <x:v>consult</x:v>
      </x:c>
      <x:c r="F54" s="13" t="str">
        <x:v>r0273_smpc</x:v>
      </x:c>
      <x:c r="G54" s="13" t="str">
        <x:v>SMPC</x:v>
      </x:c>
      <x:c r="H54" s="13" t="n">
        <x:v>7</x:v>
      </x:c>
      <x:c r="I54" s="14" t="str">
        <x:v>https://drug.fda.moph.go.th/media.php?id=810429959502962688&amp;name=SMPC_Paracetamol_suspension.pdf</x:v>
      </x:c>
      <x:c r="J54" s="14" t="str">
        <x:v>ts but, more importantly, the half -life and metabolic clearance per total body weight did not differ among groups. Excipient information &lt;REGARDING THE APPROVAL&gt; 4.5. Interaction with other medicinal products and other forms of interaction Analgesics Caution is recommended when analgesic products are used in combination because of possible increases in adverse events (e.g. nephrotoxicity, gastrointestinal lesions, bleeding). Alcohol: Studies evaluating the metabolism of doses up to 20 mg/kg of paracetamol in chronic alcohol abusers and a study evaluating the effects of 2 days of paracetamol dosing at 4000 mg/d in chronic alcoholics undergoing detoxification, have yielded inconsistent results with regard to effects on paracetamol pharmacokinetics and demonstrate no evidence of adverse effect on liver function tests. Anticoagulants-Oral: Patients who conco</x:v>
      </x:c>
      <x:c r="K54" s="14" t="str">
        <x:v>[]</x:v>
      </x:c>
      <x:c r="L54" s="13" t="str">
        <x:v>medium</x:v>
      </x:c>
      <x:c r="M54" s="13" t="str">
        <x:v>eligible</x:v>
      </x:c>
      <x:c r="N54" s="14" t="str"/>
      <x:c r="O54" s="13" t="str">
        <x:f>IF(M54="eligible","YES","NO")</x:f>
        <x:v>YES</x:v>
      </x:c>
    </x:row>
    <x:row r="55" ht="72" customHeight="1">
      <x:c r="A55" s="13" t="str">
        <x:v>paracetamol</x:v>
      </x:c>
      <x:c r="B55" s="13" t="str">
        <x:v>alcohol</x:v>
      </x:c>
      <x:c r="C55" s="14" t="str">
        <x:v>แอลกอฮอล์/เครื่องดื่มแอลกอฮอล์</x:v>
      </x:c>
      <x:c r="D55" s="13" t="str">
        <x:v>moderate</x:v>
      </x:c>
      <x:c r="E55" s="13" t="str">
        <x:v>consult</x:v>
      </x:c>
      <x:c r="F55" s="13" t="str">
        <x:v>r0274_smpc</x:v>
      </x:c>
      <x:c r="G55" s="13" t="str">
        <x:v>SMPC</x:v>
      </x:c>
      <x:c r="H55" s="13" t="n">
        <x:v>2</x:v>
      </x:c>
      <x:c r="I55" s="14" t="str">
        <x:v>https://drug.fda.moph.go.th/media.php?id=810430466103582720&amp;name=SMPC_Paracetamol_Tablet.pdf</x:v>
      </x:c>
      <x:c r="J55" s="14" t="str">
        <x:v>pt out of the reach of children. Consumers who are chronic alcohol abusers or have hepatic disease should ask their doctor whether they should take paracetamol or other pain relievers or fever reducers. Physicians should be cognizant of and supervise the use of paracetamol in patients with chronic alcoholism, serious kidney or serious liver disease. Physicians should alert their patients who regularly consume large amounts of alcohol not to exceed the recommended doses of paracetamol. Chronic heavy alcohol abusers may be at increased risk of liver toxicity from excessive doses of paracetamol. Patients should be counseled to stop use and consult a physician if redness or swelling is present in an area of pain, if symptoms do not improve or if they worsen; if pain or fever persists or gets worse; or if</x:v>
      </x:c>
      <x:c r="K55" s="14" t="str">
        <x:v>["kidney","liver"]</x:v>
      </x:c>
      <x:c r="L55" s="13" t="str">
        <x:v>medium</x:v>
      </x:c>
      <x:c r="M55" s="13" t="str">
        <x:v>eligible</x:v>
      </x:c>
      <x:c r="N55" s="14" t="str"/>
      <x:c r="O55" s="13" t="str">
        <x:f>IF(M55="eligible","YES","NO")</x:f>
        <x:v>YES</x:v>
      </x:c>
    </x:row>
    <x:row r="56" ht="72" customHeight="1">
      <x:c r="A56" s="13" t="str">
        <x:v>paracetamol</x:v>
      </x:c>
      <x:c r="B56" s="13" t="str">
        <x:v>alcohol</x:v>
      </x:c>
      <x:c r="C56" s="14" t="str">
        <x:v>แอลกอฮอล์/เครื่องดื่มแอลกอฮอล์</x:v>
      </x:c>
      <x:c r="D56" s="13" t="str">
        <x:v>moderate</x:v>
      </x:c>
      <x:c r="E56" s="13" t="str">
        <x:v>consult</x:v>
      </x:c>
      <x:c r="F56" s="13" t="str">
        <x:v>r0274_smpc</x:v>
      </x:c>
      <x:c r="G56" s="13" t="str">
        <x:v>SMPC</x:v>
      </x:c>
      <x:c r="H56" s="13" t="n">
        <x:v>4</x:v>
      </x:c>
      <x:c r="I56" s="14" t="str">
        <x:v>https://drug.fda.moph.go.th/media.php?id=810430466103582720&amp;name=SMPC_Paracetamol_Tablet.pdf</x:v>
      </x:c>
      <x:c r="J56" s="14" t="str">
        <x:v>hypoglycemia, and encephalopathy. Renal failure and cardiomyopathy may also occur. In the event of known or suspected overdosage, treatment with N -acetyl cysteine should be instituted immediately (see OVERDOSAGE section below), even when there are no obvious symptoms. Failure to promptly treat paracetamol hepatotoxicity with N-acetyl cysteine can result in liver failure, leading to liver transplantation and/or death. Chronic Alcohol Use: Excessive alcohol use may increase risk of liver toxicity from paracetamol overdose (acute or chronic) Prospective data from Kuffner demonstrate that chronic alcoholics can take recommended doses of paracetamol without the added risk of liver injury. In these prospective, placebo-controlled studies, the researchers evaluated an actively drinking group of alcoholics with a high prevalence of malnourishment. The study part</x:v>
      </x:c>
      <x:c r="K56" s="14" t="str">
        <x:v>["liver"]</x:v>
      </x:c>
      <x:c r="L56" s="13" t="str">
        <x:v>medium</x:v>
      </x:c>
      <x:c r="M56" s="13" t="str">
        <x:v>eligible</x:v>
      </x:c>
      <x:c r="N56" s="14" t="str"/>
      <x:c r="O56" s="13" t="str">
        <x:f>IF(M56="eligible","YES","NO")</x:f>
        <x:v>YES</x:v>
      </x:c>
    </x:row>
    <x:row r="57" ht="72" customHeight="1">
      <x:c r="A57" s="13" t="str">
        <x:v>paracetamol</x:v>
      </x:c>
      <x:c r="B57" s="13" t="str">
        <x:v>alcohol</x:v>
      </x:c>
      <x:c r="C57" s="14" t="str">
        <x:v>แอลกอฮอล์/เครื่องดื่มแอลกอฮอล์</x:v>
      </x:c>
      <x:c r="D57" s="13" t="str">
        <x:v>moderate</x:v>
      </x:c>
      <x:c r="E57" s="13" t="str">
        <x:v>consult</x:v>
      </x:c>
      <x:c r="F57" s="13" t="str">
        <x:v>r0274_smpc</x:v>
      </x:c>
      <x:c r="G57" s="13" t="str">
        <x:v>SMPC</x:v>
      </x:c>
      <x:c r="H57" s="13" t="n">
        <x:v>7</x:v>
      </x:c>
      <x:c r="I57" s="14" t="str">
        <x:v>https://drug.fda.moph.go.th/media.php?id=810430466103582720&amp;name=SMPC_Paracetamol_Tablet.pdf</x:v>
      </x:c>
      <x:c r="J57" s="14" t="str">
        <x:v>ts but, more importantly, the half -life and metabolic clearance per total body weight did not differ among groups. Excipient information &lt;REGARDING THE APPROVAL&gt; 4.5. Interaction with other medicinal products and other forms of interaction Analgesics Caution is recommended when analgesic products are used in combination because of possible increases in adverse events (e.g. nephrotoxicity, gastrointestinal lesions, bleeding). Alcohol: Studies evaluating the metabolism of doses up to 20 mg/kg of paracetamol in chronic alcohol abusers and a study evaluating the effects of 2 days of paracetamol dosing at 4000 mg/d in chronic alcoholics undergoing detoxification, have yielded inconsistent results with regard to effects on paracetamol pharmacokinetics and demonstrate no evidence of adverse effect on liver function tests. Anticoagulants-Oral: Patients who conco</x:v>
      </x:c>
      <x:c r="K57" s="14" t="str">
        <x:v>[]</x:v>
      </x:c>
      <x:c r="L57" s="13" t="str">
        <x:v>medium</x:v>
      </x:c>
      <x:c r="M57" s="13" t="str">
        <x:v>eligible</x:v>
      </x:c>
      <x:c r="N57" s="14" t="str"/>
      <x:c r="O57" s="13" t="str">
        <x:f>IF(M57="eligible","YES","NO")</x:f>
        <x:v>YES</x:v>
      </x:c>
    </x:row>
    <x:row r="58" ht="72" customHeight="1">
      <x:c r="A58" s="13" t="str">
        <x:v>pimozide</x:v>
      </x:c>
      <x:c r="B58" s="13" t="str">
        <x:v>alcohol</x:v>
      </x:c>
      <x:c r="C58" s="14" t="str">
        <x:v>แอลกอฮอล์/เครื่องดื่มแอลกอฮอล์</x:v>
      </x:c>
      <x:c r="D58" s="13" t="str">
        <x:v>moderate</x:v>
      </x:c>
      <x:c r="E58" s="13" t="str">
        <x:v>consult</x:v>
      </x:c>
      <x:c r="F58" s="13" t="str">
        <x:v>r0278_smpc</x:v>
      </x:c>
      <x:c r="G58" s="13" t="str">
        <x:v>SMPC</x:v>
      </x:c>
      <x:c r="H58" s="13" t="n">
        <x:v>9</x:v>
      </x:c>
      <x:c r="I58" s="14" t="str">
        <x:v>https://drug.fda.moph.go.th/media.php?id=810432738745262080&amp;name=SMPC_Pimozide_Tablet.pdf</x:v>
      </x:c>
      <x:c r="J58" s="14" t="str">
        <x:v>failure, Parkinson’s disease and phaeochromocytoma. Concomitant use of pimozide with other neuroleptics should be avoided. 4.5. Interaction with other medicinal products and other forms of interaction Please also refer to the Precautions and Warnings and Contra - indications sections. As with other neuroleptics, &lt;Generic name&gt; may increase the central nervous system depression produced by other CNS depressant drugs, including alcohol, hypnotics, sedatives or strong analgesics . &lt;Generic name&gt; may impair the anti -Parkinson effect of levodopa . The dosage of anticonvulsants may need to be increased to take account of lowered seizure threshold. Concomitant use of pimozide with drugs known to prolong the QT interval is contraindicated (see section 4 .3). Examples include certain antiarrhythmics, such as those of Class IA (such as quinidine, disopyramide and</x:v>
      </x:c>
      <x:c r="K58" s="14" t="str">
        <x:v>[]</x:v>
      </x:c>
      <x:c r="L58" s="13" t="str">
        <x:v>medium</x:v>
      </x:c>
      <x:c r="M58" s="13" t="str">
        <x:v>eligible</x:v>
      </x:c>
      <x:c r="N58" s="14" t="str"/>
      <x:c r="O58" s="13" t="str">
        <x:f>IF(M58="eligible","YES","NO")</x:f>
        <x:v>YES</x:v>
      </x:c>
    </x:row>
    <x:row r="59" ht="72" customHeight="1">
      <x:c r="A59" s="13" t="str">
        <x:v>pimozide</x:v>
      </x:c>
      <x:c r="B59" s="13" t="str">
        <x:v>alcohol</x:v>
      </x:c>
      <x:c r="C59" s="14" t="str">
        <x:v>แอลกอฮอล์/เครื่องดื่มแอลกอฮอล์</x:v>
      </x:c>
      <x:c r="D59" s="13" t="str">
        <x:v>moderate</x:v>
      </x:c>
      <x:c r="E59" s="13" t="str">
        <x:v>avoid</x:v>
      </x:c>
      <x:c r="F59" s="13" t="str">
        <x:v>r0422_pil</x:v>
      </x:c>
      <x:c r="G59" s="13" t="str">
        <x:v>PIL</x:v>
      </x:c>
      <x:c r="H59" s="13" t="n">
        <x:v>1</x:v>
      </x:c>
      <x:c r="I59" s="14" t="str">
        <x:v>https://drug.fda.moph.go.th/media.php?id=862918387037249536&amp;name=38.Pimozide_Tablets_PIL_final.pdf</x:v>
      </x:c>
      <x:c r="J59" s="14" t="str">
        <x:v>จะเป ็ นโรคหรือมีอาการ เดียวกัน เพื่อความปลอดภัยในการใช ้ยา • กินยานี้อย่างต่อเนื่องตามค าแนะน าของแพทย์ หรือ เภสัชกร เพราะต ้องใช ้เวลาสักระยะเพื่อให ้ยาออกฤทธิ์ การรักษาได ้ อย่างเต็มที่ • ห ้ ามหยุดยาเอง แม ้อาการจะดีขึ้น เพราะอาจท า การ รักษาไม่ได ้ ผลและให ้ เกิดอันตรายจากอาการถอนยา • พ บ แ พ ท ย์ต า ม นั ด อ ย่ า ง ส ม ่ า เ ส ม อ เ พื่ อ ติด ต า ม ผลการรักษาหรืออันตรายจากยา • หลีกเลี่ยงการดื่มเหล ้ าหรือเครื่องดื่มที่มีแอลกอฮอล์ ระหว่างใช ้ยานี้ เพราะอาจเพิ่มความเสี่ยงให ้เกิด อันตรายจากยา • ระมัดระวังการขับขี่ยานยนต์ หรือท างานเกี่ยวกับ เครื่องจักรกล หรือท างานที่เสี่ยงต่อการพลัดตกจากที่ สูง เพราะยานี้อาจท าให ้เกิดอาการง่วงซึม ข้อมูลยานี้เป ็ นข้อมูลโดยย่อ หากมีข้อสงส ัยให้ปรึกษาแพทย์หรือเภส ัชกร</x:v>
      </x:c>
      <x:c r="K59" s="14" t="str">
        <x:v>[]</x:v>
      </x:c>
      <x:c r="L59" s="13" t="str">
        <x:v>medium</x:v>
      </x:c>
      <x:c r="M59" s="13" t="str">
        <x:v>eligible</x:v>
      </x:c>
      <x:c r="N59" s="14" t="str"/>
      <x:c r="O59" s="13" t="str">
        <x:f>IF(M59="eligible","YES","NO")</x:f>
        <x:v>YES</x:v>
      </x:c>
    </x:row>
    <x:row r="60" ht="72" customHeight="1">
      <x:c r="A60" s="13" t="str">
        <x:v>piroxicam</x:v>
      </x:c>
      <x:c r="B60" s="13" t="str">
        <x:v>alcohol</x:v>
      </x:c>
      <x:c r="C60" s="14" t="str">
        <x:v>แอลกอฮอล์/เครื่องดื่มแอลกอฮอล์</x:v>
      </x:c>
      <x:c r="D60" s="13" t="str">
        <x:v>moderate</x:v>
      </x:c>
      <x:c r="E60" s="13" t="str">
        <x:v>consult</x:v>
      </x:c>
      <x:c r="F60" s="13" t="str">
        <x:v>r0279_smpc</x:v>
      </x:c>
      <x:c r="G60" s="13" t="str">
        <x:v>SMPC</x:v>
      </x:c>
      <x:c r="H60" s="13" t="n">
        <x:v>4</x:v>
      </x:c>
      <x:c r="I60" s="14" t="str">
        <x:v>https://drug.fda.moph.go.th/media.php?id=810433390829510656&amp;name=SMPC_Piroxicam_Capsules.pdf</x:v>
      </x:c>
      <x:c r="J60" s="14" t="str">
        <x:v>ion of at-risk subjects The risk for developing serious GI complications increases with age. Age over 70 years is associated with high risk of complications. The administration to patients over 80 years should be avoided. Patients taking concomitant oral corticosteroids, selective serotonin reuptake inhibitors (SSRIs), anti -platelet agents such as low -dose acetylsalicylic acid as well as those ingesting excessive amounts of alcohol are at increased risk of serious GI complications (see below and section 4.5). As with other NSAIDs, the use of piroxicam in combination with protective agents (e.g. misoprostol or proton pump inhibitors) must be considered for these at-risk patients. Patients and physicians should remain alerted for signs and symptoms of GI ulceration and/or bleeding during piroxicam treatment. Patients should be asked to report any new or u</x:v>
      </x:c>
      <x:c r="K60" s="14" t="str">
        <x:v>[]</x:v>
      </x:c>
      <x:c r="L60" s="13" t="str">
        <x:v>medium</x:v>
      </x:c>
      <x:c r="M60" s="13" t="str">
        <x:v>eligible</x:v>
      </x:c>
      <x:c r="N60" s="14" t="str"/>
      <x:c r="O60" s="13" t="str">
        <x:f>IF(M60="eligible","YES","NO")</x:f>
        <x:v>YES</x:v>
      </x:c>
    </x:row>
    <x:row r="61" ht="72" customHeight="1">
      <x:c r="A61" s="13" t="str">
        <x:v>pizotifen_malate</x:v>
      </x:c>
      <x:c r="B61" s="13" t="str">
        <x:v>alcohol</x:v>
      </x:c>
      <x:c r="C61" s="14" t="str">
        <x:v>แอลกอฮอล์/เครื่องดื่มแอลกอฮอล์</x:v>
      </x:c>
      <x:c r="D61" s="13" t="str">
        <x:v>severe</x:v>
      </x:c>
      <x:c r="E61" s="13" t="str">
        <x:v>avoid</x:v>
      </x:c>
      <x:c r="F61" s="13" t="str">
        <x:v>r0283_pil</x:v>
      </x:c>
      <x:c r="G61" s="13" t="str">
        <x:v>PIL</x:v>
      </x:c>
      <x:c r="H61" s="13" t="n">
        <x:v>1</x:v>
      </x:c>
      <x:c r="I61" s="14" t="str">
        <x:v>https://drug.fda.moph.go.th/media.php?id=808604508509839360&amp;name=Pizotifen_sugarcoatedtablet-syrup_PIL.pdf</x:v>
      </x:c>
      <x:c r="J61" s="14" t="str">
        <x:v>ได้ แต่ถ้าใกล้เวลาของมืѸอต่อไปให้รอ กินยาของมืѸอต่อไป ห้ามกินยาเพิѷมเป็น 2 เท่า 3.3 ถ้ากินยานีҟเกินขนาดทีѷแนะนํา ควรทําอย่างไร  ให ้สังเกตอาการอย่างใกล้ชิด หากมีอาการผิดปกติทีѷ รุนแรง ให้นําส่งโรงพยาบาลทันที 4. ข้อควรปฏิบัติระหว่างใช้ยานีҟ  พบแพทย์ตามนัดอย่างสมํѷาเสมอ เพืѷอติดตาม ผลการรักษาหรืออันตรายจากยา  ห้ามหยุดยาเอง และให้กินยานีѸอย่างต่อเนืѷองตาม คําแนะนําของแพทย์ หรือเภสัชกร  ไม่ควรรับประทานร่วมกับสุรา หรือสิѷงทีѷมีแอลกอฮอล์ เป็นส่วนประกอบ  ระมัดระวังการขับขีѷยานยนต์ หรือทํางานเกีѷยวกับ เครืѷองจักรกล หรือทํางานทีѷเสีѷยงต่อการพลัดตกจากทีѷ สูง เพราะยานีѸอาจทําให้เกิดอาการง่วงซึมได้ เอกสารนีѸปรับปรุงครัѸงล่าสุด 19 มีนาคม 2568 ศึกษาข้อมูลยาเพิѷมเติมทางเว็บไซต์ของ อย. URL หรือ QR code ทีѷเชืѷอมมายังเว็บไซต์ของ อย. &lt;ปรับตามทะเบียนยา&gt; 5. อันตรายทีѷอาจเกิดจากยา 5.1 อาการทีѷต้องหยุดยาแล้วไปพบแพทย์ทันที  ลมพิษ บวมทีѷใบหน้า เปลือกตา ริมฝีปาก  หน้ามืด เป็</x:v>
      </x:c>
      <x:c r="K61" s="14" t="str">
        <x:v>[]</x:v>
      </x:c>
      <x:c r="L61" s="13" t="str">
        <x:v>high</x:v>
      </x:c>
      <x:c r="M61" s="13" t="str">
        <x:v>eligible</x:v>
      </x:c>
      <x:c r="N61" s="14" t="str"/>
      <x:c r="O61" s="13" t="str">
        <x:f>IF(M61="eligible","YES","NO")</x:f>
        <x:v>YES</x:v>
      </x:c>
    </x:row>
    <x:row r="62" ht="72" customHeight="1">
      <x:c r="A62" s="13" t="str">
        <x:v>pizotifen_malate</x:v>
      </x:c>
      <x:c r="B62" s="13" t="str">
        <x:v>alcohol</x:v>
      </x:c>
      <x:c r="C62" s="14" t="str">
        <x:v>แอลกอฮอล์/เครื่องดื่มแอลกอฮอล์</x:v>
      </x:c>
      <x:c r="D62" s="13" t="str">
        <x:v>severe</x:v>
      </x:c>
      <x:c r="E62" s="13" t="str">
        <x:v>avoid</x:v>
      </x:c>
      <x:c r="F62" s="13" t="str">
        <x:v>r0284_pil</x:v>
      </x:c>
      <x:c r="G62" s="13" t="str">
        <x:v>PIL</x:v>
      </x:c>
      <x:c r="H62" s="13" t="n">
        <x:v>1</x:v>
      </x:c>
      <x:c r="I62" s="14" t="str">
        <x:v>https://drug.fda.moph.go.th/media.php?id=808604508509839360&amp;name=Pizotifen_sugarcoatedtablet-syrup_PIL.pdf</x:v>
      </x:c>
      <x:c r="J62" s="14" t="str">
        <x:v>ได้ แต่ถ้าใกล้เวลาของมืѸอต่อไปให้รอ กินยาของมืѸอต่อไป ห้ามกินยาเพิѷมเป็น 2 เท่า 3.3 ถ้ากินยานีҟเกินขนาดทีѷแนะนํา ควรทําอย่างไร  ให ้สังเกตอาการอย่างใกล้ชิด หากมีอาการผิดปกติทีѷ รุนแรง ให้นําส่งโรงพยาบาลทันที 4. ข้อควรปฏิบัติระหว่างใช้ยานีҟ  พบแพทย์ตามนัดอย่างสมํѷาเสมอ เพืѷอติดตาม ผลการรักษาหรืออันตรายจากยา  ห้ามหยุดยาเอง และให้กินยานีѸอย่างต่อเนืѷองตาม คําแนะนําของแพทย์ หรือเภสัชกร  ไม่ควรรับประทานร่วมกับสุรา หรือสิѷงทีѷมีแอลกอฮอล์ เป็นส่วนประกอบ  ระมัดระวังการขับขีѷยานยนต์ หรือทํางานเกีѷยวกับ เครืѷองจักรกล หรือทํางานทีѷเสีѷยงต่อการพลัดตกจากทีѷ สูง เพราะยานีѸอาจทําให้เกิดอาการง่วงซึมได้ เอกสารนีѸปรับปรุงครัѸงล่าสุด 19 มีนาคม 2568 ศึกษาข้อมูลยาเพิѷมเติมทางเว็บไซต์ของ อย. URL หรือ QR code ทีѷเชืѷอมมายังเว็บไซต์ของ อย. &lt;ปรับตามทะเบียนยา&gt; 5. อันตรายทีѷอาจเกิดจากยา 5.1 อาการทีѷต้องหยุดยาแล้วไปพบแพทย์ทันที  ลมพิษ บวมทีѷใบหน้า เปลือกตา ริมฝีปาก  หน้ามืด เป็</x:v>
      </x:c>
      <x:c r="K62" s="14" t="str">
        <x:v>[]</x:v>
      </x:c>
      <x:c r="L62" s="13" t="str">
        <x:v>high</x:v>
      </x:c>
      <x:c r="M62" s="13" t="str">
        <x:v>eligible</x:v>
      </x:c>
      <x:c r="N62" s="14" t="str"/>
      <x:c r="O62" s="13" t="str">
        <x:f>IF(M62="eligible","YES","NO")</x:f>
        <x:v>YES</x:v>
      </x:c>
    </x:row>
    <x:row r="63" ht="72" customHeight="1">
      <x:c r="A63" s="13" t="str">
        <x:v>pizotifen_malate</x:v>
      </x:c>
      <x:c r="B63" s="13" t="str">
        <x:v>alcohol</x:v>
      </x:c>
      <x:c r="C63" s="14" t="str">
        <x:v>แอลกอฮอล์/เครื่องดื่มแอลกอฮอล์</x:v>
      </x:c>
      <x:c r="D63" s="13" t="str">
        <x:v>severe</x:v>
      </x:c>
      <x:c r="E63" s="13" t="str">
        <x:v>avoid</x:v>
      </x:c>
      <x:c r="F63" s="13" t="str">
        <x:v>r0285_pil</x:v>
      </x:c>
      <x:c r="G63" s="13" t="str">
        <x:v>PIL</x:v>
      </x:c>
      <x:c r="H63" s="13" t="n">
        <x:v>1</x:v>
      </x:c>
      <x:c r="I63" s="14" t="str">
        <x:v>https://drug.fda.moph.go.th/media.php?id=808604508509839360&amp;name=Pizotifen_sugarcoatedtablet-syrup_PIL.pdf</x:v>
      </x:c>
      <x:c r="J63" s="14" t="str">
        <x:v>ได้ แต่ถ้าใกล้เวลาของมืѸอต่อไปให้รอ กินยาของมืѸอต่อไป ห้ามกินยาเพิѷมเป็น 2 เท่า 3.3 ถ้ากินยานีҟเกินขนาดทีѷแนะนํา ควรทําอย่างไร  ให ้สังเกตอาการอย่างใกล้ชิด หากมีอาการผิดปกติทีѷ รุนแรง ให้นําส่งโรงพยาบาลทันที 4. ข้อควรปฏิบัติระหว่างใช้ยานีҟ  พบแพทย์ตามนัดอย่างสมํѷาเสมอ เพืѷอติดตาม ผลการรักษาหรืออันตรายจากยา  ห้ามหยุดยาเอง และให้กินยานีѸอย่างต่อเนืѷองตาม คําแนะนําของแพทย์ หรือเภสัชกร  ไม่ควรรับประทานร่วมกับสุรา หรือสิѷงทีѷมีแอลกอฮอล์ เป็นส่วนประกอบ  ระมัดระวังการขับขีѷยานยนต์ หรือทํางานเกีѷยวกับ เครืѷองจักรกล หรือทํางานทีѷเสีѷยงต่อการพลัดตกจากทีѷ สูง เพราะยานีѸอาจทําให้เกิดอาการง่วงซึมได้ เอกสารนีѸปรับปรุงครัѸงล่าสุด 19 มีนาคม 2568 ศึกษาข้อมูลยาเพิѷมเติมทางเว็บไซต์ของ อย. URL หรือ QR code ทีѷเชืѷอมมายังเว็บไซต์ของ อย. &lt;ปรับตามทะเบียนยา&gt; 5. อันตรายทีѷอาจเกิดจากยา 5.1 อาการทีѷต้องหยุดยาแล้วไปพบแพทย์ทันที  ลมพิษ บวมทีѷใบหน้า เปลือกตา ริมฝีปาก  หน้ามืด เป็</x:v>
      </x:c>
      <x:c r="K63" s="14" t="str">
        <x:v>[]</x:v>
      </x:c>
      <x:c r="L63" s="13" t="str">
        <x:v>high</x:v>
      </x:c>
      <x:c r="M63" s="13" t="str">
        <x:v>eligible</x:v>
      </x:c>
      <x:c r="N63" s="14" t="str"/>
      <x:c r="O63" s="13" t="str">
        <x:f>IF(M63="eligible","YES","NO")</x:f>
        <x:v>YES</x:v>
      </x:c>
    </x:row>
    <x:row r="64" ht="72" customHeight="1">
      <x:c r="A64" s="13" t="str">
        <x:v>propofol</x:v>
      </x:c>
      <x:c r="B64" s="13" t="str">
        <x:v>alcohol</x:v>
      </x:c>
      <x:c r="C64" s="14" t="str">
        <x:v>แอลกอฮอล์/เครื่องดื่มแอลกอฮอล์</x:v>
      </x:c>
      <x:c r="D64" s="13" t="str">
        <x:v>moderate</x:v>
      </x:c>
      <x:c r="E64" s="13" t="str">
        <x:v>consult</x:v>
      </x:c>
      <x:c r="F64" s="13" t="str">
        <x:v>r0436_smpc</x:v>
      </x:c>
      <x:c r="G64" s="13" t="str">
        <x:v>SMPC</x:v>
      </x:c>
      <x:c r="H64" s="13" t="n">
        <x:v>11</x:v>
      </x:c>
      <x:c r="I64" s="14" t="str">
        <x:v>https://drug.fda.moph.go.th/media.php?id=904966130077147136&amp;name=4. Ref SmPC_PROPOFOL.pdf</x:v>
      </x:c>
      <x:c r="J64" s="14" t="str">
        <x:v>erally detectable beyond 12 hours. The effects of Propofol Injection 1%, the procedure, concomitant medications, the age and the condition of the patient should be considered when advising patients on: • The advisability of being accompanied on leaving the place of administration. The timing of recommencement of skilled or hazardous tasks such as driving • The use of other agents that may sedate (Eg, benzodiazepines, opiates, alcohol.) As with other intravenous anaesthetic agents, caution should be applied in patients with cardiac, respiratory, renal or hepatic impairment or in hypovolaemic or debilitated patients. Propofol Injection 1% clearance is blood flow dependent, therefore, concomitant medication that reduces cardiac output will also reduce Propofol Injection 1% clearance. Propofol Injection 1% lacks vagolytic activity and has been associated with</x:v>
      </x:c>
      <x:c r="K64" s="14" t="str">
        <x:v>["kidney","liver","heart"]</x:v>
      </x:c>
      <x:c r="L64" s="13" t="str">
        <x:v>medium</x:v>
      </x:c>
      <x:c r="M64" s="13" t="str">
        <x:v>eligible</x:v>
      </x:c>
      <x:c r="N64" s="14" t="str"/>
      <x:c r="O64" s="13" t="str">
        <x:f>IF(M64="eligible","YES","NO")</x:f>
        <x:v>YES</x:v>
      </x:c>
    </x:row>
    <x:row r="65" ht="72" customHeight="1">
      <x:c r="A65" s="13" t="str">
        <x:v>propofol</x:v>
      </x:c>
      <x:c r="B65" s="13" t="str">
        <x:v>alcohol</x:v>
      </x:c>
      <x:c r="C65" s="14" t="str">
        <x:v>แอลกอฮอล์/เครื่องดื่มแอลกอฮอล์</x:v>
      </x:c>
      <x:c r="D65" s="13" t="str">
        <x:v>moderate</x:v>
      </x:c>
      <x:c r="E65" s="13" t="str">
        <x:v>separate</x:v>
      </x:c>
      <x:c r="F65" s="13" t="str">
        <x:v>r0436_smpc</x:v>
      </x:c>
      <x:c r="G65" s="13" t="str">
        <x:v>SMPC</x:v>
      </x:c>
      <x:c r="H65" s="13" t="n">
        <x:v>12</x:v>
      </x:c>
      <x:c r="I65" s="14" t="str">
        <x:v>https://drug.fda.moph.go.th/media.php?id=904966130077147136&amp;name=4. Ref SmPC_PROPOFOL.pdf</x:v>
      </x:c>
      <x:c r="J65" s="14" t="str">
        <x:v>other agents likely to cause a bradycardia. As with other intravenous anaesthetic and sedative agents, patients should be instructed to avoid alcohol before and for at least 8 hours after administration of Propofol Injection 1%. During bolus administration for operative procedures, extreme caution should be exercised in patients with acute pulmonary insufficiency or respiratory depression. Concomitant use of central nervous system depressants e.g., alcohol, general anaesthetics, narcotic analgesics will result in accentuation of their sedative effects. When Propofol Inject</x:v>
      </x:c>
      <x:c r="K65" s="14" t="str">
        <x:v>[]</x:v>
      </x:c>
      <x:c r="L65" s="13" t="str">
        <x:v>medium</x:v>
      </x:c>
      <x:c r="M65" s="13" t="str">
        <x:v>eligible</x:v>
      </x:c>
      <x:c r="N65" s="14" t="str"/>
      <x:c r="O65" s="13" t="str">
        <x:f>IF(M65="eligible","YES","NO")</x:f>
        <x:v>YES</x:v>
      </x:c>
    </x:row>
    <x:row r="66" ht="72" customHeight="1">
      <x:c r="A66" s="13" t="str">
        <x:v>simvastatin</x:v>
      </x:c>
      <x:c r="B66" s="13" t="str">
        <x:v>alcohol</x:v>
      </x:c>
      <x:c r="C66" s="14" t="str">
        <x:v>แอลกอฮอล์/เครื่องดื่มแอลกอฮอล์</x:v>
      </x:c>
      <x:c r="D66" s="13" t="str">
        <x:v>severe</x:v>
      </x:c>
      <x:c r="E66" s="13" t="str">
        <x:v>avoid</x:v>
      </x:c>
      <x:c r="F66" s="13" t="str">
        <x:v>r0309_pil</x:v>
      </x:c>
      <x:c r="G66" s="13" t="str">
        <x:v>PIL</x:v>
      </x:c>
      <x:c r="H66" s="13" t="n">
        <x:v>1</x:v>
      </x:c>
      <x:c r="I66" s="14" t="str">
        <x:v>https://drug.fda.moph.go.th/media.php?id=808610458117480448&amp;name=simvastatin_PIL.pdf</x:v>
      </x:c>
      <x:c r="J66" s="14" t="str">
        <x:v>ช่วงเย็น เพืѷอผลการรักษาทีѷดี 3.2 หากลืมกินยาควรทําอย่างไร ● กินยาทันทีทีѷนึกได้ แต่ถ้าใกล้เวลาของมืѸอต่อไปให้รอ กินยาของมืѸอต่อไป ห้ามกินยาเพิѷมเป็น 2 เท่า 3.3 ถ้ากินยานีҟเกินขนาดทีѷแนะนํา ควรทําอย่างไร ● ให้สังเกตอาการอย่างใกล้ชิด หากมีอาการผิดปกติทีѷ รุนแรง ให้นําส่งโรงพยาบาลทันที 4. ข้อควรปฏิบัติระหว่างใช้ยานีҟ ● ห้ามหยุดยาเอง และให้กินยานีѸอย่างต่อเนืѷองตาม คําแนะนําของแพทย์ หรือเภสัชกร ● หลีกเลีѷยงการดืѷมเครืѷองดืѷมทีѷมีแอลกอฮอล์ เพราะอาจเพิѷมความเสีѷยงให้เกิดอันตรายจากยา ● พบแพทย์ตามนัดอย่างสมํѷาเสมอ เพืѷอติดตามผลการรักษาหรืออันตรายจากยา ● ควรออกกําลังกาย ควบคุมนํѸาหนัก และกินอาหารทีѷมี ไขมันตํѷาตามคําแนะนําของแพทย์ หรือเภสัชกร เพืѷอ ผลการรักษาทีѷดี 5. อันตรายทีѷอาจเกิดจากยา 5.1 อาการทีѷต้องหยุดยาแล้วไปพบแพทย์ทันที ● ลมพิษ บวมทีѷใบหน้า เปลือกตา ริมฝีปาก ● หน้ามืด เป็นลม แน่นหน้าอก หายใจลําบาก ● ผืѷนแดง ตุ่มพอง ผิวหนังลอก หรือมีจํѸาตามผิวหนัง ● ปวดกล้</x:v>
      </x:c>
      <x:c r="K66" s="14" t="str">
        <x:v>[]</x:v>
      </x:c>
      <x:c r="L66" s="13" t="str">
        <x:v>high</x:v>
      </x:c>
      <x:c r="M66" s="13" t="str">
        <x:v>eligible</x:v>
      </x:c>
      <x:c r="N66" s="14" t="str"/>
      <x:c r="O66" s="13" t="str">
        <x:f>IF(M66="eligible","YES","NO")</x:f>
        <x:v>YES</x:v>
      </x:c>
    </x:row>
    <x:row r="67" ht="72" customHeight="1">
      <x:c r="A67" s="13" t="str">
        <x:v>theophylline</x:v>
      </x:c>
      <x:c r="B67" s="13" t="str">
        <x:v>alcohol</x:v>
      </x:c>
      <x:c r="C67" s="14" t="str">
        <x:v>แอลกอฮอล์/เครื่องดื่มแอลกอฮอล์</x:v>
      </x:c>
      <x:c r="D67" s="13" t="str">
        <x:v>severe</x:v>
      </x:c>
      <x:c r="E67" s="13" t="str">
        <x:v>avoid</x:v>
      </x:c>
      <x:c r="F67" s="13" t="str">
        <x:v>r0339_pil</x:v>
      </x:c>
      <x:c r="G67" s="13" t="str">
        <x:v>PIL</x:v>
      </x:c>
      <x:c r="H67" s="13" t="n">
        <x:v>1</x:v>
      </x:c>
      <x:c r="I67" s="14" t="str">
        <x:v>https://drug.fda.moph.go.th/media.php?id=808611857748336640&amp;name=Theophylline_compressedTablet_PIL.pdf</x:v>
      </x:c>
      <x:c r="J67" s="14" t="str">
        <x:v>เวลาของมืѸอต่อไปให้รอ กินยาของมืѸอต่อไป ห้ามกินยาเพิѷมเป็น 2 เท่า 3.3 ถ้ากินยานีҟเกินขนาดทีѷแนะนํา ควรทําอย่างไร  ให ้สังเกตอาการอย่างใกล้ชิด หากมีอาการผิดปกติทีѷ รุนแรง ให้นําส่งโรงพยาบาลทันที 4. ข้อควรปฏิบัติระหว่างใช้ยานีҟ  ไม่นํายานีѸให้ผู้อืѷนกิน แม้ว่าจะเป็นโรคหรือมีอาการ เดียวกัน เพืѷอความปลอดภัยในการใช้ยา  ห้ามหยุดยาเอง และให้กินยานีѸอย่างต่อเนืѷองตาม คําแนะนําของแพทย์ หรือเภสัชกร  หลีกเลีѷยงการดืѷมเครืѷองดืѷมทีѷมีแอลกอฮอล์  พบแพทย์ตามนัดอย่างสมํѷาเสมอ เพืѷอติดตาม ผลการรักษาหรืออันตรายจากยา  แจ้งแพทย์หรือเภสัชกร หากใช้ยานีѸแล้วอาการไม่ดีขึѸน หรือแย่ลง  แจ้งแพทย์หรือทันตแพทย์ว่าใช้ยานีѸอยู่ หากจําเป็นต้องรับการรักษาด้วยการดมยาสลบหรือทํา หัตถการผ่าตัด 5. อันตรายทีѷอาจเกิดจากยา 5.1 อาการทีѷต้องหยุดยาแล้วไปพบแพทย์ทันที  ลมพิษ บวมทีѷใบหน้า เปลือกตา ริมฝีปาก  หน้ามืด เป็นลม แน่นหน้าอก หายใจลําบาก  ผืѷนแดง ตุ่มพอง ผิวหนังลอก หรือมีจํѸาตามผิวหนัง</x:v>
      </x:c>
      <x:c r="K67" s="14" t="str">
        <x:v>[]</x:v>
      </x:c>
      <x:c r="L67" s="13" t="str">
        <x:v>high</x:v>
      </x:c>
      <x:c r="M67" s="13" t="str">
        <x:v>eligible</x:v>
      </x:c>
      <x:c r="N67" s="14" t="str"/>
      <x:c r="O67" s="13" t="str">
        <x:f>IF(M67="eligible","YES","NO")</x:f>
        <x:v>YES</x:v>
      </x:c>
    </x:row>
    <x:row r="68" ht="72" customHeight="1">
      <x:c r="A68" s="13" t="str">
        <x:v>tinidazole</x:v>
      </x:c>
      <x:c r="B68" s="13" t="str">
        <x:v>alcohol</x:v>
      </x:c>
      <x:c r="C68" s="14" t="str">
        <x:v>แอลกอฮอล์/เครื่องดื่มแอลกอฮอล์</x:v>
      </x:c>
      <x:c r="D68" s="13" t="str">
        <x:v>severe</x:v>
      </x:c>
      <x:c r="E68" s="13" t="str">
        <x:v>avoid</x:v>
      </x:c>
      <x:c r="F68" s="13" t="str">
        <x:v>r0346_smpc</x:v>
      </x:c>
      <x:c r="G68" s="13" t="str">
        <x:v>SMPC</x:v>
      </x:c>
      <x:c r="H68" s="13" t="n">
        <x:v>6</x:v>
      </x:c>
      <x:c r="I68" s="14" t="str">
        <x:v>https://drug.fda.moph.go.th/media.php?id=810482703316164608&amp;name=SMPC_Tinidazole_Film-coated Tablet.pdf</x:v>
      </x:c>
      <x:c r="J68" s="14" t="str">
        <x:v>ould be avoided in patients with organic neurological disorders. • Tinidazole, other 5 -nitroimidazole derivatives or any of the components of this product should not be administered to patients with known hypersensitivity to the drug. • Use of tinidazole is contraindicated during the first trimester of pregnancy and in nursing mothers (see section 4.6). 4.4. Special warnings and precautions for use As with related compounds, alcoholic beverages should be avoided during &lt;Generic Name&gt; therapy because of the possibility of a</x:v>
      </x:c>
      <x:c r="K68" s="14" t="str">
        <x:v>[]</x:v>
      </x:c>
      <x:c r="L68" s="13" t="str">
        <x:v>high</x:v>
      </x:c>
      <x:c r="M68" s="13" t="str">
        <x:v>eligible</x:v>
      </x:c>
      <x:c r="N68" s="14" t="str"/>
      <x:c r="O68" s="13" t="str">
        <x:f>IF(M68="eligible","YES","NO")</x:f>
        <x:v>YES</x:v>
      </x:c>
    </x:row>
    <x:row r="69" ht="72" customHeight="1">
      <x:c r="A69" s="13" t="str">
        <x:v>tinidazole</x:v>
      </x:c>
      <x:c r="B69" s="13" t="str">
        <x:v>alcohol</x:v>
      </x:c>
      <x:c r="C69" s="14" t="str">
        <x:v>แอลกอฮอล์/เครื่องดื่มแอลกอฮอล์</x:v>
      </x:c>
      <x:c r="D69" s="13" t="str">
        <x:v>moderate</x:v>
      </x:c>
      <x:c r="E69" s="13" t="str">
        <x:v>separate</x:v>
      </x:c>
      <x:c r="F69" s="13" t="str">
        <x:v>r0346_smpc</x:v>
      </x:c>
      <x:c r="G69" s="13" t="str">
        <x:v>SMPC</x:v>
      </x:c>
      <x:c r="H69" s="13" t="n">
        <x:v>7</x:v>
      </x:c>
      <x:c r="I69" s="14" t="str">
        <x:v>https://drug.fda.moph.go.th/media.php?id=810482703316164608&amp;name=SMPC_Tinidazole_Film-coated Tablet.pdf</x:v>
      </x:c>
      <x:c r="J69" s="14" t="str">
        <x:v>disulfiram -like reaction (flushing, abdominal cramps, vomiting, tachycardia). Alcohol should be avoided until 72 hours after discontinuing &lt;Generic Name&gt;. Drugs of similar chemical structure have also produced various neurological disturbances such as dizziness, vertigo, incoordination and ataxia. If during therapy with &lt;Generic Name&gt; abnormal neurological signs develop, therapy should be discontinued. Carcinogenicity has been seen in mice and rats treated chronically with metronidazole, another nitroimidazole</x:v>
      </x:c>
      <x:c r="K69" s="14" t="str">
        <x:v>[]</x:v>
      </x:c>
      <x:c r="L69" s="13" t="str">
        <x:v>medium</x:v>
      </x:c>
      <x:c r="M69" s="13" t="str">
        <x:v>eligible</x:v>
      </x:c>
      <x:c r="N69" s="14" t="str"/>
      <x:c r="O69" s="13" t="str">
        <x:f>IF(M69="eligible","YES","NO")</x:f>
        <x:v>YES</x:v>
      </x:c>
    </x:row>
    <x:row r="70" ht="72" customHeight="1">
      <x:c r="A70" s="13" t="str">
        <x:v>tramadol</x:v>
      </x:c>
      <x:c r="B70" s="13" t="str">
        <x:v>alcohol</x:v>
      </x:c>
      <x:c r="C70" s="14" t="str">
        <x:v>แอลกอฮอล์/เครื่องดื่มแอลกอฮอล์</x:v>
      </x:c>
      <x:c r="D70" s="13" t="str">
        <x:v>severe</x:v>
      </x:c>
      <x:c r="E70" s="13" t="str">
        <x:v>consult</x:v>
      </x:c>
      <x:c r="F70" s="13" t="str">
        <x:v>r0350_smpc</x:v>
      </x:c>
      <x:c r="G70" s="13" t="str">
        <x:v>SMPC</x:v>
      </x:c>
      <x:c r="H70" s="13" t="n">
        <x:v>8</x:v>
      </x:c>
      <x:c r="I70" s="14" t="str">
        <x:v>https://drug.fda.moph.go.th/media.php?id=810483663501402112&amp;name=SMPC_Tramadol_Capsules.pdf</x:v>
      </x:c>
      <x:c r="J70" s="14" t="str">
        <x:v>n observed. The same interactions with MAO inhibitors cannot be ruled out during treatment with Tramadol. The concomitant use of opioids with sedating medicinal products such as benzodiazepines or related substances increases the risk of sedation, respiratory depression, coma and death because of additive CNS depressant effect. Concomitant administration of Tramadol with other centrally depressant medicinal products including alcohol may potentiate the CNS effects (see section 4.8). The concomitant use of Tramadol with gabapentinoids (gabapentin and pregabalin) may result in resp iratory depression, hypotension, profound sedation, coma or death. The dose of Tramadol and the duration of the concomitant use should be limited (see section 4.4) The results of pharmacokinetic studies have so far shown that on the concomitant or previous administration of cimet</x:v>
      </x:c>
      <x:c r="K70" s="14" t="str">
        <x:v>[]</x:v>
      </x:c>
      <x:c r="L70" s="13" t="str">
        <x:v>high</x:v>
      </x:c>
      <x:c r="M70" s="13" t="str">
        <x:v>eligible</x:v>
      </x:c>
      <x:c r="N70" s="14" t="str"/>
      <x:c r="O70" s="13" t="str">
        <x:f>IF(M70="eligible","YES","NO")</x:f>
        <x:v>YES</x:v>
      </x:c>
    </x:row>
    <x:row r="71" ht="72" customHeight="1">
      <x:c r="A71" s="13" t="str">
        <x:v>tramadol</x:v>
      </x:c>
      <x:c r="B71" s="13" t="str">
        <x:v>alcohol</x:v>
      </x:c>
      <x:c r="C71" s="14" t="str">
        <x:v>แอลกอฮอล์/เครื่องดื่มแอลกอฮอล์</x:v>
      </x:c>
      <x:c r="D71" s="13" t="str">
        <x:v>severe</x:v>
      </x:c>
      <x:c r="E71" s="13" t="str">
        <x:v>consult</x:v>
      </x:c>
      <x:c r="F71" s="13" t="str">
        <x:v>r0351_smpc</x:v>
      </x:c>
      <x:c r="G71" s="13" t="str">
        <x:v>SMPC</x:v>
      </x:c>
      <x:c r="H71" s="13" t="n">
        <x:v>9</x:v>
      </x:c>
      <x:c r="I71" s="14" t="str">
        <x:v>https://drug.fda.moph.go.th/media.php?id=810484035766853632&amp;name=SMPC_Tramadol_solution for injection or infusion.pdf</x:v>
      </x:c>
      <x:c r="J71" s="14" t="str">
        <x:v>n observed. The same interactions with MAO inhibitors cannot be ruled out during treatment with Tramadol. The concomitant use of opioids with sedating medicinal products such as benzodiazepines or related substances increases the risk of sedation, respiratory depression, coma and death because of additive CNS depressant effect. Concomitant administration of Tramadol with other centrally depressant medicinal products including alcohol may potentiate the CNS effects (see section 4.8). The concomitant use of Tramadol with gabapentinoids (gabapentin and pregabalin) may result in resp iratory depression, hypotension, profound sedation, coma or death. The dose of Tramadol and the duration of the concomitant use should be limited (see section 4.4) The results of pharmacokinetic studies have so far shown that on the concomitant or previous administration of cimet</x:v>
      </x:c>
      <x:c r="K71" s="14" t="str">
        <x:v>[]</x:v>
      </x:c>
      <x:c r="L71" s="13" t="str">
        <x:v>high</x:v>
      </x:c>
      <x:c r="M71" s="13" t="str">
        <x:v>eligible</x:v>
      </x:c>
      <x:c r="N71" s="14" t="str"/>
      <x:c r="O71" s="13" t="str">
        <x:f>IF(M71="eligible","YES","NO")</x:f>
        <x:v>YES</x:v>
      </x:c>
    </x:row>
    <x:row r="72" ht="72" customHeight="1">
      <x:c r="A72" s="13" t="str">
        <x:v>trazodone</x:v>
      </x:c>
      <x:c r="B72" s="13" t="str">
        <x:v>alcohol</x:v>
      </x:c>
      <x:c r="C72" s="14" t="str">
        <x:v>แอลกอฮอล์/เครื่องดื่มแอลกอฮอล์</x:v>
      </x:c>
      <x:c r="D72" s="13" t="str">
        <x:v>moderate</x:v>
      </x:c>
      <x:c r="E72" s="13" t="str">
        <x:v>avoid</x:v>
      </x:c>
      <x:c r="F72" s="13" t="str">
        <x:v>r0352_smpc</x:v>
      </x:c>
      <x:c r="G72" s="13" t="str">
        <x:v>SMPC</x:v>
      </x:c>
      <x:c r="H72" s="13" t="n">
        <x:v>11</x:v>
      </x:c>
      <x:c r="I72" s="14" t="str">
        <x:v>https://drug.fda.moph.go.th/media.php?id=810484413367459840&amp;name=SMPC_Trazodone_Tablets.pdf</x:v>
      </x:c>
      <x:c r="J72" s="14" t="str">
        <x:v>lorophenylpiperazine of 76% and 60%, respectively. Patients should be closely monitored to see if there is a need for an increased dose of &lt;GENERIC NAME&gt; when taken with carbamazepine. &lt;GENERIC NAME&gt; may enhance the effects of muscle relaxants and volatile anaesthetics, and caution should be exercised in such instances. Similar considerations apply to combined administration with sedative and anti -depressant drugs, including alcohol. &lt;GENERIC NAME&gt; intensifies the sedative effects of alcohol. Alcohol should be avoided during &lt;GENERIC NAME&gt; therapy. &lt;GENERIC NAME&gt; has been well tolerated in depressed schizophrenic patients receiving standard phenothiazine therapy and also in depressed park insonian patients receiving therapy with levodopa. Antidepressants can accelerate the metabolism of levodopa. Tricyclic antidepressants: Concurrent administration shoul</x:v>
      </x:c>
      <x:c r="K72" s="14" t="str">
        <x:v>[]</x:v>
      </x:c>
      <x:c r="L72" s="13" t="str">
        <x:v>medium</x:v>
      </x:c>
      <x:c r="M72" s="13" t="str">
        <x:v>eligible</x:v>
      </x:c>
      <x:c r="N72" s="14" t="str"/>
      <x:c r="O72" s="13" t="str">
        <x:f>IF(M72="eligible","YES","NO")</x:f>
        <x:v>YES</x:v>
      </x:c>
    </x:row>
    <x:row r="73" ht="72" customHeight="1">
      <x:c r="A73" s="13" t="str">
        <x:v>trazodone</x:v>
      </x:c>
      <x:c r="B73" s="13" t="str">
        <x:v>alcohol</x:v>
      </x:c>
      <x:c r="C73" s="14" t="str">
        <x:v>แอลกอฮอล์/เครื่องดื่มแอลกอฮอล์</x:v>
      </x:c>
      <x:c r="D73" s="13" t="str">
        <x:v>severe</x:v>
      </x:c>
      <x:c r="E73" s="13" t="str">
        <x:v>avoid</x:v>
      </x:c>
      <x:c r="F73" s="13" t="str">
        <x:v>r0431_pil</x:v>
      </x:c>
      <x:c r="G73" s="13" t="str">
        <x:v>PIL</x:v>
      </x:c>
      <x:c r="H73" s="13" t="n">
        <x:v>1</x:v>
      </x:c>
      <x:c r="I73" s="14" t="str">
        <x:v>https://drug.fda.moph.go.th/media.php?id=862918385716043776&amp;name=47.Trazodone_tablet_PIL.pdf</x:v>
      </x:c>
      <x:c r="J73" s="14" t="str">
        <x:v>1. ยานี้คือยาอะไร 1.1. ยานี้มีชื่อว่าอะไร • ยานี้มีชื่อว่า ทรา-โซ-โดน-ไฮ-โดร-คลอ-ไรด์ (trazodone hydrochloride) 1.2. ยานี้ใช้เพื่ออะไร • ใช ้รักษาโรคซึมเศร ้า 2. ข้อควรรู้ก่อนใช้ยา 2.1. ห้ามใช้ยานี้เมื่อไร • เคยแพ ้ยานี้ หรือส่วนประกอบของยานี้ • โรคกล ้ ามเนื้อหัวใจตายหรือขาดเลือดเฉียบพลัน • ติดสุราเรื้อรัง หรือก าลังใช ้ยานอนหลับ 2.2. ข้อควรระว ั งเมื่อใช้ยานี้ ให้ปรึกษาแพทย์หรือเภส ัชกรในกรณีต่อไปนี้ • หญิงตั้งท ้องควรหลีกเลี่ยงการใช ้ยานี้ในสามเดือนแรก และในเดือนที่ 7-9 เพราะอาจท าให ้ เกิดอันตรายต่อทารก แต่แพทย์อาจพิจารณาสั่งใช ้ยานี้ หากมีเหตุผลทางการแพทย์ • หญิงให ้นมลูกควรระมัดระวังการใช ้ยานี้ ควรปรึกษา แพทย์หรือเภสัชกรก่อนใช ้ยา เพราะไม่มีข ้อมูลยืนยัน ความปลอดภัย • เป ็ นโรคลมชัก • เป ็ นโรคตับ โรคไต หรือโรคหัว</x:v>
      </x:c>
      <x:c r="K73" s="14" t="str">
        <x:v>["heart"]</x:v>
      </x:c>
      <x:c r="L73" s="13" t="str">
        <x:v>high</x:v>
      </x:c>
      <x:c r="M73" s="13" t="str">
        <x:v>eligible</x:v>
      </x:c>
      <x:c r="N73" s="14" t="str"/>
      <x:c r="O73" s="13" t="str">
        <x:f>IF(M73="eligible","YES","NO")</x:f>
        <x:v>YES</x:v>
      </x:c>
    </x:row>
    <x:row r="74" ht="72" customHeight="1">
      <x:c r="A74" s="13" t="str">
        <x:v>ferrous</x:v>
      </x:c>
      <x:c r="B74" s="13" t="str">
        <x:v>tea</x:v>
      </x:c>
      <x:c r="C74" s="14" t="str">
        <x:v>ชา</x:v>
      </x:c>
      <x:c r="D74" s="13" t="str">
        <x:v>moderate</x:v>
      </x:c>
      <x:c r="E74" s="13" t="str">
        <x:v>avoid</x:v>
      </x:c>
      <x:c r="F74" s="13" t="str">
        <x:v>r0143_smpc</x:v>
      </x:c>
      <x:c r="G74" s="13" t="str">
        <x:v>SMPC</x:v>
      </x:c>
      <x:c r="H74" s="13" t="n">
        <x:v>4</x:v>
      </x:c>
      <x:c r="I74" s="14" t="str">
        <x:v>https://drug.fda.moph.go.th/media.php?id=810079316368039936&amp;name=SMPC_Ferrous fumarate_Tablets.pdf</x:v>
      </x:c>
      <x:c r="J74" s="14" t="str">
        <x:v>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 4.6. Fertility, pregnancy and lactation Pregnancy Ferrous fumarate tablets can be used during pregnancy if clinically indicated. Breast-feeding No adverse effects of ferrous fumarate have been shown in breastfed infants of treated mothers. Ferrous fumarate tablets can be used during breast-feeding if clinica</x:v>
      </x:c>
      <x:c r="K74" s="14" t="str">
        <x:v>[]</x:v>
      </x:c>
      <x:c r="L74" s="13" t="str">
        <x:v>medium</x:v>
      </x:c>
      <x:c r="M74" s="13" t="str">
        <x:v>eligible</x:v>
      </x:c>
      <x:c r="N74" s="14" t="str"/>
      <x:c r="O74" s="13" t="str">
        <x:f>IF(M74="eligible","YES","NO")</x:f>
        <x:v>YES</x:v>
      </x:c>
    </x:row>
    <x:row r="75" ht="72" customHeight="1">
      <x:c r="A75" s="13" t="str">
        <x:v>ferrous</x:v>
      </x:c>
      <x:c r="B75" s="13" t="str">
        <x:v>tea</x:v>
      </x:c>
      <x:c r="C75" s="14" t="str">
        <x:v>ชา</x:v>
      </x:c>
      <x:c r="D75" s="13" t="str">
        <x:v>moderate</x:v>
      </x:c>
      <x:c r="E75" s="13" t="str">
        <x:v>avoid</x:v>
      </x:c>
      <x:c r="F75" s="13" t="str">
        <x:v>r0144_smpc</x:v>
      </x:c>
      <x:c r="G75" s="13" t="str">
        <x:v>SMPC</x:v>
      </x:c>
      <x:c r="H75" s="13" t="n">
        <x:v>4</x:v>
      </x:c>
      <x:c r="I75" s="14" t="str">
        <x:v>https://drug.fda.moph.go.th/media.php?id=810079681742249984&amp;name=SMPC_Ferrous fumarate_ syrup.pdf</x:v>
      </x:c>
      <x:c r="J75" s="14" t="str">
        <x:v>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4.6. Fertility, pregnancy and lactation Pregnancy Ferrous fumarate can be used during pregnancy if clinically indicated . Breast-feeding No adverse effects of ferrous fumarate have been shown in breastfed infants of treated mothers. Ferrous fumarate tablets can be used during breast-feeding if clinically indi</x:v>
      </x:c>
      <x:c r="K75" s="14" t="str">
        <x:v>[]</x:v>
      </x:c>
      <x:c r="L75" s="13" t="str">
        <x:v>medium</x:v>
      </x:c>
      <x:c r="M75" s="13" t="str">
        <x:v>eligible</x:v>
      </x:c>
      <x:c r="N75" s="14" t="str"/>
      <x:c r="O75" s="13" t="str">
        <x:f>IF(M75="eligible","YES","NO")</x:f>
        <x:v>YES</x:v>
      </x:c>
    </x:row>
    <x:row r="76" ht="72" customHeight="1">
      <x:c r="A76" s="13" t="str">
        <x:v>ferrous</x:v>
      </x:c>
      <x:c r="B76" s="13" t="str">
        <x:v>tea</x:v>
      </x:c>
      <x:c r="C76" s="14" t="str">
        <x:v>ชา</x:v>
      </x:c>
      <x:c r="D76" s="13" t="str">
        <x:v>moderate</x:v>
      </x:c>
      <x:c r="E76" s="13" t="str">
        <x:v>avoid</x:v>
      </x:c>
      <x:c r="F76" s="13" t="str">
        <x:v>r0145_smpc</x:v>
      </x:c>
      <x:c r="G76" s="13" t="str">
        <x:v>SMPC</x:v>
      </x:c>
      <x:c r="H76" s="13" t="n">
        <x:v>5</x:v>
      </x:c>
      <x:c r="I76" s="14" t="str">
        <x:v>https://drug.fda.moph.go.th/media.php?id=810081060158316544&amp;name=SMPC_Ferrous sulfate_film-coated tablets.pdf</x:v>
      </x:c>
      <x:c r="J76" s="14" t="str">
        <x:v>ently with iron preparations. Administration should be separated by at least 2 hours. Cholestyramine: Absorption of iron is impaired by cholestyramine. Dimercaprol: Concomitant administration of oral iron preparations and dimercaprol should be avoided. Dopaminergics: Oral iron preparations may reduce the absorption of dopaminergics such as co-careldopa, entacapone and levodopa. Food products: Absorption of iron is impaired by tea, eggs or milk. Absorption of iron salts is enhanced by ascorbic acid and meat. Methyldopa: Oral iron preparations may antagonise the antihypertensive effect of methyldopa. Mycophenolate mofetil: Oral iron preparations significantly reduce the absorption of mycophenolate mofetil.</x:v>
      </x:c>
      <x:c r="K76" s="14" t="str">
        <x:v>[]</x:v>
      </x:c>
      <x:c r="L76" s="13" t="str">
        <x:v>medium</x:v>
      </x:c>
      <x:c r="M76" s="13" t="str">
        <x:v>eligible</x:v>
      </x:c>
      <x:c r="N76" s="14" t="str"/>
      <x:c r="O76" s="13" t="str">
        <x:f>IF(M76="eligible","YES","NO")</x:f>
        <x:v>YES</x:v>
      </x:c>
    </x:row>
    <x:row r="77" ht="72" customHeight="1">
      <x:c r="A77" s="13" t="str">
        <x:v>bromhexine</x:v>
      </x:c>
      <x:c r="B77" s="13" t="str">
        <x:v>food_meal</x:v>
      </x:c>
      <x:c r="C77" s="14" t="str">
        <x:v>อาหาร/มื้ออาหารทั่วไป</x:v>
      </x:c>
      <x:c r="D77" s="13" t="str">
        <x:v>moderate</x:v>
      </x:c>
      <x:c r="E77" s="13" t="str">
        <x:v>consult</x:v>
      </x:c>
      <x:c r="F77" s="13" t="str">
        <x:v>r0039_smpc</x:v>
      </x:c>
      <x:c r="G77" s="13" t="str">
        <x:v>SMPC</x:v>
      </x:c>
      <x:c r="H77" s="13" t="n">
        <x:v>6</x:v>
      </x:c>
      <x:c r="I77" s="14" t="str">
        <x:v>https://drug.fda.moph.go.th/media.php?id=809661846922600448&amp;name=SMPC_Bromhexine_Tablets.pdf</x:v>
      </x:c>
      <x:c r="J77" s="14" t="str">
        <x:v>shows dose linear pharmacokinetics in the dose range of 8 -32 mg. It is rapidly and completely absorbed from the gastrointestinal tract. The bioavailability after oral administration is substantially reduced by an e xtensive first- pass effect in the range of 75 -80%. The absolute bioavailability of bromhexine hydrochloride is about 22.2 ± 8.5 % and 26.8 ± 13.1 % for Bromhexine tablets and solution, respectively. Concomitant food intake leads to an increase of bromhexine plasma concentrations. Distribution After intravenous administration, bromhexine was rapidly and widely distributed throughout the body with a mean volume of distribution (Vss) of up to 1209 ± 206 L (19 L/kg). The distribution of bromhexine in lung tissue (bronchial and parenchymal) was inve stigated after oral administration of 32 mg and 64 mg bromhexine. Bromhexine lung tissue concentratio</x:v>
      </x:c>
      <x:c r="K77" s="14" t="str">
        <x:v>[]</x:v>
      </x:c>
      <x:c r="L77" s="13" t="str">
        <x:v>medium</x:v>
      </x:c>
      <x:c r="M77" s="13" t="str">
        <x:v>eligible</x:v>
      </x:c>
      <x:c r="N77" s="14" t="str"/>
      <x:c r="O77" s="13" t="str">
        <x:f>IF(M77="eligible","YES","NO")</x:f>
        <x:v>YES</x:v>
      </x:c>
    </x:row>
    <x:row r="78" ht="72" customHeight="1">
      <x:c r="A78" s="13" t="str">
        <x:v>rifampicin</x:v>
      </x:c>
      <x:c r="B78" s="13" t="str">
        <x:v>food_meal</x:v>
      </x:c>
      <x:c r="C78" s="14" t="str">
        <x:v>อาหาร/มื้ออาหารทั่วไป</x:v>
      </x:c>
      <x:c r="D78" s="13" t="str">
        <x:v>moderate</x:v>
      </x:c>
      <x:c r="E78" s="13" t="str">
        <x:v>separate</x:v>
      </x:c>
      <x:c r="F78" s="13" t="str">
        <x:v>r0305_smpc</x:v>
      </x:c>
      <x:c r="G78" s="13" t="str">
        <x:v>SMPC</x:v>
      </x:c>
      <x:c r="H78" s="13" t="n">
        <x:v>18</x:v>
      </x:c>
      <x:c r="I78" s="14" t="str">
        <x:v>https://drug.fda.moph.go.th/media.php?id=810448559467012096&amp;name=SMPC_Rifampicin_Tablets.pdf</x:v>
      </x:c>
      <x:c r="J78" s="14" t="str">
        <x:v>ial RNA polymerase but does not inhibit the mammalian enzyme. Cross - resistance to rifampicin has only been shown with other rifamycins. 5.2. Pharmacokinetic properties Rifampicin is readily absorbed from the gastrointestinal tract. Peak serum concentrations of the order of 10 µ g/ml occur about 2 - 4 hours after a dose of 10 mg/kg body weight on an empty stomach. Absorption of rifampicin is reduced when the drug is ingested with food. The pharmacokinetics (oral and intravenous) in children are similar to adults. In normal subjects the biological half -life of rifampicin in serum averages about 3 hours after a 600 mg dose and increases to 5.1 hours after a 900 mg dose. With repeated administration, the half -life decreases and reaches average values of approximately 2 – 3 hours. At a dose of up to 600 mg/day, it does not differ in patients with renal failu</x:v>
      </x:c>
      <x:c r="K78" s="14" t="str">
        <x:v>[]</x:v>
      </x:c>
      <x:c r="L78" s="13" t="str">
        <x:v>medium</x:v>
      </x:c>
      <x:c r="M78" s="13" t="str">
        <x:v>eligible</x:v>
      </x:c>
      <x:c r="N78" s="14" t="str"/>
      <x:c r="O78" s="13" t="str">
        <x:f>IF(M78="eligible","YES","NO")</x:f>
        <x:v>YES</x:v>
      </x:c>
    </x:row>
    <x:row r="79" ht="72" customHeight="1">
      <x:c r="A79" s="13" t="str">
        <x:v>terbutaline</x:v>
      </x:c>
      <x:c r="B79" s="13" t="str">
        <x:v>food_meal</x:v>
      </x:c>
      <x:c r="C79" s="14" t="str">
        <x:v>อาหาร/มื้ออาหารทั่วไป</x:v>
      </x:c>
      <x:c r="D79" s="13" t="str">
        <x:v>moderate</x:v>
      </x:c>
      <x:c r="E79" s="13" t="str">
        <x:v>consult</x:v>
      </x:c>
      <x:c r="F79" s="13" t="str">
        <x:v>r0335_smpc</x:v>
      </x:c>
      <x:c r="G79" s="13" t="str">
        <x:v>SMPC</x:v>
      </x:c>
      <x:c r="H79" s="13" t="n">
        <x:v>15</x:v>
      </x:c>
      <x:c r="I79" s="14" t="str">
        <x:v>https://drug.fda.moph.go.th/media.php?id=810466986881589248&amp;name=SMPC_Terbutaline_Solution for injection or infusion.pdf</x:v>
      </x:c>
      <x:c r="J79" s="14" t="str">
        <x:v>(males) Renal clearance (CLR) - 2.32 ml/min (females) The plasma concentration/time curve after i.v. administration is characterised by a fast distribution phase, an intermediate elimination phase and a late elimination phase. Terminal half-life (t½) has been determined after single and multiple dosing (mean values varied between 16 - 20 h). Bioavailability Food reduces bioavailability following oral dosing (10% on average); fasting values of 14 - 15% have been obtained. Metabolism The main metabolite after oral dosing is the sulfate conjugate and also some glucuronide conjugate can be found in the urine. 5.3. Preclinical safety data The major toxic effect of terbutaline, observed in toxicological studies in rats and dogs at exposures in excess of maximum human exposure, is focal myocardial necrosis. This type of cardiotoxicity is a well -known pharmacol</x:v>
      </x:c>
      <x:c r="K79" s="14" t="str">
        <x:v>[]</x:v>
      </x:c>
      <x:c r="L79" s="13" t="str">
        <x:v>medium</x:v>
      </x:c>
      <x:c r="M79" s="13" t="str">
        <x:v>eligible</x:v>
      </x:c>
      <x:c r="N79" s="14" t="str"/>
      <x:c r="O79" s="13" t="str">
        <x:f>IF(M79="eligible","YES","NO")</x:f>
        <x:v>YES</x:v>
      </x:c>
    </x:row>
    <x:row r="80" ht="72" customHeight="1">
      <x:c r="A80" s="13" t="str">
        <x:v>terbutaline</x:v>
      </x:c>
      <x:c r="B80" s="13" t="str">
        <x:v>food_meal</x:v>
      </x:c>
      <x:c r="C80" s="14" t="str">
        <x:v>อาหาร/มื้ออาหารทั่วไป</x:v>
      </x:c>
      <x:c r="D80" s="13" t="str">
        <x:v>moderate</x:v>
      </x:c>
      <x:c r="E80" s="13" t="str">
        <x:v>consult</x:v>
      </x:c>
      <x:c r="F80" s="13" t="str">
        <x:v>r0336_smpc</x:v>
      </x:c>
      <x:c r="G80" s="13" t="str">
        <x:v>SMPC</x:v>
      </x:c>
      <x:c r="H80" s="13" t="n">
        <x:v>8</x:v>
      </x:c>
      <x:c r="I80" s="14" t="str">
        <x:v>https://drug.fda.moph.go.th/media.php?id=810467535672713216&amp;name=SMPC_Terbutaline_Syrup.pdf</x:v>
      </x:c>
      <x:c r="J80" s="14" t="str">
        <x:v>(males) Renal clearance (CLR) - 2.32 ml/min (females) The plasma concentration/time curve after i.v. administration is characterised by a fast distribution phase, an intermediate elimination phase and a late elimination phase. Terminal half-life (t½) has been determined after single and multiple dosing (mean values varied between 16 - 20 h). Bioavailability Food reduces bioavailability following oral dosing (10% on average); fasting values of 14 - 15% have been obtained. Metabolism The main metabolite after oral dosing is the sulfate conjugate and also some glucuronide conjugate can be found in the urine. 5.3. Preclinical safety data The major toxic effect of terbutaline, observed in toxicological studies in rats and dogs at exposures in excess of maximum human exposure, is focal myocardial necrosis. This type of cardiotoxicity is a well -known pharmacol</x:v>
      </x:c>
      <x:c r="K80" s="14" t="str">
        <x:v>[]</x:v>
      </x:c>
      <x:c r="L80" s="13" t="str">
        <x:v>medium</x:v>
      </x:c>
      <x:c r="M80" s="13" t="str">
        <x:v>eligible</x:v>
      </x:c>
      <x:c r="N80" s="14" t="str"/>
      <x:c r="O80" s="13" t="str">
        <x:f>IF(M80="eligible","YES","NO")</x:f>
        <x:v>YES</x:v>
      </x:c>
    </x:row>
    <x:row r="81" ht="72" customHeight="1">
      <x:c r="A81" s="13" t="str">
        <x:v>ciprofloxacin</x:v>
      </x:c>
      <x:c r="B81" s="13" t="str">
        <x:v>calcium_fortified_drinks</x:v>
      </x:c>
      <x:c r="C81" s="14" t="str">
        <x:v>เครื่องดื่มเสริมแคลเซียม (เช่น น้ำส้มเสริมแคลเซียม)</x:v>
      </x:c>
      <x:c r="D81" s="13" t="str">
        <x:v>moderate</x:v>
      </x:c>
      <x:c r="E81" s="13" t="str">
        <x:v>avoid</x:v>
      </x:c>
      <x:c r="F81" s="13" t="str">
        <x:v>r0071_smpc</x:v>
      </x:c>
      <x:c r="G81" s="13" t="str">
        <x:v>SMPC</x:v>
      </x:c>
      <x:c r="H81" s="13" t="n">
        <x:v>15</x:v>
      </x:c>
      <x:c r="I81" s="14" t="str">
        <x:v>https://drug.fda.moph.go.th/media.php?id=842359238230679552&amp;name=SmPC Ciprofloxacin film-coated tablets.pdf</x:v>
      </x:c>
      <x:c r="J81" s="14" t="str">
        <x:v>rofloxacin should be administered either 1 to 2 hours before or at least 4 hours after these preparations. This restriction does not apply to antacids belonging to the class of H2-receptor blockers. Food and Dairy Products Dietary calcium as part of a meal does not significantly affect absorption. However, the concurrent administration of dairy products or mineral-fortified drinks alone (e.g. milk, yoghurt, calcium -fortified orange juice) with ciprofloxacin should be avoided because absorption of ciprofloxacin may be reduced.</x:v>
      </x:c>
      <x:c r="K81" s="14" t="str">
        <x:v>[]</x:v>
      </x:c>
      <x:c r="L81" s="13" t="str">
        <x:v>medium</x:v>
      </x:c>
      <x:c r="M81" s="13" t="str">
        <x:v>eligible</x:v>
      </x:c>
      <x:c r="N81" s="14" t="str"/>
      <x:c r="O81" s="13" t="str">
        <x:f>IF(M81="eligible","YES","NO")</x:f>
        <x:v>YES</x:v>
      </x:c>
    </x:row>
    <x:row r="82" ht="72" customHeight="1">
      <x:c r="A82" s="13" t="str">
        <x:v>ciprofloxacin</x:v>
      </x:c>
      <x:c r="B82" s="13" t="str">
        <x:v>calcium_fortified_drinks</x:v>
      </x:c>
      <x:c r="C82" s="14" t="str">
        <x:v>เครื่องดื่มเสริมแคลเซียม (เช่น น้ำส้มเสริมแคลเซียม)</x:v>
      </x:c>
      <x:c r="D82" s="13" t="str">
        <x:v>moderate</x:v>
      </x:c>
      <x:c r="E82" s="13" t="str">
        <x:v>avoid</x:v>
      </x:c>
      <x:c r="F82" s="13" t="str">
        <x:v>r0073_smpc</x:v>
      </x:c>
      <x:c r="G82" s="13" t="str">
        <x:v>SMPC</x:v>
      </x:c>
      <x:c r="H82" s="13" t="n">
        <x:v>17</x:v>
      </x:c>
      <x:c r="I82" s="14" t="str">
        <x:v>https://drug.fda.moph.go.th/media.php?id=842360112483016704&amp;name=SmPC Ciprofloxacin hydrochloride tablet.pdf</x:v>
      </x:c>
      <x:c r="J82" s="14" t="str">
        <x:v>ciprofloxacin should be administered either 1 -2 hours before or at least 4 hours after these preparations. The restriction does not apply to antacids belonging to the class of H2 receptor blockers. Food and Dairy Products Dietary calcium as part of a meal does not significantly affect absorption. However, the concurrent administration of dairy products or mineral-fortified drinks alone (e.g. milk, yoghurt, calcium -fortified orange juice) with ciprofloxacin should be avoided because absorption of ciprofloxacin may be reduced Probenecid Probenecid interferes with renal secretion of ciprofloxacin. Co - administration of probenecid and ciprofloxacin increases ciprofloxacin serum concentrations. Metoclopramide Metoclopramide accelerates the absorption of ciprofloxacin (oral) resulting in a shorter time to reach maximum plasma concentrations. No effect was seen on</x:v>
      </x:c>
      <x:c r="K82" s="14" t="str">
        <x:v>["kidney"]</x:v>
      </x:c>
      <x:c r="L82" s="13" t="str">
        <x:v>medium</x:v>
      </x:c>
      <x:c r="M82" s="13" t="str">
        <x:v>eligible</x:v>
      </x:c>
      <x:c r="N82" s="14" t="str"/>
      <x:c r="O82" s="13" t="str">
        <x:f>IF(M82="eligible","YES","NO")</x:f>
        <x:v>YES</x:v>
      </x:c>
    </x:row>
    <x:row r="83" ht="72" customHeight="1">
      <x:c r="A83" s="13" t="str">
        <x:v>colchicine</x:v>
      </x:c>
      <x:c r="B83" s="13" t="str">
        <x:v>grapefruit</x:v>
      </x:c>
      <x:c r="C83" s="14" t="str">
        <x:v>เกรปฟรุต/น้ำเกรปฟรุต</x:v>
      </x:c>
      <x:c r="D83" s="13" t="str">
        <x:v>moderate</x:v>
      </x:c>
      <x:c r="E83" s="13" t="str">
        <x:v>consult</x:v>
      </x:c>
      <x:c r="F83" s="13" t="str">
        <x:v>r0087_smpc</x:v>
      </x:c>
      <x:c r="G83" s="13" t="str">
        <x:v>SMPC</x:v>
      </x:c>
      <x:c r="H83" s="13" t="n">
        <x:v>6</x:v>
      </x:c>
      <x:c r="I83" s="14" t="str">
        <x:v>https://drug.fda.moph.go.th/media.php?id=809692129914920960&amp;name=SMPC_Colchicine_Tablets.pdf</x:v>
      </x:c>
      <x:c r="J83" s="14" t="str">
        <x:v>o be repeated no earlier than 3 days. Moderate CYP3A4 inhibitors Verapamil ER 240 mg once daily for 5 days Diltiazem ER 240 mg once daily for 7 days Grapefruit juice 240 ml twice daily for 4 days N=24 N=20 N=21 130 129 93 188 177 95 2-fold Acute gout regimen to be repeated no earlier than 3 days. Potent P-gp inhibitors Cyclosporin 100 mg single dose N=23 324 317 4-fold Acute gout regimen to be repeated no earlier than 3 days. Grapefruit juice may increase plasma levels of colchicine. Grapefruit juice should therefore not be taken together with colchicine. If treatment with a P -gp inhibitor (e.g. ciclosporin, verapamil or quinidine) or strong CYP3A4 inhibitor (e.g. ritonavir, atazanavir, indinavir, clarithromycin, telithromycin, itraconazole or ketaconazole) is required in patients with normal renal or hepatic function, adjustment of colchicine dosage may be neces</x:v>
      </x:c>
      <x:c r="K83" s="14" t="str">
        <x:v>[]</x:v>
      </x:c>
      <x:c r="L83" s="13" t="str">
        <x:v>medium</x:v>
      </x:c>
      <x:c r="M83" s="13" t="str">
        <x:v>eligible</x:v>
      </x:c>
      <x:c r="N83" s="14" t="str"/>
      <x:c r="O83" s="13" t="str">
        <x:f>IF(M83="eligible","YES","NO")</x:f>
        <x:v>YES</x:v>
      </x:c>
    </x:row>
    <x:row r="84" ht="72" customHeight="1">
      <x:c r="A84" s="13" t="str">
        <x:v>felodipine</x:v>
      </x:c>
      <x:c r="B84" s="13" t="str">
        <x:v>grapefruit</x:v>
      </x:c>
      <x:c r="C84" s="14" t="str">
        <x:v>เกรปฟรุต/น้ำเกรปฟรุต</x:v>
      </x:c>
      <x:c r="D84" s="13" t="str">
        <x:v>moderate</x:v>
      </x:c>
      <x:c r="E84" s="13" t="str">
        <x:v>consult</x:v>
      </x:c>
      <x:c r="F84" s="13" t="str">
        <x:v>r0141_smpc</x:v>
      </x:c>
      <x:c r="G84" s="13" t="str">
        <x:v>SMPC</x:v>
      </x:c>
      <x:c r="H84" s="13" t="n">
        <x:v>5</x:v>
      </x:c>
      <x:c r="I84" s="14" t="str">
        <x:v>https://drug.fda.moph.go.th/media.php?id=810078823658954752&amp;name=SMPC_Felodipine_prolonged release tablets.pdf</x:v>
      </x:c>
      <x:c r="J84" s="14" t="str">
        <x:v>1 Ref: Cardioplen XL, MHRA, date 05/05/2017 5 Grapefruit juice results in increased peak plasma levels and bioavailability possibly due to an interaction with flavonoids in the fruit juice. This interaction has been seen with other dihydropyridine calcium antagonists and represents a class effect. Therefore grapefruit juice should not be taken together with felodipine. The anti -hypertensive effect of felodipine may be enhanced by other anti-hypertensive such as alpha-blockers (e.g. praz</x:v>
      </x:c>
      <x:c r="K84" s="14" t="str">
        <x:v>[]</x:v>
      </x:c>
      <x:c r="L84" s="13" t="str">
        <x:v>medium</x:v>
      </x:c>
      <x:c r="M84" s="13" t="str">
        <x:v>eligible</x:v>
      </x:c>
      <x:c r="N84" s="14" t="str"/>
      <x:c r="O84" s="13" t="str">
        <x:f>IF(M84="eligible","YES","NO")</x:f>
        <x:v>YES</x:v>
      </x:c>
    </x:row>
    <x:row r="85" ht="72" customHeight="1">
      <x:c r="A85" s="13" t="str">
        <x:v>albendazole</x:v>
      </x:c>
      <x:c r="B85" s="13" t="str">
        <x:v>high_fat_meal</x:v>
      </x:c>
      <x:c r="C85" s="14" t="str">
        <x:v>อาหารหรือมื้ออาหารไขมันสูง</x:v>
      </x:c>
      <x:c r="D85" s="13" t="str">
        <x:v>moderate</x:v>
      </x:c>
      <x:c r="E85" s="13" t="str">
        <x:v>consult</x:v>
      </x:c>
      <x:c r="F85" s="13" t="str">
        <x:v>r0012_smpc</x:v>
      </x:c>
      <x:c r="G85" s="13" t="str">
        <x:v>SMPC</x:v>
      </x:c>
      <x:c r="H85" s="13" t="n">
        <x:v>14</x:v>
      </x:c>
      <x:c r="I85" s="14" t="str">
        <x:v>https://drug.fda.moph.go.th/media.php?id=809599347237986304&amp;name=SMPC_albendazole_tablet.pdf</x:v>
      </x:c>
      <x:c r="J85" s="14" t="str">
        <x:v>this primary metabolite, albendazole sulfoxide. Maximal plasma concentrations of albendazole sulfoxide are typically achieved 2 to 5 hours after dosing. Absorption Absolute bioavailability NA* Oral bioavailability Albendazole is poorly absorbed from the gastrointestinal tract (&lt;5%) due to its low aqueous solubility. Food effect Absorption is significantly enhanced (approximately 5 - fold) if albendazole is administered with a fatty meal. Distribution V olume of distribution (mean) NA* Plasma protein binding in vitro Albendazole sulfoxide is 70% bound to plasma protein.</x:v>
      </x:c>
      <x:c r="K85" s="14" t="str">
        <x:v>[]</x:v>
      </x:c>
      <x:c r="L85" s="13" t="str">
        <x:v>medium</x:v>
      </x:c>
      <x:c r="M85" s="13" t="str">
        <x:v>eligible</x:v>
      </x:c>
      <x:c r="N85" s="14" t="str"/>
      <x:c r="O85" s="13" t="str">
        <x:f>IF(M85="eligible","YES","NO")</x:f>
        <x:v>YES</x:v>
      </x:c>
    </x:row>
    <x:row r="86" ht="72" customHeight="1">
      <x:c r="A86" s="13" t="str">
        <x:v>diclofenac</x:v>
      </x:c>
      <x:c r="B86" s="13" t="str">
        <x:v>high_fat_meal</x:v>
      </x:c>
      <x:c r="C86" s="14" t="str">
        <x:v>อาหารหรือมื้ออาหารไขมันสูง</x:v>
      </x:c>
      <x:c r="D86" s="13" t="str">
        <x:v>moderate</x:v>
      </x:c>
      <x:c r="E86" s="13" t="str">
        <x:v>separate</x:v>
      </x:c>
      <x:c r="F86" s="13" t="str">
        <x:v>r0104_smpc</x:v>
      </x:c>
      <x:c r="G86" s="13" t="str">
        <x:v>SMPC</x:v>
      </x:c>
      <x:c r="H86" s="13" t="n">
        <x:v>16</x:v>
      </x:c>
      <x:c r="I86" s="14" t="str">
        <x:v>https://drug.fda.moph.go.th/media.php?id=810069032811241472&amp;name=SMPC_Diclofenac_Prolonged-Release capsules.pdf</x:v>
      </x:c>
      <x:c r="J86" s="14" t="str">
        <x:v>es not suppress proteoglycan biosynthesis in cartilage at concentrations equivalent to the concentrations reached in human beings. 5.2. Pharmacokinetic properties Absorption: Diclofenac sodium is rapidly absorbed from the gut and undergoes first- pass metabolism. Diclofenac SR capsules give peak plasma concentrations after approximately 2.5 hours on an empty stomach and after approximately 6 hours after administration after a high fat meal (data obtained with 100mg capsules). Absorption is unaffected by food. Bioavailability and repeat dose administration</x:v>
      </x:c>
      <x:c r="K86" s="14" t="str">
        <x:v>[]</x:v>
      </x:c>
      <x:c r="L86" s="13" t="str">
        <x:v>medium</x:v>
      </x:c>
      <x:c r="M86" s="13" t="str">
        <x:v>eligible</x:v>
      </x:c>
      <x:c r="N86" s="14" t="str"/>
      <x:c r="O86" s="13" t="str">
        <x:f>IF(M86="eligible","YES","NO")</x:f>
        <x:v>YES</x:v>
      </x:c>
    </x:row>
    <x:row r="87" ht="72" customHeight="1">
      <x:c r="A87" s="13" t="str">
        <x:v>griseofulvin</x:v>
      </x:c>
      <x:c r="B87" s="13" t="str">
        <x:v>high_fat_meal</x:v>
      </x:c>
      <x:c r="C87" s="14" t="str">
        <x:v>อาหารหรือมื้ออาหารไขมันสูง</x:v>
      </x:c>
      <x:c r="D87" s="13" t="str">
        <x:v>moderate</x:v>
      </x:c>
      <x:c r="E87" s="13" t="str">
        <x:v>consult</x:v>
      </x:c>
      <x:c r="F87" s="13" t="str">
        <x:v>r0169_smpc</x:v>
      </x:c>
      <x:c r="G87" s="13" t="str">
        <x:v>SMPC</x:v>
      </x:c>
      <x:c r="H87" s="13" t="n">
        <x:v>2</x:v>
      </x:c>
      <x:c r="I87" s="14" t="str">
        <x:v>https://drug.fda.moph.go.th/media.php?id=810180959625420800&amp;name=SMPC_Griseofulvin_Film-coated tablet.pdf</x:v>
      </x:c>
      <x:c r="J87" s="14" t="str">
        <x:v>not justified in the treatment of minor or trivial infections that will respond to topical therapy. Before prescribing &lt;GENERIC NAME&gt; Tablets, consideration should be given to national and/or local guidance on the appropriate use of antifungals. 4.2. Posology and method of administration General: For oral administration. Tablets should be swallowed whole with a glass of water. &lt;GENERIC NAME&gt; is recommended to be taken after a high fat meal, for increased absorption and minimising GI distress, see section 5.2. General measures in regard to hygiene should be observed to control sources of infection or reinfection. Concomitant use of appropriate topical agents is usually required, particularly in treatment of tinea pedis. In some forms of tine pedis, yeasts and bacteria may be involved as well as fungi. &lt;GENERIC NAME&gt; will not eradicate the bacterial or candidial</x:v>
      </x:c>
      <x:c r="K87" s="14" t="str">
        <x:v>[]</x:v>
      </x:c>
      <x:c r="L87" s="13" t="str">
        <x:v>medium</x:v>
      </x:c>
      <x:c r="M87" s="13" t="str">
        <x:v>eligible</x:v>
      </x:c>
      <x:c r="N87" s="14" t="str"/>
      <x:c r="O87" s="13" t="str">
        <x:f>IF(M87="eligible","YES","NO")</x:f>
        <x:v>YES</x:v>
      </x:c>
    </x:row>
    <x:row r="88" ht="72" customHeight="1">
      <x:c r="A88" s="13" t="str">
        <x:v>griseofulvin</x:v>
      </x:c>
      <x:c r="B88" s="13" t="str">
        <x:v>high_fat_meal</x:v>
      </x:c>
      <x:c r="C88" s="14" t="str">
        <x:v>อาหารหรือมื้ออาหารไขมันสูง</x:v>
      </x:c>
      <x:c r="D88" s="13" t="str">
        <x:v>severe</x:v>
      </x:c>
      <x:c r="E88" s="13" t="str">
        <x:v>avoid</x:v>
      </x:c>
      <x:c r="F88" s="13" t="str">
        <x:v>r0169_smpc</x:v>
      </x:c>
      <x:c r="G88" s="13" t="str">
        <x:v>SMPC</x:v>
      </x:c>
      <x:c r="H88" s="13" t="n">
        <x:v>5</x:v>
      </x:c>
      <x:c r="I88" s="14" t="str">
        <x:v>https://drug.fda.moph.go.th/media.php?id=810180959625420800&amp;name=SMPC_Griseofulvin_Film-coated tablet.pdf</x:v>
      </x:c>
      <x:c r="J88" s="14" t="str">
        <x:v>4.4. Special warnings and precautions for use &lt;GENERIC NAME&gt; is reccomended after a high fat meal for increased absorption and minimising GI distress. &lt;GENERIC NAME&gt; is contraindicated in patients with severe hepatic impairment, see section 4.3. In patients with minor to moderate hepatic impairment, &lt;GENERIC NAME&gt; may cause further deterioration of hepatic function. Therefore care should be exercised with such patients, and it is recommended to perform regular periodic liver function tests, see section 4.8. &lt;GENERIC NAME&gt;</x:v>
      </x:c>
      <x:c r="K88" s="14" t="str">
        <x:v>["liver"]</x:v>
      </x:c>
      <x:c r="L88" s="13" t="str">
        <x:v>high</x:v>
      </x:c>
      <x:c r="M88" s="13" t="str">
        <x:v>eligible</x:v>
      </x:c>
      <x:c r="N88" s="14" t="str"/>
      <x:c r="O88" s="13" t="str">
        <x:f>IF(M88="eligible","YES","NO")</x:f>
        <x:v>YES</x:v>
      </x:c>
    </x:row>
    <x:row r="89" ht="72" customHeight="1">
      <x:c r="A89" s="13" t="str">
        <x:v>griseofulvin</x:v>
      </x:c>
      <x:c r="B89" s="13" t="str">
        <x:v>high_fat_meal</x:v>
      </x:c>
      <x:c r="C89" s="14" t="str">
        <x:v>อาหารหรือมื้ออาหารไขมันสูง</x:v>
      </x:c>
      <x:c r="D89" s="13" t="str">
        <x:v>moderate</x:v>
      </x:c>
      <x:c r="E89" s="13" t="str">
        <x:v>consult</x:v>
      </x:c>
      <x:c r="F89" s="13" t="str">
        <x:v>r0169_smpc</x:v>
      </x:c>
      <x:c r="G89" s="13" t="str">
        <x:v>SMPC</x:v>
      </x:c>
      <x:c r="H89" s="13" t="n">
        <x:v>14</x:v>
      </x:c>
      <x:c r="I89" s="14" t="str">
        <x:v>https://drug.fda.moph.go.th/media.php?id=810180959625420800&amp;name=SMPC_Griseofulvin_Film-coated tablet.pdf</x:v>
      </x:c>
      <x:c r="J89" s="14" t="str">
        <x:v>ndermatophyte fungi, yeasts, gram positive bacteria, or gram negative bacteria. If any of these are cofactors in the pathology of infection, suitable additional therapy will be required for thei r eradication. 5.2. Pharmacokinetic properties Absorption: The absorption of &lt;GENERIC NAME&gt; from the gastrointestinal tract is varaible and incomplete. On average, less than 50% of the oral dose is absorbed, but administration after a fatty meal, and a reduction in particle size will increase the rate and extent of the absorption. Following oral administration there is a phase of rapid absorption, and thereafter a phase of slower prolonged absorption. Peak plasma levels, 0.5 µg / ml-1.5 µg / ml after a 500 mg dose, and 1.5 µg / ml-3.0 µg / ml after a 1000 mg dose, are reached in 2 -4 hours, and are maintained for some 10-20 hours. &lt;GENERIC NAME&gt; exhibits linear pharm</x:v>
      </x:c>
      <x:c r="K89" s="14" t="str">
        <x:v>[]</x:v>
      </x:c>
      <x:c r="L89" s="13" t="str">
        <x:v>medium</x:v>
      </x:c>
      <x:c r="M89" s="13" t="str">
        <x:v>eligible</x:v>
      </x:c>
      <x:c r="N89" s="14" t="str"/>
      <x:c r="O89" s="13" t="str">
        <x:f>IF(M89="eligible","YES","NO")</x:f>
        <x:v>YES</x:v>
      </x:c>
    </x:row>
    <x:row r="90" ht="72" customHeight="1">
      <x:c r="A90" s="13" t="str">
        <x:v>mebendazole</x:v>
      </x:c>
      <x:c r="B90" s="13" t="str">
        <x:v>high_fat_meal</x:v>
      </x:c>
      <x:c r="C90" s="14" t="str">
        <x:v>อาหารหรือมื้ออาหารไขมันสูง</x:v>
      </x:c>
      <x:c r="D90" s="13" t="str">
        <x:v>moderate</x:v>
      </x:c>
      <x:c r="E90" s="13" t="str">
        <x:v>separate</x:v>
      </x:c>
      <x:c r="F90" s="13" t="str">
        <x:v>r0221_smpc</x:v>
      </x:c>
      <x:c r="G90" s="13" t="str">
        <x:v>SMPC</x:v>
      </x:c>
      <x:c r="H90" s="13" t="n">
        <x:v>7</x:v>
      </x:c>
      <x:c r="I90" s="14" t="str">
        <x:v>https://drug.fda.moph.go.th/media.php?id=810409612485468160&amp;name=SMPC_Mebendazole_oral suspension.pdf</x:v>
      </x:c>
      <x:c r="J90" s="14" t="str">
        <x:v>ral suspension, MHRA, 24/05/2024 7 5.2. Pharmacokinetic properties Absorption Following oral administration, &lt; 10% of the dose reaches the systemic circulation, due to incomplete absorption and pre -systemic metabolism (first-pass effect). The majority of an orally administered dose remains in the gastrointestinal tract. Maximum plas ma concentrations are generally seen 2 to 4 hours after administration. Administration with a high fat meal increases the bioavailability of mebendazole, but the overall effect of food on the amount of drug remaining in the gastrointestinal tract is not expected to be substantial. Distribution The plasma protein binding of mebendazole is 90 to 95%. The volume of distribution is 1 to 2 L/kg, indicating that mebendazole penetrates areas outside the vascular space. This is supported by data in patients on chronic mebendazole therapy (</x:v>
      </x:c>
      <x:c r="K90" s="14" t="str">
        <x:v>[]</x:v>
      </x:c>
      <x:c r="L90" s="13" t="str">
        <x:v>medium</x:v>
      </x:c>
      <x:c r="M90" s="13" t="str">
        <x:v>eligible</x:v>
      </x:c>
      <x:c r="N90" s="14" t="str"/>
      <x:c r="O90" s="13" t="str">
        <x:f>IF(M90="eligible","YES","NO")</x:f>
        <x:v>YES</x:v>
      </x:c>
    </x:row>
    <x:row r="91" ht="72" customHeight="1">
      <x:c r="A91" s="13" t="str">
        <x:v>carbidopa_levodopa</x:v>
      </x:c>
      <x:c r="B91" s="13" t="str">
        <x:v>high_protein_meal</x:v>
      </x:c>
      <x:c r="C91" s="14" t="str">
        <x:v>อาหารหรือมื้ออาหารโปรตีนสูง</x:v>
      </x:c>
      <x:c r="D91" s="13" t="str">
        <x:v>moderate</x:v>
      </x:c>
      <x:c r="E91" s="13" t="str">
        <x:v>avoid</x:v>
      </x:c>
      <x:c r="F91" s="13" t="str">
        <x:v>r0439_pil</x:v>
      </x:c>
      <x:c r="G91" s="13" t="str">
        <x:v>PIL</x:v>
      </x:c>
      <x:c r="H91" s="13" t="n">
        <x:v>1</x:v>
      </x:c>
      <x:c r="I91" s="14" t="str">
        <x:v>https://drug.fda.moph.go.th/media.php?id=904601732791803904&amp;name=8. ref PIL_Carbidopa+Levodopa.pdf</x:v>
      </x:c>
      <x:c r="J91" s="14" t="str">
        <x:v>ผลต่อการรักษาหรือเกิด อันตรายได ้ เช่น ยารักษาพาร์กินสันอื่นที่มีลีโวโดปาเป็ น ส่วนประกอบ ยาต ้านซึมเศร ้า ยารักษาโรคจิต ยาต ้านชัก ยาลดความดันเลือด และอาหารที่มีโปรตีนสูง “หากท่านไม่แน่ใจว่ามีภาวะหรือใช้ยาเหล่านี้อยู่ โปรดปรึกษาแพทย์หรือเภส ัชกร” 3. วิธีใช้ยา 3.1 ขนาดและวิธีใช้ • ควรใช ้ยาตามค าแนะน าของแพทย์หรือเภสัชกรเท่านั้น เพราะขนาดและระยะเวลาในการใช ้ยานี้ขึ้นกับชนิดและ ความรุนแรงของโรค • หลีกเลี่ยงการกินยานี้พร ้ อมกับอาหารที่มีโปรตีนสูงมาก ๆ เช่น เนื้อสัตว์ ไข่ นม เนย เพราะจะลดการดูดซึมของยา 3.2 หากลืมกินยาควรท าอย่างไร • ให ้ ข ้ ามมื้อที่ลืม แล ้ วกินยามื้อต่อไปตามปกติ ห ้ ามกินยาเพิ่มเป ็ น 2 เท่า 3.3 ถ้ากินยานี้เกินขนาดที่แนะน า ควรท าอย่างไร • ให ้สังเกตอาการอย่างใกล ้ชิด หากมีอาการผิดปกติ เช่น ใจสั่น ให ้น าส่งโรงพยาบาลทันที 4. ข้อควรปฏิบ ัติระหว่างใช้ยา • พบแพทย์ตามนัดอย่างสม ่าเสมอ เพื่อติดตาม ผลการรักษาหรืออันตรายจากยา • ห ้ ามหยุดยาหรือปรับขนาดยาเอ</x:v>
      </x:c>
      <x:c r="K91" s="14" t="str">
        <x:v>[]</x:v>
      </x:c>
      <x:c r="L91" s="13" t="str">
        <x:v>medium</x:v>
      </x:c>
      <x:c r="M91" s="13" t="str">
        <x:v>eligible</x:v>
      </x:c>
      <x:c r="N91" s="14" t="str"/>
      <x:c r="O91" s="13" t="str">
        <x:f>IF(M91="eligible","YES","NO")</x:f>
        <x:v>YES</x:v>
      </x:c>
    </x:row>
    <x:row r="92" ht="72" customHeight="1">
      <x:c r="A92" s="13" t="str">
        <x:v>carbidopa_levodopa</x:v>
      </x:c>
      <x:c r="B92" s="13" t="str">
        <x:v>high_protein_meal</x:v>
      </x:c>
      <x:c r="C92" s="14" t="str">
        <x:v>อาหารหรือมื้ออาหารโปรตีนสูง</x:v>
      </x:c>
      <x:c r="D92" s="13" t="str">
        <x:v>severe</x:v>
      </x:c>
      <x:c r="E92" s="13" t="str">
        <x:v>avoid</x:v>
      </x:c>
      <x:c r="F92" s="13" t="str">
        <x:v>r0439_smpc</x:v>
      </x:c>
      <x:c r="G92" s="13" t="str">
        <x:v>SMPC</x:v>
      </x:c>
      <x:c r="H92" s="13" t="n">
        <x:v>10</x:v>
      </x:c>
      <x:c r="I92" s="14" t="str">
        <x:v>https://drug.fda.moph.go.th/media.php?id=904601733693579264&amp;name=8. Ref SmPC_Carbidopa+Levodopa.pdf</x:v>
      </x:c>
      <x:c r="J92" s="14" t="str">
        <x:v>Concomitant therapy with selegiline and carbidopa -levodopa may be associated with severe orthostatic hypotension not attributable to carbidopa-levodopa alone (see section 4.3 “Contraindications”). Since levodopa competes with certain amino acids, the absorption of &lt;Trade name&gt; may be impaired in some patients on a high protein diet. The effect of simultaneous administration of antacids with &lt;Trade name&gt; on the bioavailability of levodopa has not been studied. &lt;Trade name&gt; may be given to patients with Parkinson's disease and syndrome who are taking vitamin preparations that contain pyridoxine hydrochloride (Vitamin B6). 4.6 Fertility, pregnancy and lactation Pregnancy Although the effects of &lt;Trade name&gt; on human pregnancy are unknown, both levodopa and</x:v>
      </x:c>
      <x:c r="K92" s="14" t="str">
        <x:v>[]</x:v>
      </x:c>
      <x:c r="L92" s="13" t="str">
        <x:v>high</x:v>
      </x:c>
      <x:c r="M92" s="13" t="str">
        <x:v>eligible</x:v>
      </x:c>
      <x:c r="N92" s="14" t="str"/>
      <x:c r="O92" s="13" t="str">
        <x:f>IF(M92="eligible","YES","NO")</x:f>
        <x:v>YES</x:v>
      </x:c>
    </x:row>
    <x:row r="93" ht="72" customHeight="1">
      <x:c r="A93" s="13" t="str">
        <x:v>bisacodyl</x:v>
      </x:c>
      <x:c r="B93" s="13" t="str">
        <x:v>milk_dairy</x:v>
      </x:c>
      <x:c r="C93" s="14" t="str">
        <x:v>นมและผลิตภัณฑ์จากนม</x:v>
      </x:c>
      <x:c r="D93" s="13" t="str">
        <x:v>moderate</x:v>
      </x:c>
      <x:c r="E93" s="13" t="str">
        <x:v>avoid</x:v>
      </x:c>
      <x:c r="F93" s="13" t="str">
        <x:v>r0036_smpc</x:v>
      </x:c>
      <x:c r="G93" s="13" t="str">
        <x:v>SMPC</x:v>
      </x:c>
      <x:c r="H93" s="13" t="n">
        <x:v>4</x:v>
      </x:c>
      <x:c r="I93" s="14" t="str">
        <x:v>https://drug.fda.moph.go.th/media.php?id=809660019980247040&amp;name=SMPC_Bisacodyl_Gastro-resistant tablets.pdf</x:v>
      </x:c>
      <x:c r="J93" s="14" t="str">
        <x:v>after taking Bisacodyl. Some cases have been shown to be associated with colonic mucosal ischaemia. Patients with rare hereditary problems of galactose intolerance, fructose intolerance, the Lapp lactase deficiency, glucose-galactose malabsorption or sucrase-isomaltase insufficiency should not take this medicine. 4.5. Interaction with other medicinal products and other forms of interaction The concomitant use of antacids and milk products may reduce the resistance of the coating of the tablets and result in dyspepsia and gastric irritation. The concomitant use of diuretics or adreno-corticosteroids may increase the risk of electrolyte imbalance if excessive doses of Bisacodyl are taken. Electrolyte imbalance may lead to increased sensitivity to cardiac glycosides.</x:v>
      </x:c>
      <x:c r="K93" s="14" t="str">
        <x:v>[]</x:v>
      </x:c>
      <x:c r="L93" s="13" t="str">
        <x:v>medium</x:v>
      </x:c>
      <x:c r="M93" s="13" t="str">
        <x:v>eligible</x:v>
      </x:c>
      <x:c r="N93" s="14" t="str"/>
      <x:c r="O93" s="13" t="str">
        <x:f>IF(M93="eligible","YES","NO")</x:f>
        <x:v>YES</x:v>
      </x:c>
    </x:row>
    <x:row r="94" ht="72" customHeight="1">
      <x:c r="A94" s="13" t="str">
        <x:v>ciprofloxacin</x:v>
      </x:c>
      <x:c r="B94" s="13" t="str">
        <x:v>milk_dairy</x:v>
      </x:c>
      <x:c r="C94" s="14" t="str">
        <x:v>นมและผลิตภัณฑ์จากนม</x:v>
      </x:c>
      <x:c r="D94" s="13" t="str">
        <x:v>moderate</x:v>
      </x:c>
      <x:c r="E94" s="13" t="str">
        <x:v>consult</x:v>
      </x:c>
      <x:c r="F94" s="13" t="str">
        <x:v>r0071_smpc</x:v>
      </x:c>
      <x:c r="G94" s="13" t="str">
        <x:v>SMPC</x:v>
      </x:c>
      <x:c r="H94" s="13" t="n">
        <x:v>5</x:v>
      </x:c>
      <x:c r="I94" s="14" t="str">
        <x:v>https://drug.fda.moph.go.th/media.php?id=842359238230679552&amp;name=SmPC Ciprofloxacin film-coated tablets.pdf</x:v>
      </x:c>
      <x:c r="J94" s="14" t="str">
        <x:v>ic function: Dose adjustment as under impaired renal function. Children and adolescents (5-17 years): Dosage in children with reduced renal and liver function has not been investigated. Method of administration: The tablets are to be swallowed with liquid. They can be taken at any time regardless of meals. Ingestion on an empty stomach accelerates the absorption of active substance. Dairy products with a high calcium content (milk, yoghurt) may reduce ciprofloxaci n absorption (see section 4.5).</x:v>
      </x:c>
      <x:c r="K94" s="14" t="str">
        <x:v>[]</x:v>
      </x:c>
      <x:c r="L94" s="13" t="str">
        <x:v>medium</x:v>
      </x:c>
      <x:c r="M94" s="13" t="str">
        <x:v>eligible</x:v>
      </x:c>
      <x:c r="N94" s="14" t="str"/>
      <x:c r="O94" s="13" t="str">
        <x:f>IF(M94="eligible","YES","NO")</x:f>
        <x:v>YES</x:v>
      </x:c>
    </x:row>
    <x:row r="95" ht="72" customHeight="1">
      <x:c r="A95" s="13" t="str">
        <x:v>ciprofloxacin</x:v>
      </x:c>
      <x:c r="B95" s="13" t="str">
        <x:v>milk_dairy</x:v>
      </x:c>
      <x:c r="C95" s="14" t="str">
        <x:v>นมและผลิตภัณฑ์จากนม</x:v>
      </x:c>
      <x:c r="D95" s="13" t="str">
        <x:v>moderate</x:v>
      </x:c>
      <x:c r="E95" s="13" t="str">
        <x:v>avoid</x:v>
      </x:c>
      <x:c r="F95" s="13" t="str">
        <x:v>r0071_smpc</x:v>
      </x:c>
      <x:c r="G95" s="13" t="str">
        <x:v>SMPC</x:v>
      </x:c>
      <x:c r="H95" s="13" t="n">
        <x:v>15</x:v>
      </x:c>
      <x:c r="I95" s="14" t="str">
        <x:v>https://drug.fda.moph.go.th/media.php?id=842359238230679552&amp;name=SmPC Ciprofloxacin film-coated tablets.pdf</x:v>
      </x:c>
      <x:c r="J95" s="14" t="str">
        <x:v>f ciprofloxacin. Consequently, Ciprofloxacin should be administered either 1 to 2 hours before or at least 4 hours after these preparations. This restriction does not apply to antacids belonging to the class of H2-receptor blockers. Food and Dairy Products Dietary calcium as part of a meal does not significantly affect absorption. However, the concurrent administration of dairy products or mineral-fortified drinks alone (e.g. milk, yoghurt, calcium -fortified orange juice) with ciprofloxacin should be avoided because absorption of ciprofloxacin may be reduced.</x:v>
      </x:c>
      <x:c r="K95" s="14" t="str">
        <x:v>[]</x:v>
      </x:c>
      <x:c r="L95" s="13" t="str">
        <x:v>medium</x:v>
      </x:c>
      <x:c r="M95" s="13" t="str">
        <x:v>eligible</x:v>
      </x:c>
      <x:c r="N95" s="14" t="str"/>
      <x:c r="O95" s="13" t="str">
        <x:f>IF(M95="eligible","YES","NO")</x:f>
        <x:v>YES</x:v>
      </x:c>
    </x:row>
    <x:row r="96" ht="72" customHeight="1">
      <x:c r="A96" s="13" t="str">
        <x:v>ciprofloxacin</x:v>
      </x:c>
      <x:c r="B96" s="13" t="str">
        <x:v>milk_dairy</x:v>
      </x:c>
      <x:c r="C96" s="14" t="str">
        <x:v>นมและผลิตภัณฑ์จากนม</x:v>
      </x:c>
      <x:c r="D96" s="13" t="str">
        <x:v>moderate</x:v>
      </x:c>
      <x:c r="E96" s="13" t="str">
        <x:v>avoid</x:v>
      </x:c>
      <x:c r="F96" s="13" t="str">
        <x:v>r0073_smpc</x:v>
      </x:c>
      <x:c r="G96" s="13" t="str">
        <x:v>SMPC</x:v>
      </x:c>
      <x:c r="H96" s="13" t="n">
        <x:v>17</x:v>
      </x:c>
      <x:c r="I96" s="14" t="str">
        <x:v>https://drug.fda.moph.go.th/media.php?id=842360112483016704&amp;name=SmPC Ciprofloxacin hydrochloride tablet.pdf</x:v>
      </x:c>
      <x:c r="J96" s="14" t="str">
        <x:v>n of ciprofloxacin. Consequently, ciprofloxacin should be administered either 1 -2 hours before or at least 4 hours after these preparations. The restriction does not apply to antacids belonging to the class of H2 receptor blockers. Food and Dairy Products Dietary calcium as part of a meal does not significantly affect absorption. However, the concurrent administration of dairy products or mineral-fortified drinks alone (e.g. milk, yoghurt, calcium -fortified orange juice) with ciprofloxacin should be avoided because absorption of ciprofloxacin may be reduced Probenecid Probenecid interferes with renal secretion of ciprofloxacin. Co - administration of probenecid and ciprofloxacin increases ciprofloxacin serum concentrations. Metoclopramide Metoclopramide accelerates the absorption of ciprofloxacin (oral) resulting in a shorter time to reach maximum pl</x:v>
      </x:c>
      <x:c r="K96" s="14" t="str">
        <x:v>["kidney"]</x:v>
      </x:c>
      <x:c r="L96" s="13" t="str">
        <x:v>medium</x:v>
      </x:c>
      <x:c r="M96" s="13" t="str">
        <x:v>eligible</x:v>
      </x:c>
      <x:c r="N96" s="14" t="str"/>
      <x:c r="O96" s="13" t="str">
        <x:f>IF(M96="eligible","YES","NO")</x:f>
        <x:v>YES</x:v>
      </x:c>
    </x:row>
    <x:row r="97" ht="72" customHeight="1">
      <x:c r="A97" s="13" t="str">
        <x:v>ferrous</x:v>
      </x:c>
      <x:c r="B97" s="13" t="str">
        <x:v>milk_dairy</x:v>
      </x:c>
      <x:c r="C97" s="14" t="str">
        <x:v>นมและผลิตภัณฑ์จากนม</x:v>
      </x:c>
      <x:c r="D97" s="13" t="str">
        <x:v>moderate</x:v>
      </x:c>
      <x:c r="E97" s="13" t="str">
        <x:v>avoid</x:v>
      </x:c>
      <x:c r="F97" s="13" t="str">
        <x:v>r0145_smpc</x:v>
      </x:c>
      <x:c r="G97" s="13" t="str">
        <x:v>SMPC</x:v>
      </x:c>
      <x:c r="H97" s="13" t="n">
        <x:v>5</x:v>
      </x:c>
      <x:c r="I97" s="14" t="str">
        <x:v>https://drug.fda.moph.go.th/media.php?id=810081060158316544&amp;name=SMPC_Ferrous sulfate_film-coated tablets.pdf</x:v>
      </x:c>
      <x:c r="J97" s="14" t="str">
        <x:v>on preparations. Administration should be separated by at least 2 hours. Cholestyramine: Absorption of iron is impaired by cholestyramine. Dimercaprol: Concomitant administration of oral iron preparations and dimercaprol should be avoided. Dopaminergics: Oral iron preparations may reduce the absorption of dopaminergics such as co-careldopa, entacapone and levodopa. Food products: Absorption of iron is impaired by tea, eggs or milk. Absorption of iron salts is enhanced by ascorbic acid and meat. Methyldopa: Oral iron preparations may antagonise the antihypertensive effect of methyldopa. Mycophenolate mofetil: Oral iron preparations significantly reduce the absorption of mycophenolate mofetil.</x:v>
      </x:c>
      <x:c r="K97" s="14" t="str">
        <x:v>[]</x:v>
      </x:c>
      <x:c r="L97" s="13" t="str">
        <x:v>medium</x:v>
      </x:c>
      <x:c r="M97" s="13" t="str">
        <x:v>eligible</x:v>
      </x:c>
      <x:c r="N97" s="14" t="str"/>
      <x:c r="O97" s="13" t="str">
        <x:f>IF(M97="eligible","YES","NO")</x:f>
        <x:v>YES</x:v>
      </x:c>
    </x:row>
    <x:row r="98" ht="72" customHeight="1">
      <x:c r="A98" s="13" t="str">
        <x:v>oxytetracycline</x:v>
      </x:c>
      <x:c r="B98" s="13" t="str">
        <x:v>milk_dairy</x:v>
      </x:c>
      <x:c r="C98" s="14" t="str">
        <x:v>นมและผลิตภัณฑ์จากนม</x:v>
      </x:c>
      <x:c r="D98" s="13" t="str">
        <x:v>moderate</x:v>
      </x:c>
      <x:c r="E98" s="13" t="str">
        <x:v>consult</x:v>
      </x:c>
      <x:c r="F98" s="13" t="str">
        <x:v>r0264_smpc</x:v>
      </x:c>
      <x:c r="G98" s="13" t="str">
        <x:v>SMPC</x:v>
      </x:c>
      <x:c r="H98" s="13" t="n">
        <x:v>4</x:v>
      </x:c>
      <x:c r="I98" s="14" t="str">
        <x:v>https://drug.fda.moph.go.th/media.php?id=810426784758767616&amp;name=SMPC_Oxytetracycline_Capsules.pdf</x:v>
      </x:c>
      <x:c r="J98" s="14" t="str">
        <x:v>twelve years of age. Enamel hypoplasia has also been reported. This adverse reactio n is more common during long -term use of the drug but has been observed following repeated short-term courses. The anti-anabolic action of tetracyclines may cause an increase in BUN. While this is not a function, higher serum levels of oxytetracycline may lead to azotaemia, hyperphosphataemia and acidosis. Absorption is adversely affected by milk, antacids and alum inium, calcium, iron, magnesium and zinc salts. Tetracyclines depress plasma prothrombin activity, therefore reduced dosages of concurrent anticoagulants may be required. When treating venereal disease, where co -existent syphilis is suspected, proper diagnostic procedures should be utilised. In all such cases, monthly serological tests should be made for at least four months.</x:v>
      </x:c>
      <x:c r="K98" s="14" t="str">
        <x:v>[]</x:v>
      </x:c>
      <x:c r="L98" s="13" t="str">
        <x:v>medium</x:v>
      </x:c>
      <x:c r="M98" s="13" t="str">
        <x:v>eligible</x:v>
      </x:c>
      <x:c r="N98" s="14" t="str"/>
      <x:c r="O98" s="13" t="str">
        <x:f>IF(M98="eligible","YES","NO")</x:f>
        <x:v>YES</x:v>
      </x:c>
    </x:row>
    <x:row r="99" ht="72" customHeight="1">
      <x:c r="A99" s="13" t="str">
        <x:v>oxytetracycline</x:v>
      </x:c>
      <x:c r="B99" s="13" t="str">
        <x:v>milk_dairy</x:v>
      </x:c>
      <x:c r="C99" s="14" t="str">
        <x:v>นมและผลิตภัณฑ์จากนม</x:v>
      </x:c>
      <x:c r="D99" s="13" t="str">
        <x:v>moderate</x:v>
      </x:c>
      <x:c r="E99" s="13" t="str">
        <x:v>consult</x:v>
      </x:c>
      <x:c r="F99" s="13" t="str">
        <x:v>r0264_smpc</x:v>
      </x:c>
      <x:c r="G99" s="13" t="str">
        <x:v>SMPC</x:v>
      </x:c>
      <x:c r="H99" s="13" t="n">
        <x:v>6</x:v>
      </x:c>
      <x:c r="I99" s="14" t="str">
        <x:v>https://drug.fda.moph.go.th/media.php?id=810426784758767616&amp;name=SMPC_Oxytetracycline_Capsules.pdf</x:v>
      </x:c>
      <x:c r="J99" s="14" t="str">
        <x:v>1 Ref: Oxytetracycline, MHRA, 23/07/2024 6 The absorption of oxytetracycline may be impaired by antacids and preparations containing aluminium, calcium, iron, magnesium or zinc. Allow two to three hours between doses of oxytetracycline and antacids. Some foods and dairy products may interfere with absorption. Anti-diarrhoeal preparations such as kaolin -pectin and bismuth subsalicylate hinder absorption of tetracyclines. The nephrotoxic effects of tetracyclines may be exacerbated by co - administration of diuretics, methoxyflurane or other drugs known to be nephrotoxic. Since oxytetracycline has been shown to depress plasma prothrombin activity, patients who are on anticoagulant therapy may</x:v>
      </x:c>
      <x:c r="K99" s="14" t="str">
        <x:v>[]</x:v>
      </x:c>
      <x:c r="L99" s="13" t="str">
        <x:v>medium</x:v>
      </x:c>
      <x:c r="M99" s="13" t="str">
        <x:v>eligible</x:v>
      </x:c>
      <x:c r="N99" s="14" t="str"/>
      <x:c r="O99" s="13" t="str">
        <x:f>IF(M99="eligible","YES","NO")</x:f>
        <x:v>YES</x:v>
      </x:c>
    </x:row>
    <x:row r="100" ht="72" customHeight="1">
      <x:c r="A100" s="13" t="str">
        <x:v>oxytetracycline</x:v>
      </x:c>
      <x:c r="B100" s="13" t="str">
        <x:v>milk_dairy</x:v>
      </x:c>
      <x:c r="C100" s="14" t="str">
        <x:v>นมและผลิตภัณฑ์จากนม</x:v>
      </x:c>
      <x:c r="D100" s="13" t="str">
        <x:v>moderate</x:v>
      </x:c>
      <x:c r="E100" s="13" t="str">
        <x:v>separate</x:v>
      </x:c>
      <x:c r="F100" s="13" t="str">
        <x:v>r0264_smpc</x:v>
      </x:c>
      <x:c r="G100" s="13" t="str">
        <x:v>SMPC</x:v>
      </x:c>
      <x:c r="H100" s="13" t="n">
        <x:v>9</x:v>
      </x:c>
      <x:c r="I100" s="14" t="str">
        <x:v>https://drug.fda.moph.go.th/media.php?id=810426784758767616&amp;name=SMPC_Oxytetracycline_Capsules.pdf</x:v>
      </x:c>
      <x:c r="J100" s="14" t="str">
        <x:v>against a large number of gram positive and gram negative bacteria. It acts by interfering with bacterial protein synthesis. 5.2. Pharmacokinetic properties Absorption The tetracyclines are incompletely and irregularly absorbed from the gastrointestinal tract. The degree of absorption is diminished by the soluble salts of divalent and trivalent metals, with which tetracyclines form stable complexes and to a variable degree by milk or food. Plasma concentrations will depend upon the degree of absorption. Peak plasma concentrations occur about 1 to 3 hours after ingestion. It is recommended that tetracyclines should be given before food. A dose of 500mg every 6 hours by mouth is reported to produce a steady-state plasma concentrations of 3 to 4µg per ml.</x:v>
      </x:c>
      <x:c r="K100" s="14" t="str">
        <x:v>[]</x:v>
      </x:c>
      <x:c r="L100" s="13" t="str">
        <x:v>medium</x:v>
      </x:c>
      <x:c r="M100" s="13" t="str">
        <x:v>eligible</x:v>
      </x:c>
      <x:c r="N100" s="14" t="str"/>
      <x:c r="O100" s="13" t="str">
        <x:f>IF(M100="eligible","YES","NO")</x:f>
        <x:v>YES</x:v>
      </x:c>
    </x:row>
    <x:row r="101" ht="72" customHeight="1">
      <x:c r="A101" s="13" t="str">
        <x:v>oxytetracycline</x:v>
      </x:c>
      <x:c r="B101" s="13" t="str">
        <x:v>milk_dairy</x:v>
      </x:c>
      <x:c r="C101" s="14" t="str">
        <x:v>นมและผลิตภัณฑ์จากนม</x:v>
      </x:c>
      <x:c r="D101" s="13" t="str">
        <x:v>moderate</x:v>
      </x:c>
      <x:c r="E101" s="13" t="str">
        <x:v>consult</x:v>
      </x:c>
      <x:c r="F101" s="13" t="str">
        <x:v>r0264_smpc</x:v>
      </x:c>
      <x:c r="G101" s="13" t="str">
        <x:v>SMPC</x:v>
      </x:c>
      <x:c r="H101" s="13" t="n">
        <x:v>10</x:v>
      </x:c>
      <x:c r="I101" s="14" t="str">
        <x:v>https://drug.fda.moph.go.th/media.php?id=810426784758767616&amp;name=SMPC_Oxytetracycline_Capsules.pdf</x:v>
      </x:c>
      <x:c r="J101" s="14" t="str">
        <x:v>atic reabsorption complete elimination is slow. Considerable quantities occur in the faeces after administration by mouth. 5.3. Preclinical safety data No data of relevance which is additional to that already included in other sections of the SPC. 6. PHARMACEUTICAL PARTICULARS 6.1. List of excipients &lt;REGARDING THE APPROVAL&gt; 6.2. Incompatibilities May potentiate action of some anticoagulants, antacids, iron and zinc salts and dairy products may reduce absorption. Slight risk of adverse effect on action of oral contraceptives.</x:v>
      </x:c>
      <x:c r="K101" s="14" t="str">
        <x:v>[]</x:v>
      </x:c>
      <x:c r="L101" s="13" t="str">
        <x:v>medium</x:v>
      </x:c>
      <x:c r="M101" s="13" t="str">
        <x:v>eligible</x:v>
      </x:c>
      <x:c r="N101" s="14" t="str"/>
      <x:c r="O101" s="13" t="str">
        <x:f>IF(M101="eligible","YES","NO")</x:f>
        <x:v>YES</x:v>
      </x:c>
    </x:row>
    <x:row r="102" ht="72" customHeight="1">
      <x:c r="A102" s="13" t="str">
        <x:v>tetracycline</x:v>
      </x:c>
      <x:c r="B102" s="13" t="str">
        <x:v>milk_dairy</x:v>
      </x:c>
      <x:c r="C102" s="14" t="str">
        <x:v>นมและผลิตภัณฑ์จากนม</x:v>
      </x:c>
      <x:c r="D102" s="13" t="str">
        <x:v>moderate</x:v>
      </x:c>
      <x:c r="E102" s="13" t="str">
        <x:v>consult</x:v>
      </x:c>
      <x:c r="F102" s="13" t="str">
        <x:v>r0338_smpc</x:v>
      </x:c>
      <x:c r="G102" s="13" t="str">
        <x:v>SMPC</x:v>
      </x:c>
      <x:c r="H102" s="13" t="n">
        <x:v>2</x:v>
      </x:c>
      <x:c r="I102" s="14" t="str">
        <x:v>https://drug.fda.moph.go.th/media.php?id=810476861875429376&amp;name=SMPC_Tetracycline_Tablets.pdf</x:v>
      </x:c>
      <x:c r="J102" s="14" t="str">
        <x:v>ination with streptomycin), cholera, bubonic plague, louse and tick-borne relapsing fever, tularaemia, glanders, melioidosis and acute intestinal amoebiasis (as an adjunct to amoebicides). Tetracycline is an alternative drug in the treatment of leptospirosis, gas- gangrene and tetanus. 4.2. Posology and method of administration Posology Tetracycline should be given one hour before or two hours after meals, since food and some dairy products interfere with absorption. The tablets should be taken with a good drink of water. Therapy should be continued for up to three days after symptoms have subsided. All infections due to Group A beta -haemolytic streptococci should be treated for at least 10 days. Adults (including the elderly) and children over 12 years The minimum recommended dosage is 250mg every six hours. Therapeutic levels are attained more rapidl</x:v>
      </x:c>
      <x:c r="K102" s="14" t="str">
        <x:v>[]</x:v>
      </x:c>
      <x:c r="L102" s="13" t="str">
        <x:v>medium</x:v>
      </x:c>
      <x:c r="M102" s="13" t="str">
        <x:v>eligible</x:v>
      </x:c>
      <x:c r="N102" s="14" t="str"/>
      <x:c r="O102" s="13" t="str">
        <x:f>IF(M102="eligible","YES","NO")</x:f>
        <x:v>YES</x:v>
      </x:c>
    </x:row>
    <x:row r="103" ht="72" customHeight="1">
      <x:c r="A103" s="13" t="str">
        <x:v>tetracycline</x:v>
      </x:c>
      <x:c r="B103" s="13" t="str">
        <x:v>milk_dairy</x:v>
      </x:c>
      <x:c r="C103" s="14" t="str">
        <x:v>นมและผลิตภัณฑ์จากนม</x:v>
      </x:c>
      <x:c r="D103" s="13" t="str">
        <x:v>moderate</x:v>
      </x:c>
      <x:c r="E103" s="13" t="str">
        <x:v>consult</x:v>
      </x:c>
      <x:c r="F103" s="13" t="str">
        <x:v>r0338_smpc</x:v>
      </x:c>
      <x:c r="G103" s="13" t="str">
        <x:v>SMPC</x:v>
      </x:c>
      <x:c r="H103" s="13" t="n">
        <x:v>6</x:v>
      </x:c>
      <x:c r="I103" s="14" t="str">
        <x:v>https://drug.fda.moph.go.th/media.php?id=810476861875429376&amp;name=SMPC_Tetracycline_Tablets.pdf</x:v>
      </x:c>
      <x:c r="J103" s="14" t="str">
        <x:v>Administration of medicinal products containing th ese cations and tetracycline should be maximally separated by at least two to three hours. The following should be avoided when taking tetracycline: antacids, bismuth containing ulcer -healing drugs, drugs such as quinapril tablets which contain magnesium c arbonate and didanosine which contains calcium and magnesium excipients. Absorption of tetracycline is impaired by food, milk, and milk products. Since tetracycline has been shown to depress plasma prothrombin activity, patients who are on anticoagulant therapy may require a downward adjustment of their anticoagulant dosage. Tetracycline may prolong the action of coumarin anticoagulants. Plasma-atovaquone concentration is reduced by tetracycline There is a possible increased risk of benign intracranial hypertension with tetracyclines and retinoids (</x:v>
      </x:c>
      <x:c r="K103" s="14" t="str">
        <x:v>[]</x:v>
      </x:c>
      <x:c r="L103" s="13" t="str">
        <x:v>medium</x:v>
      </x:c>
      <x:c r="M103" s="13" t="str">
        <x:v>eligible</x:v>
      </x:c>
      <x:c r="N103" s="14" t="str"/>
      <x:c r="O103" s="13" t="str">
        <x:f>IF(M103="eligible","YES","NO")</x:f>
        <x:v>YES</x:v>
      </x:c>
    </x:row>
    <x:row r="104" ht="72" customHeight="1">
      <x:c r="A104" s="13" t="str">
        <x:v>tetracycline</x:v>
      </x:c>
      <x:c r="B104" s="13" t="str">
        <x:v>milk_dairy</x:v>
      </x:c>
      <x:c r="C104" s="14" t="str">
        <x:v>นมและผลิตภัณฑ์จากนม</x:v>
      </x:c>
      <x:c r="D104" s="13" t="str">
        <x:v>moderate</x:v>
      </x:c>
      <x:c r="E104" s="13" t="str">
        <x:v>consult</x:v>
      </x:c>
      <x:c r="F104" s="13" t="str">
        <x:v>r0338_smpc</x:v>
      </x:c>
      <x:c r="G104" s="13" t="str">
        <x:v>SMPC</x:v>
      </x:c>
      <x:c r="H104" s="13" t="n">
        <x:v>11</x:v>
      </x:c>
      <x:c r="I104" s="14" t="str">
        <x:v>https://drug.fda.moph.go.th/media.php?id=810476861875429376&amp;name=SMPC_Tetracycline_Tablets.pdf</x:v>
      </x:c>
      <x:c r="J104" s="14" t="str">
        <x:v>taken up, permitting selective effects on the infecting organism. 5.2. Pharmacokinetic properties Absorption Most tetracyclines are incompletely absorbed from the gastrointestinal tract, about 60 -80% of a dose of tetracycline usually being available. The degree of absorption is diminished by the presence of divalent and trivalent metal ions with which tetracyclin es form stable insoluble complexes and to a variable degree by milk or food. Formulation with phosphate may enhance the absorption of tetracycline. Plasma concentrations will depend upon the degree of absorption. Administration of tetracycline 500mg every 6 hours generally produces steady state concentrations of 4 -5µg/ml. Peak plasma concentrations occur about 1 -3 hours after ingestion. Higher concentrations can be achieved after intravenous administration; concentrations may be higher in w</x:v>
      </x:c>
      <x:c r="K104" s="14" t="str">
        <x:v>[]</x:v>
      </x:c>
      <x:c r="L104" s="13" t="str">
        <x:v>medium</x:v>
      </x:c>
      <x:c r="M104" s="13" t="str">
        <x:v>eligible</x:v>
      </x:c>
      <x:c r="N104" s="14" t="str"/>
      <x:c r="O104" s="13" t="str">
        <x:f>IF(M104="eligible","YES","NO")</x:f>
        <x:v>YES</x:v>
      </x:c>
    </x:row>
    <x:row r="105" ht="72" customHeight="1">
      <x:c r="A105" s="13" t="str">
        <x:v>zinc</x:v>
      </x:c>
      <x:c r="B105" s="13" t="str">
        <x:v>milk_dairy</x:v>
      </x:c>
      <x:c r="C105" s="14" t="str">
        <x:v>นมและผลิตภัณฑ์จากนม</x:v>
      </x:c>
      <x:c r="D105" s="13" t="str">
        <x:v>moderate</x:v>
      </x:c>
      <x:c r="E105" s="13" t="str">
        <x:v>consult</x:v>
      </x:c>
      <x:c r="F105" s="13" t="str">
        <x:v>r0367_smpc</x:v>
      </x:c>
      <x:c r="G105" s="13" t="str">
        <x:v>SMPC</x:v>
      </x:c>
      <x:c r="H105" s="13" t="n">
        <x:v>3</x:v>
      </x:c>
      <x:c r="I105" s="14" t="str">
        <x:v>https://drug.fda.moph.go.th/media.php?id=810495775787327488&amp;name=SMPC_Zinc sulfate_hardcapsules.pdf</x:v>
      </x:c>
      <x:c r="J105" s="14" t="str">
        <x:v>norfloxacin and ofloxacin. Penicillamine: The absorption of zinc may be reduced by penicillamine, also the absorption of penicillamine may be reduced by zinc. Calcium salts: The absorption of zinc may be reduced by calcium salts. Food: The absorption of zinc is reduced when it is taken concurrently with phytates (found in bran, whole grain breads), fiber containing foods or phosphorus containing medicinal products and foods (milk or poultry). Iron: The absorption of zinc may be reduced by oral iron, also the absorption of oral iron may be reduced by zinc. Trientine: The absorption of zinc may be reduced by trientine, also the absorption of trientine may be reduced by zinc.</x:v>
      </x:c>
      <x:c r="K105" s="14" t="str">
        <x:v>[]</x:v>
      </x:c>
      <x:c r="L105" s="13" t="str">
        <x:v>medium</x:v>
      </x:c>
      <x:c r="M105" s="13" t="str">
        <x:v>eligible</x:v>
      </x:c>
      <x:c r="N105" s="14" t="str"/>
      <x:c r="O105" s="13" t="str">
        <x:f>IF(M105="eligible","YES","NO")</x:f>
        <x:v>YES</x:v>
      </x:c>
    </x:row>
    <x:row r="106" ht="72" customHeight="1">
      <x:c r="A106" s="13" t="str">
        <x:v>enalapril</x:v>
      </x:c>
      <x:c r="B106" s="13" t="str">
        <x:v>potassium_rich</x:v>
      </x:c>
      <x:c r="C106" s="14" t="str">
        <x:v>อาหารโพแทสเซียมสูง/เกลือทดแทนที่มีโพแทสเซียม</x:v>
      </x:c>
      <x:c r="D106" s="13" t="str">
        <x:v>severe</x:v>
      </x:c>
      <x:c r="E106" s="13" t="str">
        <x:v>consult</x:v>
      </x:c>
      <x:c r="F106" s="13" t="str">
        <x:v>r0122_smpc</x:v>
      </x:c>
      <x:c r="G106" s="13" t="str">
        <x:v>SMPC</x:v>
      </x:c>
      <x:c r="H106" s="13" t="n">
        <x:v>10</x:v>
      </x:c>
      <x:c r="I106" s="14" t="str">
        <x:v>https://drug.fda.moph.go.th/media.php?id=810075899746721792&amp;name=SMPC_Enalapril_Tablets.pdf</x:v>
      </x:c>
      <x:c r="J106" s="14" t="str">
        <x:v>1 Ref:Enalapril Maleate 20mg Tablets, MHRA, 12/08/2024 10 angiotensin receptor blockers. The use of potassium supplements, potassium-sparing diuretics, or potassium -containing salt substitutes particularly in patients with impaired renal function may lead to a significant increase in serum potassium. Hyperkalaemi a can cause serious, sometimes fatal arrhythmias. If concomitant use of enalapril and any of the above -mentioned agents is deemed appropriate, they should be used with caution and with frequent monitoring of serum potassium (see section 4.5). Lithium The combination of lithium and enalapril is generally n</x:v>
      </x:c>
      <x:c r="K106" s="14" t="str">
        <x:v>["kidney"]</x:v>
      </x:c>
      <x:c r="L106" s="13" t="str">
        <x:v>high</x:v>
      </x:c>
      <x:c r="M106" s="13" t="str">
        <x:v>eligible</x:v>
      </x:c>
      <x:c r="N106" s="14" t="str"/>
      <x:c r="O106" s="13" t="str">
        <x:f>IF(M106="eligible","YES","NO")</x:f>
        <x:v>YES</x:v>
      </x:c>
    </x:row>
    <x:row r="107" ht="72" customHeight="1">
      <x:c r="A107" s="13" t="str">
        <x:v>enalapril</x:v>
      </x:c>
      <x:c r="B107" s="13" t="str">
        <x:v>potassium_rich</x:v>
      </x:c>
      <x:c r="C107" s="14" t="str">
        <x:v>อาหารโพแทสเซียมสูง/เกลือทดแทนที่มีโพแทสเซียม</x:v>
      </x:c>
      <x:c r="D107" s="13" t="str">
        <x:v>moderate</x:v>
      </x:c>
      <x:c r="E107" s="13" t="str">
        <x:v>consult</x:v>
      </x:c>
      <x:c r="F107" s="13" t="str">
        <x:v>r0122_smpc</x:v>
      </x:c>
      <x:c r="G107" s="13" t="str">
        <x:v>SMPC</x:v>
      </x:c>
      <x:c r="H107" s="13" t="n">
        <x:v>12</x:v>
      </x:c>
      <x:c r="I107" s="14" t="str">
        <x:v>https://drug.fda.moph.go.th/media.php?id=810075899746721792&amp;name=SMPC_Enalapril_Tablets.pdf</x:v>
      </x:c>
      <x:c r="J107" s="14" t="str">
        <x:v>renal function (includ ing acute renal failure) compared to the use of a single RAAS -acting agent (see Sections 4.3, 4.4 and 5.1). Potassium sparing diuretics or potassium supplements or other drugs that may increase serum potassium ACE inhibitors attenuate diuretic induced potassium loss. Potassium sparing diuretics (e.g., spironolactone, eplerenone, triamterene or amiloride), potassium supplements, or potassium -containing salt substitutes, or other drugs that may increase serum pota ssium (e.g., heparin, trimethoprim-containing products such as cotrimoxazole) may lead to significant increases in serum potassium. Therefore, the combination of Enalapril with above mentioned drugs is not recommended. If concomitant use is indicated because of demonstrated hypokalaemia they should be used with caution and with frequent monitoring of serum potassium (see section 4.</x:v>
      </x:c>
      <x:c r="K107" s="14" t="str">
        <x:v>[]</x:v>
      </x:c>
      <x:c r="L107" s="13" t="str">
        <x:v>medium</x:v>
      </x:c>
      <x:c r="M107" s="13" t="str">
        <x:v>eligible</x:v>
      </x:c>
      <x:c r="N107" s="14" t="str"/>
      <x:c r="O107" s="13" t="str">
        <x:f>IF(M107="eligible","YES","NO")</x:f>
        <x:v>YES</x:v>
      </x:c>
    </x:row>
    <x:row r="108" ht="72" customHeight="1">
      <x:c r="A108" s="13" t="str">
        <x:v>hydrochlorothiazide_amiloride</x:v>
      </x:c>
      <x:c r="B108" s="13" t="str">
        <x:v>potassium_rich</x:v>
      </x:c>
      <x:c r="C108" s="14" t="str">
        <x:v>อาหารโพแทสเซียมสูง/เกลือทดแทนที่มีโพแทสเซียม</x:v>
      </x:c>
      <x:c r="D108" s="13" t="str">
        <x:v>moderate</x:v>
      </x:c>
      <x:c r="E108" s="13" t="str">
        <x:v>monitor</x:v>
      </x:c>
      <x:c r="F108" s="13" t="str">
        <x:v>r0173_smpc</x:v>
      </x:c>
      <x:c r="G108" s="13" t="str">
        <x:v>SMPC</x:v>
      </x:c>
      <x:c r="H108" s="13" t="n">
        <x:v>3</x:v>
      </x:c>
      <x:c r="I108" s="14" t="str">
        <x:v>https://drug.fda.moph.go.th/media.php?id=810380894354415616&amp;name=SMPC_Amiloride+Hydrochlorothiazide _Tablets.pdf</x:v>
      </x:c>
      <x:c r="J108" s="14" t="str">
        <x:v>1 Ref:Co-amilozide tablet 5/50, MHRA, 02/07/2020 Co-amilozide tablet 2.5/25,MHRA, 22/12/2020 3 For oral use. 4.3. Contraindications • Hypersensitivity Hypersensitivity to amiloride hydrochloride, hydrochlorothiazide, any of the excipients listed in section 6.1, or other sulphonamide derived drugs. • Hyperkalaemia (plasma potassium over 5.5 mmol/l); other potassium-conserving diuretics. Potassium supplements or potassium rich foods (except in severe and/or refractory cases of hypokalemia under careful monitoring.) • Hypercalcaemia • Severe renal impairment; severe progressive renal disease; acute renal failure; anuria; use of potassium conserving agents may result in rapid development of hyperkalaemia in patients with renal impairment; patients with blood urea over 10 mmol/l or those with serum creatinine over 130 μmol/l in whom serum electrolyte</x:v>
      </x:c>
      <x:c r="K108" s="14" t="str">
        <x:v>["kidney"]</x:v>
      </x:c>
      <x:c r="L108" s="13" t="str">
        <x:v>medium</x:v>
      </x:c>
      <x:c r="M108" s="13" t="str">
        <x:v>eligible</x:v>
      </x:c>
      <x:c r="N108" s="14" t="str"/>
      <x:c r="O108" s="13" t="str">
        <x:f>IF(M108="eligible","YES","NO")</x:f>
        <x:v>YES</x:v>
      </x:c>
    </x:row>
    <x:row r="109" ht="72" customHeight="1">
      <x:c r="A109" s="13" t="str">
        <x:v>lisinopril</x:v>
      </x:c>
      <x:c r="B109" s="13" t="str">
        <x:v>potassium_rich</x:v>
      </x:c>
      <x:c r="C109" s="14" t="str">
        <x:v>อาหารโพแทสเซียมสูง/เกลือทดแทนที่มีโพแทสเซียม</x:v>
      </x:c>
      <x:c r="D109" s="13" t="str">
        <x:v>moderate</x:v>
      </x:c>
      <x:c r="E109" s="13" t="str">
        <x:v>limit</x:v>
      </x:c>
      <x:c r="F109" s="13" t="str">
        <x:v>r0213_smpc</x:v>
      </x:c>
      <x:c r="G109" s="13" t="str">
        <x:v>SMPC</x:v>
      </x:c>
      <x:c r="H109" s="13" t="n">
        <x:v>14</x:v>
      </x:c>
      <x:c r="I109" s="14" t="str">
        <x:v>https://drug.fda.moph.go.th/media.php?id=810405133153345536&amp;name=SMPC_Lisinopril_Tablets.pdf</x:v>
      </x:c>
      <x:c r="J109" s="14" t="str">
        <x:v>1 Ref:Lisinipril 20 mg Tablets, MHRA, 03/10/2022 14 Potassium supplements, potassium -sparing diuretics or potassium containing salt substitutes and other drugs that may increase serum potassium levels. Although serum potassium usually remains within normal limits, hyperkalaemia may occur in some patients treated with lisinopril. Use of potassium sparing diuretics (e.g. spironolactone, triamterene or amiloride), potassium supplements or potassium - containing salt substitutes, particularly in patients with impaired renal function, may lead to a significant increase i</x:v>
      </x:c>
      <x:c r="K109" s="14" t="str">
        <x:v>[]</x:v>
      </x:c>
      <x:c r="L109" s="13" t="str">
        <x:v>medium</x:v>
      </x:c>
      <x:c r="M109" s="13" t="str">
        <x:v>eligible</x:v>
      </x:c>
      <x:c r="N109" s="14" t="str"/>
      <x:c r="O109" s="13" t="str">
        <x:f>IF(M109="eligible","YES","NO")</x:f>
        <x:v>YES</x:v>
      </x:c>
    </x:row>
  </x:sheetData>
  <x:conditionalFormatting sqref="O2:O109">
    <x:cfRule type="containsText" dxfId="3" priority="1" operator="containsText" text="NO"/>
  </x:conditionalFormatting>
  <x:conditionalFormatting sqref="D2:D109">
    <x:cfRule type="containsText" dxfId="4" priority="2" operator="containsText" text="severe"/>
  </x:conditionalFormatting>
  <x:conditionalFormatting sqref="M2:M109">
    <x:cfRule type="containsText" dxfId="5" priority="3" operator="containsText" text="review"/>
  </x:conditionalFormatting>
  <x:pageMargins left="0.7" right="0.7" top="0.75" bottom="0.75" header="0.3" footer="0.3"/>
  <x:tableParts count="1">
    <x:tablePart xmlns:r="http://schemas.openxmlformats.org/officeDocument/2006/relationships" r:id="R098a5b0dcc58441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0" hidden="0" customWidth="1"/>
    <x:col min="2" max="2" width="18" hidden="0" customWidth="1"/>
    <x:col min="3" max="3" width="18" hidden="0" customWidth="1"/>
    <x:col min="4" max="4" width="14" hidden="0" customWidth="1"/>
  </x:cols>
  <x:sheetData>
    <x:row r="1">
      <x:c r="A1" s="16" t="str">
        <x:v>Food–Drug Interaction QA</x:v>
      </x:c>
      <x:c r="B1" s="16"/>
      <x:c r="C1" s="16"/>
      <x:c r="D1" s="16"/>
    </x:row>
    <x:row r="3">
      <x:c r="A3" s="18" t="str">
        <x:v>Check</x:v>
      </x:c>
      <x:c r="B3" s="18" t="str">
        <x:v>Result</x:v>
      </x:c>
      <x:c r="C3" s="18" t="str">
        <x:v>Expected</x:v>
      </x:c>
      <x:c r="D3" s="18" t="str">
        <x:v>Status</x:v>
      </x:c>
    </x:row>
    <x:row r="4">
      <x:c r="A4" t="str">
        <x:v>Food interaction rows</x:v>
      </x:c>
      <x:c r="B4" t="n">
        <x:f>COUNTA('Food_Interactions'!A2:A10)</x:f>
        <x:v>9</x:v>
      </x:c>
      <x:c r="C4" t="n">
        <x:v>9</x:v>
      </x:c>
      <x:c r="D4" t="str">
        <x:f>IF(B4=C4,"PASS","FAIL")</x:f>
        <x:v>PASS</x:v>
      </x:c>
    </x:row>
    <x:row r="5">
      <x:c r="A5" t="str">
        <x:v>Duplicate food codes</x:v>
      </x:c>
      <x:c r="B5" t="n">
        <x:f>SUMPRODUCT(--(COUNTIF('Food_Interactions'!A2:A10,'Food_Interactions'!A2:A10)&gt;1))/2</x:f>
        <x:v>0</x:v>
      </x:c>
      <x:c r="C5" t="n">
        <x:v>0</x:v>
      </x:c>
      <x:c r="D5" t="str">
        <x:f>IF(B5=C5,"PASS","FAIL")</x:f>
        <x:v>PASS</x:v>
      </x:c>
    </x:row>
    <x:row r="6">
      <x:c r="A6" t="str">
        <x:v>Invalid severity</x:v>
      </x:c>
      <x:c r="B6" t="n">
        <x:f>COUNTIF('Food_Interactions'!F2:F10,"&lt;&gt;moderate")-COUNTIF('Food_Interactions'!F2:F10,"severe")</x:f>
        <x:v>0</x:v>
      </x:c>
      <x:c r="C6" t="n">
        <x:v>0</x:v>
      </x:c>
      <x:c r="D6" t="str">
        <x:f>IF(B6=C6,"PASS","FAIL")</x:f>
        <x:v>PASS</x:v>
      </x:c>
    </x:row>
    <x:row r="7">
      <x:c r="A7" t="str">
        <x:v>Missing source references</x:v>
      </x:c>
      <x:c r="B7" t="n">
        <x:f>COUNTIF('Food_Interactions'!K2:K10,"[]")+COUNTBLANK('Food_Interactions'!K2:K10)</x:f>
        <x:v>0</x:v>
      </x:c>
      <x:c r="C7" t="n">
        <x:v>0</x:v>
      </x:c>
      <x:c r="D7" t="str">
        <x:f>IF(B7=C7,"PASS","FAIL")</x:f>
        <x:v>PASS</x:v>
      </x:c>
    </x:row>
    <x:row r="8">
      <x:c r="A8" t="str">
        <x:v>Missing medicine_codes</x:v>
      </x:c>
      <x:c r="B8" t="n">
        <x:f>COUNTIF('Food_Interactions'!D2:D10,"[]")+COUNTBLANK('Food_Interactions'!D2:D10)</x:f>
        <x:v>0</x:v>
      </x:c>
      <x:c r="C8" t="n">
        <x:v>0</x:v>
      </x:c>
      <x:c r="D8" t="str">
        <x:f>IF(B8=C8,"PASS","FAIL")</x:f>
        <x:v>PASS</x:v>
      </x:c>
    </x:row>
    <x:row r="9">
      <x:c r="A9" t="str">
        <x:v>Rows not in draft status</x:v>
      </x:c>
      <x:c r="B9" t="n">
        <x:f>COUNTIF('Food_Interactions'!J2:J10,"&lt;&gt;draft")</x:f>
        <x:v>0</x:v>
      </x:c>
      <x:c r="C9" t="n">
        <x:v>0</x:v>
      </x:c>
      <x:c r="D9" t="str">
        <x:f>IF(B9=C9,"PASS","FAIL")</x:f>
        <x:v>PASS</x:v>
      </x:c>
    </x:row>
    <x:row r="10">
      <x:c r="A10" t="str">
        <x:v>Rows with reviewed_at populated</x:v>
      </x:c>
      <x:c r="B10" t="n">
        <x:f>COUNTA('Food_Interactions'!I2:I10)</x:f>
        <x:v>0</x:v>
      </x:c>
      <x:c r="C10" t="n">
        <x:v>0</x:v>
      </x:c>
      <x:c r="D10" t="str">
        <x:f>IF(B10=C10,"PASS","FAIL")</x:f>
        <x:v>PASS</x:v>
      </x:c>
    </x:row>
    <x:row r="11">
      <x:c r="A11" t="str">
        <x:v>Evidence rows</x:v>
      </x:c>
      <x:c r="B11" t="n">
        <x:f>COUNTA('Food_Evidence'!A2:A109)</x:f>
        <x:v>108</x:v>
      </x:c>
      <x:c r="C11" t="n">
        <x:v>108</x:v>
      </x:c>
      <x:c r="D11" t="str">
        <x:f>IF(B11=C11,"PASS","FAIL")</x:f>
        <x:v>PASS</x:v>
      </x:c>
    </x:row>
    <x:row r="12">
      <x:c r="A12" t="str">
        <x:v>Evidence rows not SQL-ready</x:v>
      </x:c>
      <x:c r="B12" t="n">
        <x:f>COUNTIF('Food_Evidence'!O2:O109,"NO")</x:f>
        <x:v>3</x:v>
      </x:c>
      <x:c r="C12" t="n">
        <x:v>3</x:v>
      </x:c>
      <x:c r="D12" t="str">
        <x:f>IF(B12=C12,"PASS","FAIL")</x:f>
        <x:v>PASS</x:v>
      </x:c>
    </x:row>
    <x:row r="13">
      <x:c r="A13" t="str">
        <x:v>Evidence rows missing source URL/page</x:v>
      </x:c>
      <x:c r="B13" t="n">
        <x:f>COUNTBLANK('Food_Evidence'!I2:I109)+COUNTBLANK('Food_Evidence'!H2:H109)</x:f>
        <x:v>0</x:v>
      </x:c>
      <x:c r="C13" t="n">
        <x:v>0</x:v>
      </x:c>
      <x:c r="D13" t="str">
        <x:f>IF(B13=C13,"PASS","FAIL")</x:f>
        <x:v>PASS</x:v>
      </x:c>
    </x:row>
    <x:row r="14">
      <x:c r="A14" t="str">
        <x:v>Evidence rows held for review</x:v>
      </x:c>
      <x:c r="B14" t="n">
        <x:f>COUNTIF('Food_Evidence'!M2:M109,"review")</x:f>
        <x:v>3</x:v>
      </x:c>
      <x:c r="C14" t="n">
        <x:v>3</x:v>
      </x:c>
      <x:c r="D14" t="str">
        <x:f>IF(B14=C14,"PASS","FAIL")</x:f>
        <x:v>PASS</x:v>
      </x:c>
    </x:row>
    <x:row r="15">
      <x:c r="A15" t="str">
        <x:v>PDF documents opened</x:v>
      </x:c>
      <x:c r="B15" t="n">
        <x:v>497</x:v>
      </x:c>
      <x:c r="C15" t="n">
        <x:v>497</x:v>
      </x:c>
      <x:c r="D15" t="str">
        <x:f>IF(B15=C15,"PASS","FAIL")</x:f>
        <x:v>PASS</x:v>
      </x:c>
    </x:row>
    <x:row r="16">
      <x:c r="A16" t="str">
        <x:v>PDF extraction/opening errors</x:v>
      </x:c>
      <x:c r="B16" t="n">
        <x:v>0</x:v>
      </x:c>
      <x:c r="C16" t="n">
        <x:v>0</x:v>
      </x:c>
      <x:c r="D16" t="str">
        <x:f>IF(B16=C16,"PASS","FAIL")</x:f>
        <x:v>PASS</x:v>
      </x:c>
    </x:row>
    <x:row r="18">
      <x:c r="A18" s="38" t="str">
        <x:v>หมายเหตุ: ข้อมูลทั้งหมดเป็น draft และต้องให้ Clinical reviewer ตรวจ Food_Evidence ก่อนเผยแพร่
การไม่พบข้อความในเอกสาร ไม่ได้ยืนยันว่าอาหารนั้นไม่มีปฏิกิริยากับยา</x:v>
      </x:c>
      <x:c r="B18" s="39"/>
      <x:c r="C18" s="39"/>
      <x:c r="D18" s="40"/>
    </x:row>
    <x:row r="19">
      <x:c r="A19" s="41"/>
      <x:c r="B19" s="42"/>
      <x:c r="C19" s="42"/>
      <x:c r="D19" s="43"/>
    </x:row>
    <x:row r="20">
      <x:c r="A20" s="44"/>
      <x:c r="B20" s="45"/>
      <x:c r="C20" s="45"/>
      <x:c r="D20" s="46"/>
    </x:row>
  </x:sheetData>
  <x:mergeCells>
    <x:mergeCell ref="A1:D1"/>
    <x:mergeCell ref="A18:D20"/>
  </x:mergeCells>
  <x:conditionalFormatting sqref="D4:D16">
    <x:cfRule type="containsText" dxfId="6" priority="1" operator="containsText" text="PASS"/>
    <x:cfRule type="containsText" dxfId="7" priority="2" operator="containsText" text="FAIL"/>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28" hidden="0" customWidth="1"/>
    <x:col min="3" max="3" width="44" hidden="0" customWidth="1"/>
    <x:col min="4" max="4" width="58" hidden="0" customWidth="1"/>
    <x:col min="5" max="5" width="18" hidden="0" customWidth="1"/>
    <x:col min="6" max="6" width="13" hidden="0" customWidth="1"/>
    <x:col min="7" max="7" width="55" hidden="0" customWidth="1"/>
    <x:col min="8" max="8" width="14" hidden="0" customWidth="1"/>
    <x:col min="9" max="9" width="14" hidden="0" customWidth="1"/>
    <x:col min="10" max="10" width="12" hidden="0" customWidth="1"/>
    <x:col min="11" max="11" width="80" hidden="0" customWidth="1"/>
    <x:col min="12" max="12" width="58" hidden="0" customWidth="1"/>
  </x:cols>
  <x:sheetData>
    <x:row r="1" ht="34" customHeight="1">
      <x:c r="A1" s="51" t="str">
        <x:v>code</x:v>
      </x:c>
      <x:c r="B1" s="51" t="str">
        <x:v>food_th</x:v>
      </x:c>
      <x:c r="C1" s="51" t="str">
        <x:v>keywords</x:v>
      </x:c>
      <x:c r="D1" s="51" t="str">
        <x:v>medicine_codes</x:v>
      </x:c>
      <x:c r="E1" s="51" t="str">
        <x:v>disease_codes</x:v>
      </x:c>
      <x:c r="F1" s="51" t="str">
        <x:v>severity</x:v>
      </x:c>
      <x:c r="G1" s="51" t="str">
        <x:v>description_th</x:v>
      </x:c>
      <x:c r="H1" s="51" t="str">
        <x:v>dataset_version</x:v>
      </x:c>
      <x:c r="I1" s="51" t="str">
        <x:v>reviewed_at</x:v>
      </x:c>
      <x:c r="J1" s="51" t="str">
        <x:v>status</x:v>
      </x:c>
      <x:c r="K1" s="51" t="str">
        <x:v>source_references</x:v>
      </x:c>
      <x:c r="L1" s="51" t="str">
        <x:v>review_notes</x:v>
      </x:c>
    </x:row>
    <x:row r="2" ht="34" customHeight="1">
      <x:c r="A2" s="54" t="str">
        <x:v>evidence_alcohol_severe_v3</x:v>
      </x:c>
      <x:c r="B2" s="54" t="str">
        <x:v>แอลกอฮอล์/เครื่องดื่มแอลกอฮอล์</x:v>
      </x:c>
      <x:c r="C2" s="54" t="str">
        <x:v>["แอลกอฮอล์","สุรา","เหล้า","เบียร์","ไวน์","alcohol"]</x:v>
      </x:c>
      <x:c r="D2" s="54" t="str">
        <x:v>["disulfiram","gliclazide","glipizide","tramadol"]</x:v>
      </x:c>
      <x:c r="E2" s="54" t="str">
        <x:v>[]</x:v>
      </x:c>
      <x:c r="F2" s="54" t="str">
        <x:v>severe</x:v>
      </x:c>
      <x:c r="G2" s="54" t="str">
        <x:v>ห้ามดื่มแอลกอฮอล์หรือใช้ผลิตภัณฑ์ที่มีแอลกอฮอล์ร่วมกับยาที่ระบุ และควรสอบถามแพทย์หรือเภสัชกรก่อนใช้</x:v>
      </x:c>
      <x:c r="H2" s="54" t="n">
        <x:v>3</x:v>
      </x:c>
      <x:c r="I2" s="54"/>
      <x:c r="J2" s="58" t="str">
        <x:v>draft</x:v>
      </x:c>
      <x:c r="K2" s="55" t="str">
        <x:v>["https://drug.fda.moph.go.th/media.php?id=810072772666597376&amp;name=SMPC_Disulfiram_Tablets.pdf#page=1","https://drug.fda.moph.go.th/media.php?id=810072772666597376&amp;name=SMPC_Disulfiram_Tablets.pdf#page=3","https://drug.fda.moph.go.th/media.php?id=810072772666597376&amp;name=SMPC_Disulfiram_Tablets.pdf#page=4","https://drug.fda.moph.go.th/media.php?id=810072772666597376&amp;name=SMPC_Disulfiram_Tablets.pdf#page=6","https://drug.fda.moph.go.th/media.php?id=862918386374549504&amp;name=42.Disulfiram_Tablets_PIL.pdf#page=1","https://drug.fda.moph.go.th/media.php?id=810175347420176384&amp;name=SMPC_Gliclazide_Modified-release Tablets.pdf#page=7","https://drug.fda.moph.go.th/media.php?id=810175662185914368&amp;name=SMPC_Gliclazide_Tablets.pdf#page=6","https://drug.fda.moph.go.th/media.php?id=810176024078852096&amp;name=SMPC_Glipizide_Tablets.pdf#page=5","https://drug.fda.moph.go.th/media.php?id=810483663501402112&amp;name=SMPC_Tramadol_Capsules.pdf#page=8","https://drug.fda.moph.go.th/media.php?id=810484035766853632&amp;name=SMPC_Tramadol_solution for injection or infusion.pdf#page=9"]</x:v>
      </x:c>
      <x:c r="L2" s="54" t="str">
        <x:v>ตรวจ QA ทิศทางคำแนะนำและแยกระดับความรุนแรงแล้วเมื่อ 2026-07-18; ยังรอ Clinical reviewer ยืนยันก่อนเผยแพร่</x:v>
      </x:c>
    </x:row>
    <x:row r="3" ht="34" customHeight="1">
      <x:c r="A3" s="54" t="str">
        <x:v>evidence_alcohol_caution_v3</x:v>
      </x:c>
      <x:c r="B3" s="54" t="str">
        <x:v>แอลกอฮอล์/เครื่องดื่มแอลกอฮอล์</x:v>
      </x:c>
      <x:c r="C3" s="54" t="str">
        <x:v>["แอลกอฮอล์","สุรา","เหล้า","เบียร์","ไวน์","alcohol"]</x:v>
      </x:c>
      <x:c r="D3" s="54" t="str">
        <x:v>["atropine","cyclophosphamide","dextromethorphan_hydrobromide","diphenhydramine","doxycycline_hyclate","fenofibrate","fluoxetine","griseofulvin","haloperidol","hydroxyzine","isoniazid","mefenamic_acid","metformin","methocarbamol","methotrexate","metoclopramide","metronidazole","mianserin","niclosamide","nortriptyline","paracetamol","pimozide","piroxicam","pizotifen_malate","propofol","simvastatin","theophylline","tinidazole","trazodone"]</x:v>
      </x:c>
      <x:c r="E3" s="54" t="str">
        <x:v>[]</x:v>
      </x:c>
      <x:c r="F3" s="54" t="str">
        <x:v>moderate</x:v>
      </x:c>
      <x:c r="G3" s="54" t="str">
        <x:v>ควรหลีกเลี่ยงเครื่องดื่มแอลกอฮอล์ระหว่างใช้ยาที่ระบุ และสอบถามแพทย์หรือเภสัชกรหากไม่แน่ใจ</x:v>
      </x:c>
      <x:c r="H3" s="54" t="n">
        <x:v>3</x:v>
      </x:c>
      <x:c r="I3" s="54"/>
      <x:c r="J3" s="58" t="str">
        <x:v>draft</x:v>
      </x:c>
      <x:c r="K3" s="55" t="str">
        <x:v>["https://drug.fda.moph.go.th/media.php?id=809657437689880576&amp;name=SMPC_Atropine_Tablets.pdf#page=4","https://drug.fda.moph.go.th/media.php?id=809693226402455552&amp;name=SMPC_Cyclophosphamide_Powders for solutions for injections or infusions.pdf#page=12","https://drug.fda.moph.go.th/media.php?id=809693226402455552&amp;name=SMPC_Cyclophosphamide_Powders for solutions for injections or infusions.pdf#page=17","https://drug.fda.moph.go.th/media.php?id=862918391248330752&amp;name=11. Cyclophosphamide_inj_PIL_final.pdf#page=1","https://drug.fda.moph.go.th/media.php?id=862918393693609984&amp;name=12.Cyclophosphamide_Tablets_PIL_final.pdf#page=1","https://drug.fda.moph.go.th/media.php?id=810067905235525632&amp;name=SMPC_Dextromethorphan_Lozenge.pdf#page=3","https://drug.fda.moph.go.th/media.php?id=810068299789508608&amp;name=SMPC_Dextromethorphan_Syrup.pdf#page=3","https://drug.fda.moph.go.th/media.php?id=862918394234675200&amp;name=30. Diphenhydramine_tablet_PIL_Final.pdf#page=1","https://drug.fda.moph.go.th/media.php?id=810074802814590976&amp;name=SMPC_Doxycycline_Tablet.pdf#page=9","https://drug.fda.moph.go.th/media.php?id=808542706069544960&amp;name=Fenofibrate_capsule, tablet_PIL.pdf#page=1","https://drug.fda.moph.go.th/media.php?id=810173242932338688&amp;name=SMPC_Fluoxetine_Capsules.pdf#page=12","https://drug.fda.moph.go.th/media.php?id=810180959625420800&amp;name=SMPC_Griseofulvin_Film-coated tablet.pdf#page=6","https://drug.fda.moph.go.th/media.php?id=808571302360260608&amp;name=SmPC - Haloperidol ORAL SOLUTION.pdf#page=11","https://drug.fda.moph.go.th/media.php?id=810382200729116672&amp;name=SMPC_Hydroxyzine_Film-coated tablets.pdf#page=6","https://drug.fda.moph.go.th/media.php?id=862918388467507200&amp;name=33. isoniazid_tablets_PIL_final.pdf#page=1","https://drug.fda.moph.go.th/media.php?id=810410734201741312&amp;name=SMPC_Mefenamic acid_Capsules.pdf#page=6","https://drug.fda.moph.go.th/media.php?id=810411685197258752&amp;name=SMPC_Metformin_Film-coated Tablet.pdf#page=7","https://drug.fda.moph.go.th/media.php?id=810412334496489472&amp;name=SMPC_Methocarbamol_Film-coated Tablet.pdf#page=4","https://drug.fda.moph.go.th/media.php?id=862918389411225600&amp;name=15.Methotrexate_Inj_PIL_final.pdf#page=1","https://drug.fda.moph.go.th/media.php?id=810414829838934016&amp;name=SMPC_Metoclopramide_Tablets.pdf#page=7","https://drug.fda.moph.go.th/media.php?id=810415338977107968&amp;name=SMPC_Metoclopramide_solution for infusion.pdf#page=10","https://drug.fda.moph.go.th/media.php?id=810416020589256704&amp;name=SMPC_Metoclopramide_Oral Solution.pdf#page=6","https://drug.fda.moph.go.th/media.php?id=810416555195244544&amp;name=SMPC_Metronidazole_Tablets.pdf#page=7","https://drug.fda.moph.go.th/media.php?id=810416973254107136&amp;name=SMPC_Metronidazole_Solutions for injections or infusions.pdf#page=8","https://drug.fda.moph.go.th/media.php?id=810417450431684608&amp;name=SMPC_Mianserin_Tablets.pdf#page=6","https://drug.fda.moph.go.th/media.php?id=862918387754475520&amp;name=36.Niclosamide_Tablets_PIL_final.pdf#page=1","https://drug.fda.moph.go.th/media.php?id=810424052261986304&amp;name=SMPC_Nortriptyline_Film-coated Tablet.pdf#page=9","https://drug.fda.moph.go.th/media.php?id=810427720377966592&amp;name=SMPC_Paracetamol_Capsules.pdf#page=2","https://drug.fda.moph.go.th/media.php?id=810427720377966592&amp;name=SMPC_Paracetamol_Capsules.pdf#page=4","https://drug.fda.moph.go.th/media.php?id=810427720377966592&amp;name=SMPC_Paracetamol_Capsules.pdf#page=7","https://drug.fda.moph.go.th/media.php?id=810428236826812416&amp;name=SMPC_Paracetamol_Elixir.pdf#page=2","https://drug.fda.moph.go.th/media.php?id=810428236826812416&amp;name=SMPC_Paracetamol_Elixir.pdf#page=4","https://drug.fda.moph.go.th/media.php?id=810428236826812416&amp;name=SMPC_Paracetamol_Elixir.pdf#page=7","https://drug.fda.moph.go.th/media.php?id=810428697118121984&amp;name=SMPC_Paracetamol_Solutions for injections or infusions.pdf#page=5","https://drug.fda.moph.go.th/media.php?id=810428697118121984&amp;name=SMPC_Paracetamol_Solutions for injections or infusions.pdf#page=6","https://drug.fda.moph.go.th/media.php?id=810428697118121984&amp;name=SMPC_Paracetamol_Solutions for injections or infusions.pdf#page=9","https://drug.fda.moph.go.th/media.php?id=810429112165474304&amp;name=SMPC_Paracetamol_Syrup.pdf#page=2","https://drug.fda.moph.go.th/media.php?id=810429112165474304&amp;name=SMPC_Paracetamol_Syrup.pdf#page=4","https://drug.fda.moph.go.th/media.php?id=810429112165474304&amp;name=SMPC_Paracetamol_Syrup.pdf#page=7","https://drug.fda.moph.go.th/media.php?id=810429959502962688&amp;name=SMPC_Paracetamol_suspension.pdf#page=2","https://drug.fda.moph.go.th/media.php?id=810429959502962688&amp;name=SMPC_Paracetamol_suspension.pdf#page=4","https://drug.fda.moph.go.th/media.php?id=810429959502962688&amp;name=SMPC_Paracetamol_suspension.pdf#page=7","https://drug.fda.moph.go.th/media.php?id=810430466103582720&amp;name=SMPC_Paracetamol_Tablet.pdf#page=2","https://drug.fda.moph.go.th/media.php?id=810430466103582720&amp;name=SMPC_Paracetamol_Tablet.pdf#page=4","https://drug.fda.moph.go.th/media.php?id=810430466103582720&amp;name=SMPC_Paracetamol_Tablet.pdf#page=7","https://drug.fda.moph.go.th/media.php?id=810432738745262080&amp;name=SMPC_Pimozide_Tablet.pdf#page=9","https://drug.fda.moph.go.th/media.php?id=862918387037249536&amp;name=38.Pimozide_Tablets_PIL_final.pdf#page=1","https://drug.fda.moph.go.th/media.php?id=810433390829510656&amp;name=SMPC_Piroxicam_Capsules.pdf#page=4","https://drug.fda.moph.go.th/media.php?id=808604508509839360&amp;name=Pizotifen_sugarcoatedtablet-syrup_PIL.pdf#page=1","https://drug.fda.moph.go.th/media.php?id=904966130077147136&amp;name=4. Ref SmPC_PROPOFOL.pdf#page=11","https://drug.fda.moph.go.th/media.php?id=904966130077147136&amp;name=4. Ref SmPC_PROPOFOL.pdf#page=12","https://drug.fda.moph.go.th/media.php?id=808610458117480448&amp;name=simvastatin_PIL.pdf#page=1","https://drug.fda.moph.go.th/media.php?id=808611857748336640&amp;name=Theophylline_compressedTablet_PIL.pdf#page=1","https://drug.fda.moph.go.th/media.php?id=810482703316164608&amp;name=SMPC_Tinidazole_Film-coated Tablet.pdf#page=6","https://drug.fda.moph.go.th/media.php?id=810482703316164608&amp;name=SMPC_Tinidazole_Film-coated Tablet.pdf#page=7","https://drug.fda.moph.go.th/media.php?id=810484413367459840&amp;name=SMPC_Trazodone_Tablets.pdf#page=11","https://drug.fda.moph.go.th/media.php?id=862918385716043776&amp;name=47.Trazodone_tablet_PIL.pdf#page=1"]</x:v>
      </x:c>
      <x:c r="L3" s="54" t="str">
        <x:v>ตรวจ QA ทิศทางคำแนะนำและแยกระดับความรุนแรงแล้วเมื่อ 2026-07-18; ยังรอ Clinical reviewer ยืนยันก่อนเผยแพร่</x:v>
      </x:c>
    </x:row>
    <x:row r="4" ht="34" customHeight="1">
      <x:c r="A4" s="54" t="str">
        <x:v>evidence_calcium_cipro_v3</x:v>
      </x:c>
      <x:c r="B4" s="54" t="str">
        <x:v>เครื่องดื่มเสริมแคลเซียม</x:v>
      </x:c>
      <x:c r="C4" s="54" t="str">
        <x:v>["เครื่องดื่มเสริมแคลเซียม","น้ำส้มเสริมแคลเซียม","calcium-fortified drink","calcium-fortified orange juice"]</x:v>
      </x:c>
      <x:c r="D4" s="54" t="str">
        <x:v>["ciprofloxacin"]</x:v>
      </x:c>
      <x:c r="E4" s="54" t="str">
        <x:v>[]</x:v>
      </x:c>
      <x:c r="F4" s="54" t="str">
        <x:v>moderate</x:v>
      </x:c>
      <x:c r="G4" s="54" t="str">
        <x:v>ไม่ควรรับประทานยาที่ระบุพร้อมเครื่องดื่มเสริมแคลเซียม ให้ตรวจช่วงเวลาตามฉลากหรือสอบถามแพทย์หรือเภสัชกร</x:v>
      </x:c>
      <x:c r="H4" s="54" t="n">
        <x:v>3</x:v>
      </x:c>
      <x:c r="I4" s="54"/>
      <x:c r="J4" s="58" t="str">
        <x:v>draft</x:v>
      </x:c>
      <x:c r="K4" s="55" t="str">
        <x:v>["https://drug.fda.moph.go.th/media.php?id=842359238230679552&amp;name=SmPC Ciprofloxacin film-coated tablets.pdf#page=15","https://drug.fda.moph.go.th/media.php?id=842360112483016704&amp;name=SmPC Ciprofloxacin hydrochloride tablet.pdf#page=17"]</x:v>
      </x:c>
      <x:c r="L4" s="54" t="str">
        <x:v>ตรวจ QA ทิศทางคำแนะนำและแยกระดับความรุนแรงแล้วเมื่อ 2026-07-18; ยังรอ Clinical reviewer ยืนยันก่อนเผยแพร่</x:v>
      </x:c>
    </x:row>
    <x:row r="5" ht="34" customHeight="1">
      <x:c r="A5" s="54" t="str">
        <x:v>evidence_meal_rifampicin_v3</x:v>
      </x:c>
      <x:c r="B5" s="54" t="str">
        <x:v>มื้ออาหาร/การรับประทานยาขณะท้องว่าง</x:v>
      </x:c>
      <x:c r="C5" s="54" t="str">
        <x:v>["มื้ออาหาร","กินพร้อมอาหาร","รับประทานพร้อมอาหาร","ท้องว่าง","with food","without food","fasting"]</x:v>
      </x:c>
      <x:c r="D5" s="54" t="str">
        <x:v>["rifampicin"]</x:v>
      </x:c>
      <x:c r="E5" s="54" t="str">
        <x:v>[]</x:v>
      </x:c>
      <x:c r="F5" s="54" t="str">
        <x:v>moderate</x:v>
      </x:c>
      <x:c r="G5" s="54" t="str">
        <x:v>ให้รับประทานยาที่ระบุตามเวลาที่ฉลากหรือแพทย์กำหนด และสอบถามแพทย์หรือเภสัชกรก่อนเปลี่ยนเวลารับประทานยา</x:v>
      </x:c>
      <x:c r="H5" s="54" t="n">
        <x:v>3</x:v>
      </x:c>
      <x:c r="I5" s="54"/>
      <x:c r="J5" s="58" t="str">
        <x:v>draft</x:v>
      </x:c>
      <x:c r="K5" s="55" t="str">
        <x:v>["https://drug.fda.moph.go.th/media.php?id=810448559467012096&amp;name=SMPC_Rifampicin_Tablets.pdf#page=18"]</x:v>
      </x:c>
      <x:c r="L5" s="54" t="str">
        <x:v>ตรวจ QA ทิศทางคำแนะนำและแยกระดับความรุนแรงแล้วเมื่อ 2026-07-18; ยังรอ Clinical reviewer ยืนยันก่อนเผยแพร่</x:v>
      </x:c>
    </x:row>
    <x:row r="6" ht="34" customHeight="1">
      <x:c r="A6" s="54" t="str">
        <x:v>evidence_grapefruit_v3</x:v>
      </x:c>
      <x:c r="B6" s="54" t="str">
        <x:v>เกรปฟรุต/น้ำเกรปฟรุต</x:v>
      </x:c>
      <x:c r="C6" s="54" t="str">
        <x:v>["เกรปฟรุต","น้ำเกรปฟรุต","grapefruit","grapefruit juice"]</x:v>
      </x:c>
      <x:c r="D6" s="54" t="str">
        <x:v>["colchicine","felodipine"]</x:v>
      </x:c>
      <x:c r="E6" s="54" t="str">
        <x:v>[]</x:v>
      </x:c>
      <x:c r="F6" s="54" t="str">
        <x:v>moderate</x:v>
      </x:c>
      <x:c r="G6" s="54" t="str">
        <x:v>ไม่ควรรับประทานเกรปฟรุตหรือน้ำเกรปฟรุตร่วมกับยาที่ระบุ และควรสอบถามแพทย์หรือเภสัชกรก่อนใช้ร่วมกัน</x:v>
      </x:c>
      <x:c r="H6" s="54" t="n">
        <x:v>3</x:v>
      </x:c>
      <x:c r="I6" s="54"/>
      <x:c r="J6" s="58" t="str">
        <x:v>draft</x:v>
      </x:c>
      <x:c r="K6" s="55" t="str">
        <x:v>["https://drug.fda.moph.go.th/media.php?id=809692129914920960&amp;name=SMPC_Colchicine_Tablets.pdf#page=6","https://drug.fda.moph.go.th/media.php?id=810078823658954752&amp;name=SMPC_Felodipine_prolonged release tablets.pdf#page=5"]</x:v>
      </x:c>
      <x:c r="L6" s="54" t="str">
        <x:v>ตรวจ QA ทิศทางคำแนะนำและแยกระดับความรุนแรงแล้วเมื่อ 2026-07-18; ยังรอ Clinical reviewer ยืนยันก่อนเผยแพร่</x:v>
      </x:c>
    </x:row>
    <x:row r="7" ht="34" customHeight="1">
      <x:c r="A7" s="54" t="str">
        <x:v>evidence_high_protein_v3</x:v>
      </x:c>
      <x:c r="B7" s="54" t="str">
        <x:v>อาหารหรือมื้ออาหารโปรตีนสูง</x:v>
      </x:c>
      <x:c r="C7" s="54" t="str">
        <x:v>["อาหารโปรตีนสูง","มื้ออาหารโปรตีนสูง","high-protein meal","high protein diet"]</x:v>
      </x:c>
      <x:c r="D7" s="54" t="str">
        <x:v>["carbidopa_levodopa"]</x:v>
      </x:c>
      <x:c r="E7" s="54" t="str">
        <x:v>[]</x:v>
      </x:c>
      <x:c r="F7" s="54" t="str">
        <x:v>moderate</x:v>
      </x:c>
      <x:c r="G7" s="54" t="str">
        <x:v>ควรหลีกเลี่ยงการรับประทานยาที่ระบุพร้อมอาหารโปรตีนสูงมาก และสอบถามแพทย์หรือเภสัชกรเรื่องช่วงเวลาที่เหมาะสม</x:v>
      </x:c>
      <x:c r="H7" s="54" t="n">
        <x:v>3</x:v>
      </x:c>
      <x:c r="I7" s="54"/>
      <x:c r="J7" s="58" t="str">
        <x:v>draft</x:v>
      </x:c>
      <x:c r="K7" s="55" t="str">
        <x:v>["https://drug.fda.moph.go.th/media.php?id=904601732791803904&amp;name=8. ref PIL_Carbidopa+Levodopa.pdf#page=1","https://drug.fda.moph.go.th/media.php?id=904601733693579264&amp;name=8. Ref SmPC_Carbidopa+Levodopa.pdf#page=10"]</x:v>
      </x:c>
      <x:c r="L7" s="54" t="str">
        <x:v>ตรวจ QA ทิศทางคำแนะนำและแยกระดับความรุนแรงแล้วเมื่อ 2026-07-18; ยังรอ Clinical reviewer ยืนยันก่อนเผยแพร่</x:v>
      </x:c>
    </x:row>
    <x:row r="8" ht="34" customHeight="1">
      <x:c r="A8" s="54" t="str">
        <x:v>evidence_milk_dairy_v3</x:v>
      </x:c>
      <x:c r="B8" s="54" t="str">
        <x:v>นมและผลิตภัณฑ์จากนม</x:v>
      </x:c>
      <x:c r="C8" s="54" t="str">
        <x:v>["นม","ผลิตภัณฑ์นม","โยเกิร์ต","ชีส","milk","dairy"]</x:v>
      </x:c>
      <x:c r="D8" s="54" t="str">
        <x:v>["bisacodyl","ciprofloxacin","ferrous","oxytetracycline","tetracycline","zinc"]</x:v>
      </x:c>
      <x:c r="E8" s="54" t="str">
        <x:v>[]</x:v>
      </x:c>
      <x:c r="F8" s="54" t="str">
        <x:v>moderate</x:v>
      </x:c>
      <x:c r="G8" s="54" t="str">
        <x:v>ไม่ควรรับประทานนมหรือผลิตภัณฑ์นมพร้อมยาที่ระบุ ให้ตรวจช่วงเวลาตามฉลากหรือสอบถามแพทย์หรือเภสัชกร</x:v>
      </x:c>
      <x:c r="H8" s="54" t="n">
        <x:v>3</x:v>
      </x:c>
      <x:c r="I8" s="54"/>
      <x:c r="J8" s="58" t="str">
        <x:v>draft</x:v>
      </x:c>
      <x:c r="K8" s="55" t="str">
        <x:v>["https://drug.fda.moph.go.th/media.php?id=809660019980247040&amp;name=SMPC_Bisacodyl_Gastro-resistant tablets.pdf#page=4","https://drug.fda.moph.go.th/media.php?id=842359238230679552&amp;name=SmPC Ciprofloxacin film-coated tablets.pdf#page=5","https://drug.fda.moph.go.th/media.php?id=842359238230679552&amp;name=SmPC Ciprofloxacin film-coated tablets.pdf#page=15","https://drug.fda.moph.go.th/media.php?id=842360112483016704&amp;name=SmPC Ciprofloxacin hydrochloride tablet.pdf#page=17","https://drug.fda.moph.go.th/media.php?id=810081060158316544&amp;name=SMPC_Ferrous sulfate_film-coated tablets.pdf#page=5","https://drug.fda.moph.go.th/media.php?id=810426784758767616&amp;name=SMPC_Oxytetracycline_Capsules.pdf#page=4","https://drug.fda.moph.go.th/media.php?id=810426784758767616&amp;name=SMPC_Oxytetracycline_Capsules.pdf#page=6","https://drug.fda.moph.go.th/media.php?id=810426784758767616&amp;name=SMPC_Oxytetracycline_Capsules.pdf#page=9","https://drug.fda.moph.go.th/media.php?id=810426784758767616&amp;name=SMPC_Oxytetracycline_Capsules.pdf#page=10","https://drug.fda.moph.go.th/media.php?id=810476861875429376&amp;name=SMPC_Tetracycline_Tablets.pdf#page=2","https://drug.fda.moph.go.th/media.php?id=810476861875429376&amp;name=SMPC_Tetracycline_Tablets.pdf#page=6","https://drug.fda.moph.go.th/media.php?id=810476861875429376&amp;name=SMPC_Tetracycline_Tablets.pdf#page=11","https://drug.fda.moph.go.th/media.php?id=810495775787327488&amp;name=SMPC_Zinc sulfate_hardcapsules.pdf#page=3"]</x:v>
      </x:c>
      <x:c r="L8" s="54" t="str">
        <x:v>ตรวจ QA ทิศทางคำแนะนำและแยกระดับความรุนแรงแล้วเมื่อ 2026-07-18; ยังรอ Clinical reviewer ยืนยันก่อนเผยแพร่</x:v>
      </x:c>
    </x:row>
    <x:row r="9" ht="34" customHeight="1">
      <x:c r="A9" s="54" t="str">
        <x:v>evidence_potassium_severe_v3</x:v>
      </x:c>
      <x:c r="B9" s="54" t="str">
        <x:v>อาหารโพแทสเซียมสูง/เกลือทดแทนที่มีโพแทสเซียม</x:v>
      </x:c>
      <x:c r="C9" s="54" t="str">
        <x:v>["โพแทสเซียมสูง","เกลือทดแทน","เกลือโพแทสเซียม","potassium-rich","potassium salt substitute"]</x:v>
      </x:c>
      <x:c r="D9" s="54" t="str">
        <x:v>["enalapril","hydrochlorothiazide_amiloride"]</x:v>
      </x:c>
      <x:c r="E9" s="54" t="str">
        <x:v>[]</x:v>
      </x:c>
      <x:c r="F9" s="54" t="str">
        <x:v>severe</x:v>
      </x:c>
      <x:c r="G9" s="54" t="str">
        <x:v>ห้ามใช้เกลือทดแทนหรือผลิตภัณฑ์เสริมโพแทสเซียม และไม่ควรเพิ่มอาหารโพแทสเซียมสูงร่วมกับยาเองโดยไม่ปรึกษาแพทย์หรือเภสัชกร</x:v>
      </x:c>
      <x:c r="H9" s="54" t="n">
        <x:v>3</x:v>
      </x:c>
      <x:c r="I9" s="54"/>
      <x:c r="J9" s="58" t="str">
        <x:v>draft</x:v>
      </x:c>
      <x:c r="K9" s="55" t="str">
        <x:v>["https://drug.fda.moph.go.th/media.php?id=810075899746721792&amp;name=SMPC_Enalapril_Tablets.pdf#page=10","https://drug.fda.moph.go.th/media.php?id=810075899746721792&amp;name=SMPC_Enalapril_Tablets.pdf#page=12","https://drug.fda.moph.go.th/media.php?id=810380894354415616&amp;name=SMPC_Amiloride+Hydrochlorothiazide _Tablets.pdf#page=3"]</x:v>
      </x:c>
      <x:c r="L9" s="54" t="str">
        <x:v>ตรวจ QA ทิศทางคำแนะนำและแยกระดับความรุนแรงแล้วเมื่อ 2026-07-18; ยังรอ Clinical reviewer ยืนยันก่อนเผยแพร่</x:v>
      </x:c>
    </x:row>
    <x:row r="10" ht="34" customHeight="1">
      <x:c r="A10" s="54" t="str">
        <x:v>evidence_potassium_caution_v3</x:v>
      </x:c>
      <x:c r="B10" s="54" t="str">
        <x:v>อาหารโพแทสเซียมสูง/เกลือทดแทนที่มีโพแทสเซียม</x:v>
      </x:c>
      <x:c r="C10" s="54" t="str">
        <x:v>["โพแทสเซียมสูง","เกลือทดแทน","เกลือโพแทสเซียม","potassium-rich","potassium salt substitute"]</x:v>
      </x:c>
      <x:c r="D10" s="54" t="str">
        <x:v>["lisinopril"]</x:v>
      </x:c>
      <x:c r="E10" s="54" t="str">
        <x:v>[]</x:v>
      </x:c>
      <x:c r="F10" s="54" t="str">
        <x:v>moderate</x:v>
      </x:c>
      <x:c r="G10" s="54" t="str">
        <x:v>ควรหลีกเลี่ยงหรือจำกัดอาหารโพแทสเซียมสูงและเกลือทดแทนตามคำแนะนำของแพทย์หรือเภสัชกร</x:v>
      </x:c>
      <x:c r="H10" s="54" t="n">
        <x:v>3</x:v>
      </x:c>
      <x:c r="I10" s="54"/>
      <x:c r="J10" s="58" t="str">
        <x:v>draft</x:v>
      </x:c>
      <x:c r="K10" s="55" t="str">
        <x:v>["https://drug.fda.moph.go.th/media.php?id=810405133153345536&amp;name=SMPC_Lisinopril_Tablets.pdf#page=14"]</x:v>
      </x:c>
      <x:c r="L10" s="54" t="str">
        <x:v>ตรวจ QA ทิศทางคำแนะนำและแยกระดับความรุนแรงแล้วเมื่อ 2026-07-18; ยังรอ Clinical reviewer ยืนยันก่อนเผยแพร่</x:v>
      </x:c>
    </x:row>
    <x:row r="11" ht="34" customHeight="1">
      <x:c r="A11" s="54" t="str">
        <x:v>evidence_tea_iron_v3</x:v>
      </x:c>
      <x:c r="B11" s="54" t="str">
        <x:v>ชา</x:v>
      </x:c>
      <x:c r="C11" s="54" t="str">
        <x:v>["ชา","น้ำชา","tea"]</x:v>
      </x:c>
      <x:c r="D11" s="54" t="str">
        <x:v>["ferrous"]</x:v>
      </x:c>
      <x:c r="E11" s="54" t="str">
        <x:v>[]</x:v>
      </x:c>
      <x:c r="F11" s="54" t="str">
        <x:v>moderate</x:v>
      </x:c>
      <x:c r="G11" s="54" t="str">
        <x:v>ไม่ควรดื่มชาพร้อมยาธาตุเหล็ก ให้ตรวจช่วงเวลาตามฉลากหรือสอบถามแพทย์หรือเภสัชกร</x:v>
      </x:c>
      <x:c r="H11" s="54" t="n">
        <x:v>3</x:v>
      </x:c>
      <x:c r="I11" s="54"/>
      <x:c r="J11" s="58" t="str">
        <x:v>draft</x:v>
      </x:c>
      <x:c r="K11" s="55" t="str">
        <x:v>["https://drug.fda.moph.go.th/media.php?id=810079316368039936&amp;name=SMPC_Ferrous fumarate_Tablets.pdf#page=4","https://drug.fda.moph.go.th/media.php?id=810079681742249984&amp;name=SMPC_Ferrous fumarate_ syrup.pdf#page=4","https://drug.fda.moph.go.th/media.php?id=810081060158316544&amp;name=SMPC_Ferrous sulfate_film-coated tablets.pdf#page=5"]</x:v>
      </x:c>
      <x:c r="L11" s="54" t="str">
        <x:v>ตรวจ QA ทิศทางคำแนะนำและแยกระดับความรุนแรงแล้วเมื่อ 2026-07-18; ยังรอ Clinical reviewer ยืนยันก่อนเผยแพร่</x:v>
      </x:c>
    </x:row>
  </x:sheetData>
  <x:conditionalFormatting sqref="F2:F11">
    <x:cfRule type="expression" dxfId="8" priority="1">
      <x:formula>F2="severe"</x:formula>
    </x:cfRule>
    <x:cfRule type="expression" dxfId="9" priority="2">
      <x:formula>F2="moderate"</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15" hidden="0" customWidth="1"/>
    <x:col min="4" max="4" width="15" hidden="0" customWidth="1"/>
    <x:col min="5" max="5" width="22" hidden="0" customWidth="1"/>
    <x:col min="6" max="6" width="68" hidden="0" customWidth="1"/>
    <x:col min="7" max="7" width="14" hidden="0" customWidth="1"/>
    <x:col min="8" max="8" width="80" hidden="0" customWidth="1"/>
    <x:col min="9" max="9" width="25" hidden="0" customWidth="1"/>
  </x:cols>
  <x:sheetData>
    <x:row r="1">
      <x:c r="A1" s="63" t="str">
        <x:v>drug_code</x:v>
      </x:c>
      <x:c r="B1" s="63" t="str">
        <x:v>food_code</x:v>
      </x:c>
      <x:c r="C1" s="63" t="str">
        <x:v>final_decision</x:v>
      </x:c>
      <x:c r="D1" s="63" t="str">
        <x:v>final_severity</x:v>
      </x:c>
      <x:c r="E1" s="63" t="str">
        <x:v>final_action</x:v>
      </x:c>
      <x:c r="F1" s="63" t="str">
        <x:v>reason_th</x:v>
      </x:c>
      <x:c r="G1" s="63" t="str">
        <x:v>source_count</x:v>
      </x:c>
      <x:c r="H1" s="63" t="str">
        <x:v>evidence_refs</x:v>
      </x:c>
      <x:c r="I1" s="63" t="str">
        <x:v>reviewer_status</x:v>
      </x:c>
    </x:row>
    <x:row r="2" ht="38" customHeight="1">
      <x:c r="A2" s="54" t="str">
        <x:v>atropine</x:v>
      </x:c>
      <x:c r="B2" s="54" t="str">
        <x:v>alcohol</x:v>
      </x:c>
      <x:c r="C2" s="54" t="str">
        <x:v>include</x:v>
      </x:c>
      <x:c r="D2" s="54" t="str">
        <x:v>moderate</x:v>
      </x:c>
      <x:c r="E2" s="54" t="str">
        <x:v>avoid_or_consult</x:v>
      </x:c>
      <x:c r="F2" s="54" t="str">
        <x:v>มีคำเตือนหรือข้อควรระวังตรงเกี่ยวกับแอลกอฮอล์ ลดจาก severe แบบเหมารวมเดิมเพื่อไม่ขยายความรุนแรงเกินหลักฐาน</x:v>
      </x:c>
      <x:c r="G2" s="54" t="n">
        <x:v>1</x:v>
      </x:c>
      <x:c r="H2" s="54" t="str">
        <x:v>r0029_smpc p.4</x:v>
      </x:c>
      <x:c r="I2" s="54" t="str">
        <x:v>รอผู้เชี่ยวชาญยืนยัน</x:v>
      </x:c>
    </x:row>
    <x:row r="3" ht="38" customHeight="1">
      <x:c r="A3" s="54" t="str">
        <x:v>cyclophosphamide</x:v>
      </x:c>
      <x:c r="B3" s="54" t="str">
        <x:v>alcohol</x:v>
      </x:c>
      <x:c r="C3" s="54" t="str">
        <x:v>include</x:v>
      </x:c>
      <x:c r="D3" s="54" t="str">
        <x:v>moderate</x:v>
      </x:c>
      <x:c r="E3" s="54" t="str">
        <x:v>avoid_or_consult</x:v>
      </x:c>
      <x:c r="F3" s="54" t="str">
        <x:v>มีคำเตือนหรือข้อควรระวังตรงเกี่ยวกับแอลกอฮอล์ ลดจาก severe แบบเหมารวมเดิมเพื่อไม่ขยายความรุนแรงเกินหลักฐาน</x:v>
      </x:c>
      <x:c r="G3" s="54" t="n">
        <x:v>4</x:v>
      </x:c>
      <x:c r="H3" s="54" t="str">
        <x:v>r0091_smpc p.12; r0091_smpc p.17; r0395_pil p.1; r0396_pil p.1</x:v>
      </x:c>
      <x:c r="I3" s="54" t="str">
        <x:v>รอผู้เชี่ยวชาญยืนยัน</x:v>
      </x:c>
    </x:row>
    <x:row r="4" ht="38" customHeight="1">
      <x:c r="A4" s="54" t="str">
        <x:v>dextromethorphan_hydrobromide</x:v>
      </x:c>
      <x:c r="B4" s="54" t="str">
        <x:v>alcohol</x:v>
      </x:c>
      <x:c r="C4" s="54" t="str">
        <x:v>include</x:v>
      </x:c>
      <x:c r="D4" s="54" t="str">
        <x:v>moderate</x:v>
      </x:c>
      <x:c r="E4" s="54" t="str">
        <x:v>avoid_or_consult</x:v>
      </x:c>
      <x:c r="F4" s="54" t="str">
        <x:v>มีคำเตือนหรือข้อควรระวังตรงเกี่ยวกับแอลกอฮอล์ ลดจาก severe แบบเหมารวมเดิมเพื่อไม่ขยายความรุนแรงเกินหลักฐาน</x:v>
      </x:c>
      <x:c r="G4" s="54" t="n">
        <x:v>2</x:v>
      </x:c>
      <x:c r="H4" s="54" t="str">
        <x:v>r0100_smpc p.3; r0101_smpc p.3</x:v>
      </x:c>
      <x:c r="I4" s="54" t="str">
        <x:v>รอผู้เชี่ยวชาญยืนยัน</x:v>
      </x:c>
    </x:row>
    <x:row r="5" ht="38" customHeight="1">
      <x:c r="A5" s="54" t="str">
        <x:v>diphenhydramine</x:v>
      </x:c>
      <x:c r="B5" s="54" t="str">
        <x:v>alcohol</x:v>
      </x:c>
      <x:c r="C5" s="54" t="str">
        <x:v>include</x:v>
      </x:c>
      <x:c r="D5" s="54" t="str">
        <x:v>moderate</x:v>
      </x:c>
      <x:c r="E5" s="54" t="str">
        <x:v>avoid_or_consult</x:v>
      </x:c>
      <x:c r="F5" s="54" t="str">
        <x:v>มีคำเตือนหรือข้อควรระวังตรงเกี่ยวกับแอลกอฮอล์ ลดจาก severe แบบเหมารวมเดิมเพื่อไม่ขยายความรุนแรงเกินหลักฐาน</x:v>
      </x:c>
      <x:c r="G5" s="54" t="n">
        <x:v>1</x:v>
      </x:c>
      <x:c r="H5" s="54" t="str">
        <x:v>r0414_pil p.1</x:v>
      </x:c>
      <x:c r="I5" s="54" t="str">
        <x:v>รอผู้เชี่ยวชาญยืนยัน</x:v>
      </x:c>
    </x:row>
    <x:row r="6" ht="38" customHeight="1">
      <x:c r="A6" s="54" t="str">
        <x:v>disulfiram</x:v>
      </x:c>
      <x:c r="B6" s="54" t="str">
        <x:v>alcohol</x:v>
      </x:c>
      <x:c r="C6" s="54" t="str">
        <x:v>include</x:v>
      </x:c>
      <x:c r="D6" s="54" t="str">
        <x:v>severe</x:v>
      </x:c>
      <x:c r="E6" s="54" t="str">
        <x:v>avoid</x:v>
      </x:c>
      <x:c r="F6" s="54" t="str">
        <x:v>มีคำเตือนตรงใน PIL/SmPC และมีถ้อยคำห้ามร่วมพร้อมหลักฐานความรุนแรงสูง จึงแยกจากกลุ่มเตือนทั่วไป</x:v>
      </x:c>
      <x:c r="G6" s="54" t="n">
        <x:v>5</x:v>
      </x:c>
      <x:c r="H6" s="54" t="str">
        <x:v>r0114_smpc p.1; r0114_smpc p.3; r0114_smpc p.4; r0114_smpc p.6; r0426_pil p.1</x:v>
      </x:c>
      <x:c r="I6" s="54" t="str">
        <x:v>รอผู้เชี่ยวชาญยืนยัน</x:v>
      </x:c>
    </x:row>
    <x:row r="7" ht="38" customHeight="1">
      <x:c r="A7" s="54" t="str">
        <x:v>doxycycline_hyclate</x:v>
      </x:c>
      <x:c r="B7" s="54" t="str">
        <x:v>alcohol</x:v>
      </x:c>
      <x:c r="C7" s="54" t="str">
        <x:v>include</x:v>
      </x:c>
      <x:c r="D7" s="54" t="str">
        <x:v>moderate</x:v>
      </x:c>
      <x:c r="E7" s="54" t="str">
        <x:v>avoid_or_consult</x:v>
      </x:c>
      <x:c r="F7" s="54" t="str">
        <x:v>มีคำเตือนหรือข้อควรระวังตรงเกี่ยวกับแอลกอฮอล์ ลดจาก severe แบบเหมารวมเดิมเพื่อไม่ขยายความรุนแรงเกินหลักฐาน</x:v>
      </x:c>
      <x:c r="G7" s="54" t="n">
        <x:v>1</x:v>
      </x:c>
      <x:c r="H7" s="54" t="str">
        <x:v>r0119_smpc p.9</x:v>
      </x:c>
      <x:c r="I7" s="54" t="str">
        <x:v>รอผู้เชี่ยวชาญยืนยัน</x:v>
      </x:c>
    </x:row>
    <x:row r="8" ht="38" customHeight="1">
      <x:c r="A8" s="54" t="str">
        <x:v>drug_0ec240fe15</x:v>
      </x:c>
      <x:c r="B8" s="54" t="str">
        <x:v>alcohol</x:v>
      </x:c>
      <x:c r="C8" s="54" t="str">
        <x:v>hold</x:v>
      </x:c>
      <x:c r="D8" s="54" t="str"/>
      <x:c r="E8" s="54" t="str">
        <x:v>hold</x:v>
      </x:c>
      <x:c r="F8" s="54" t="str">
        <x:v>รหัสยาไม่พร้อมใช้ในฐานข้อมูล และบริบทเป็นชื่อผลิตภัณฑ์/แอลกอฮอล์ในตัวยา ไม่ใช่ปฏิกิริยาอาหารกับยา</x:v>
      </x:c>
      <x:c r="G8" s="54" t="n">
        <x:v>1</x:v>
      </x:c>
      <x:c r="H8" s="54" t="str">
        <x:v>r0377_pil p.1</x:v>
      </x:c>
      <x:c r="I8" s="54" t="str">
        <x:v>ตรวจ QA แล้ว</x:v>
      </x:c>
    </x:row>
    <x:row r="9" ht="38" customHeight="1">
      <x:c r="A9" s="54" t="str">
        <x:v>drug_b4b2b3db2d</x:v>
      </x:c>
      <x:c r="B9" s="54" t="str">
        <x:v>alcohol</x:v>
      </x:c>
      <x:c r="C9" s="54" t="str">
        <x:v>hold</x:v>
      </x:c>
      <x:c r="D9" s="54" t="str"/>
      <x:c r="E9" s="54" t="str">
        <x:v>hold</x:v>
      </x:c>
      <x:c r="F9" s="54" t="str">
        <x:v>รหัสยาไม่พร้อมใช้ในฐานข้อมูล และบริบทเป็นชื่อผลิตภัณฑ์/แอลกอฮอล์ในตัวยา ไม่ใช่ปฏิกิริยาอาหารกับยา</x:v>
      </x:c>
      <x:c r="G9" s="54" t="n">
        <x:v>1</x:v>
      </x:c>
      <x:c r="H9" s="54" t="str">
        <x:v>r0378_pil p.1</x:v>
      </x:c>
      <x:c r="I9" s="54" t="str">
        <x:v>ตรวจ QA แล้ว</x:v>
      </x:c>
    </x:row>
    <x:row r="10" ht="38" customHeight="1">
      <x:c r="A10" s="54" t="str">
        <x:v>drug_cdacb08fe5</x:v>
      </x:c>
      <x:c r="B10" s="54" t="str">
        <x:v>alcohol</x:v>
      </x:c>
      <x:c r="C10" s="54" t="str">
        <x:v>hold</x:v>
      </x:c>
      <x:c r="D10" s="54" t="str"/>
      <x:c r="E10" s="54" t="str">
        <x:v>hold</x:v>
      </x:c>
      <x:c r="F10" s="54" t="str">
        <x:v>รหัสยาไม่พร้อมใช้ในฐานข้อมูล และบริบทเป็นชื่อผลิตภัณฑ์/แอลกอฮอล์ในตัวยา ไม่ใช่ปฏิกิริยาอาหารกับยา</x:v>
      </x:c>
      <x:c r="G10" s="54" t="n">
        <x:v>1</x:v>
      </x:c>
      <x:c r="H10" s="54" t="str">
        <x:v>r0368_pil p.1</x:v>
      </x:c>
      <x:c r="I10" s="54" t="str">
        <x:v>ตรวจ QA แล้ว</x:v>
      </x:c>
    </x:row>
    <x:row r="11" ht="38" customHeight="1">
      <x:c r="A11" s="54" t="str">
        <x:v>fenofibrate</x:v>
      </x:c>
      <x:c r="B11" s="54" t="str">
        <x:v>alcohol</x:v>
      </x:c>
      <x:c r="C11" s="54" t="str">
        <x:v>include</x:v>
      </x:c>
      <x:c r="D11" s="54" t="str">
        <x:v>moderate</x:v>
      </x:c>
      <x:c r="E11" s="54" t="str">
        <x:v>avoid_or_consult</x:v>
      </x:c>
      <x:c r="F11" s="54" t="str">
        <x:v>มีคำเตือนหรือข้อควรระวังตรงเกี่ยวกับแอลกอฮอล์ ลดจาก severe แบบเหมารวมเดิมเพื่อไม่ขยายความรุนแรงเกินหลักฐาน</x:v>
      </x:c>
      <x:c r="G11" s="54" t="n">
        <x:v>1</x:v>
      </x:c>
      <x:c r="H11" s="54" t="str">
        <x:v>r0142_pil p.1</x:v>
      </x:c>
      <x:c r="I11" s="54" t="str">
        <x:v>รอผู้เชี่ยวชาญยืนยัน</x:v>
      </x:c>
    </x:row>
    <x:row r="12" ht="38" customHeight="1">
      <x:c r="A12" s="54" t="str">
        <x:v>fluoxetine</x:v>
      </x:c>
      <x:c r="B12" s="54" t="str">
        <x:v>alcohol</x:v>
      </x:c>
      <x:c r="C12" s="54" t="str">
        <x:v>include</x:v>
      </x:c>
      <x:c r="D12" s="54" t="str">
        <x:v>moderate</x:v>
      </x:c>
      <x:c r="E12" s="54" t="str">
        <x:v>avoid_or_consult</x:v>
      </x:c>
      <x:c r="F12" s="54" t="str">
        <x:v>มีคำเตือนหรือข้อควรระวังตรงเกี่ยวกับแอลกอฮอล์ ลดจาก severe แบบเหมารวมเดิมเพื่อไม่ขยายความรุนแรงเกินหลักฐาน</x:v>
      </x:c>
      <x:c r="G12" s="54" t="n">
        <x:v>1</x:v>
      </x:c>
      <x:c r="H12" s="54" t="str">
        <x:v>r0149_smpc p.12</x:v>
      </x:c>
      <x:c r="I12" s="54" t="str">
        <x:v>รอผู้เชี่ยวชาญยืนยัน</x:v>
      </x:c>
    </x:row>
    <x:row r="13" ht="38" customHeight="1">
      <x:c r="A13" s="54" t="str">
        <x:v>gliclazide</x:v>
      </x:c>
      <x:c r="B13" s="54" t="str">
        <x:v>alcohol</x:v>
      </x:c>
      <x:c r="C13" s="54" t="str">
        <x:v>include</x:v>
      </x:c>
      <x:c r="D13" s="54" t="str">
        <x:v>severe</x:v>
      </x:c>
      <x:c r="E13" s="54" t="str">
        <x:v>avoid</x:v>
      </x:c>
      <x:c r="F13" s="54" t="str">
        <x:v>มีคำเตือนตรงใน PIL/SmPC และมีถ้อยคำห้ามร่วมพร้อมหลักฐานความรุนแรงสูง จึงแยกจากกลุ่มเตือนทั่วไป</x:v>
      </x:c>
      <x:c r="G13" s="54" t="n">
        <x:v>2</x:v>
      </x:c>
      <x:c r="H13" s="54" t="str">
        <x:v>r0159_smpc p.7; r0160_smpc p.6</x:v>
      </x:c>
      <x:c r="I13" s="54" t="str">
        <x:v>รอผู้เชี่ยวชาญยืนยัน</x:v>
      </x:c>
    </x:row>
    <x:row r="14" ht="38" customHeight="1">
      <x:c r="A14" s="54" t="str">
        <x:v>glipizide</x:v>
      </x:c>
      <x:c r="B14" s="54" t="str">
        <x:v>alcohol</x:v>
      </x:c>
      <x:c r="C14" s="54" t="str">
        <x:v>include</x:v>
      </x:c>
      <x:c r="D14" s="54" t="str">
        <x:v>severe</x:v>
      </x:c>
      <x:c r="E14" s="54" t="str">
        <x:v>avoid</x:v>
      </x:c>
      <x:c r="F14" s="54" t="str">
        <x:v>มีคำเตือนตรงใน PIL/SmPC และมีถ้อยคำห้ามร่วมพร้อมหลักฐานความรุนแรงสูง จึงแยกจากกลุ่มเตือนทั่วไป</x:v>
      </x:c>
      <x:c r="G14" s="54" t="n">
        <x:v>1</x:v>
      </x:c>
      <x:c r="H14" s="54" t="str">
        <x:v>r0161_smpc p.5</x:v>
      </x:c>
      <x:c r="I14" s="54" t="str">
        <x:v>รอผู้เชี่ยวชาญยืนยัน</x:v>
      </x:c>
    </x:row>
    <x:row r="15" ht="38" customHeight="1">
      <x:c r="A15" s="54" t="str">
        <x:v>griseofulvin</x:v>
      </x:c>
      <x:c r="B15" s="54" t="str">
        <x:v>alcohol</x:v>
      </x:c>
      <x:c r="C15" s="54" t="str">
        <x:v>include</x:v>
      </x:c>
      <x:c r="D15" s="54" t="str">
        <x:v>moderate</x:v>
      </x:c>
      <x:c r="E15" s="54" t="str">
        <x:v>avoid_or_consult</x:v>
      </x:c>
      <x:c r="F15" s="54" t="str">
        <x:v>มีคำเตือนหรือข้อควรระวังตรงเกี่ยวกับแอลกอฮอล์ ลดจาก severe แบบเหมารวมเดิมเพื่อไม่ขยายความรุนแรงเกินหลักฐาน</x:v>
      </x:c>
      <x:c r="G15" s="54" t="n">
        <x:v>1</x:v>
      </x:c>
      <x:c r="H15" s="54" t="str">
        <x:v>r0169_smpc p.6</x:v>
      </x:c>
      <x:c r="I15" s="54" t="str">
        <x:v>รอผู้เชี่ยวชาญยืนยัน</x:v>
      </x:c>
    </x:row>
    <x:row r="16" ht="38" customHeight="1">
      <x:c r="A16" s="54" t="str">
        <x:v>haloperidol</x:v>
      </x:c>
      <x:c r="B16" s="54" t="str">
        <x:v>alcohol</x:v>
      </x:c>
      <x:c r="C16" s="54" t="str">
        <x:v>include</x:v>
      </x:c>
      <x:c r="D16" s="54" t="str">
        <x:v>moderate</x:v>
      </x:c>
      <x:c r="E16" s="54" t="str">
        <x:v>avoid_or_consult</x:v>
      </x:c>
      <x:c r="F16" s="54" t="str">
        <x:v>มีคำเตือนหรือข้อควรระวังตรงเกี่ยวกับแอลกอฮอล์ ลดจาก severe แบบเหมารวมเดิมเพื่อไม่ขยายความรุนแรงเกินหลักฐาน</x:v>
      </x:c>
      <x:c r="G16" s="54" t="n">
        <x:v>1</x:v>
      </x:c>
      <x:c r="H16" s="54" t="str">
        <x:v>r0172_smpc p.11</x:v>
      </x:c>
      <x:c r="I16" s="54" t="str">
        <x:v>รอผู้เชี่ยวชาญยืนยัน</x:v>
      </x:c>
    </x:row>
    <x:row r="17" ht="38" customHeight="1">
      <x:c r="A17" s="54" t="str">
        <x:v>hydroxyzine</x:v>
      </x:c>
      <x:c r="B17" s="54" t="str">
        <x:v>alcohol</x:v>
      </x:c>
      <x:c r="C17" s="54" t="str">
        <x:v>include</x:v>
      </x:c>
      <x:c r="D17" s="54" t="str">
        <x:v>moderate</x:v>
      </x:c>
      <x:c r="E17" s="54" t="str">
        <x:v>avoid_or_consult</x:v>
      </x:c>
      <x:c r="F17" s="54" t="str">
        <x:v>มีคำเตือนหรือข้อควรระวังตรงเกี่ยวกับแอลกอฮอล์ ลดจาก severe แบบเหมารวมเดิมเพื่อไม่ขยายความรุนแรงเกินหลักฐาน</x:v>
      </x:c>
      <x:c r="G17" s="54" t="n">
        <x:v>1</x:v>
      </x:c>
      <x:c r="H17" s="54" t="str">
        <x:v>r0179_smpc p.6</x:v>
      </x:c>
      <x:c r="I17" s="54" t="str">
        <x:v>รอผู้เชี่ยวชาญยืนยัน</x:v>
      </x:c>
    </x:row>
    <x:row r="18" ht="38" customHeight="1">
      <x:c r="A18" s="54" t="str">
        <x:v>isoniazid</x:v>
      </x:c>
      <x:c r="B18" s="54" t="str">
        <x:v>alcohol</x:v>
      </x:c>
      <x:c r="C18" s="54" t="str">
        <x:v>include</x:v>
      </x:c>
      <x:c r="D18" s="54" t="str">
        <x:v>moderate</x:v>
      </x:c>
      <x:c r="E18" s="54" t="str">
        <x:v>avoid_or_consult</x:v>
      </x:c>
      <x:c r="F18" s="54" t="str">
        <x:v>มีคำเตือนหรือข้อควรระวังตรงเกี่ยวกับแอลกอฮอล์ ลดจาก severe แบบเหมารวมเดิมเพื่อไม่ขยายความรุนแรงเกินหลักฐาน</x:v>
      </x:c>
      <x:c r="G18" s="54" t="n">
        <x:v>1</x:v>
      </x:c>
      <x:c r="H18" s="54" t="str">
        <x:v>r0417_pil p.1</x:v>
      </x:c>
      <x:c r="I18" s="54" t="str">
        <x:v>รอผู้เชี่ยวชาญยืนยัน</x:v>
      </x:c>
    </x:row>
    <x:row r="19" ht="38" customHeight="1">
      <x:c r="A19" s="54" t="str">
        <x:v>mefenamic_acid</x:v>
      </x:c>
      <x:c r="B19" s="54" t="str">
        <x:v>alcohol</x:v>
      </x:c>
      <x:c r="C19" s="54" t="str">
        <x:v>include</x:v>
      </x:c>
      <x:c r="D19" s="54" t="str">
        <x:v>moderate</x:v>
      </x:c>
      <x:c r="E19" s="54" t="str">
        <x:v>avoid_or_consult</x:v>
      </x:c>
      <x:c r="F19" s="54" t="str">
        <x:v>มีคำเตือนหรือข้อควรระวังตรงเกี่ยวกับแอลกอฮอล์ ลดจาก severe แบบเหมารวมเดิมเพื่อไม่ขยายความรุนแรงเกินหลักฐาน</x:v>
      </x:c>
      <x:c r="G19" s="54" t="n">
        <x:v>1</x:v>
      </x:c>
      <x:c r="H19" s="54" t="str">
        <x:v>r0226_smpc p.6</x:v>
      </x:c>
      <x:c r="I19" s="54" t="str">
        <x:v>รอผู้เชี่ยวชาญยืนยัน</x:v>
      </x:c>
    </x:row>
    <x:row r="20" ht="38" customHeight="1">
      <x:c r="A20" s="54" t="str">
        <x:v>metformin</x:v>
      </x:c>
      <x:c r="B20" s="54" t="str">
        <x:v>alcohol</x:v>
      </x:c>
      <x:c r="C20" s="54" t="str">
        <x:v>include</x:v>
      </x:c>
      <x:c r="D20" s="54" t="str">
        <x:v>moderate</x:v>
      </x:c>
      <x:c r="E20" s="54" t="str">
        <x:v>avoid_or_consult</x:v>
      </x:c>
      <x:c r="F20" s="54" t="str">
        <x:v>มีคำเตือนหรือข้อควรระวังตรงเกี่ยวกับแอลกอฮอล์ ลดจาก severe แบบเหมารวมเดิมเพื่อไม่ขยายความรุนแรงเกินหลักฐาน</x:v>
      </x:c>
      <x:c r="G20" s="54" t="n">
        <x:v>1</x:v>
      </x:c>
      <x:c r="H20" s="54" t="str">
        <x:v>r0228_smpc p.7</x:v>
      </x:c>
      <x:c r="I20" s="54" t="str">
        <x:v>รอผู้เชี่ยวชาญยืนยัน</x:v>
      </x:c>
    </x:row>
    <x:row r="21" ht="38" customHeight="1">
      <x:c r="A21" s="54" t="str">
        <x:v>methocarbamol</x:v>
      </x:c>
      <x:c r="B21" s="54" t="str">
        <x:v>alcohol</x:v>
      </x:c>
      <x:c r="C21" s="54" t="str">
        <x:v>include</x:v>
      </x:c>
      <x:c r="D21" s="54" t="str">
        <x:v>moderate</x:v>
      </x:c>
      <x:c r="E21" s="54" t="str">
        <x:v>avoid_or_consult</x:v>
      </x:c>
      <x:c r="F21" s="54" t="str">
        <x:v>มีคำเตือนหรือข้อควรระวังตรงเกี่ยวกับแอลกอฮอล์ ลดจาก severe แบบเหมารวมเดิมเพื่อไม่ขยายความรุนแรงเกินหลักฐาน</x:v>
      </x:c>
      <x:c r="G21" s="54" t="n">
        <x:v>1</x:v>
      </x:c>
      <x:c r="H21" s="54" t="str">
        <x:v>r0230_smpc p.4</x:v>
      </x:c>
      <x:c r="I21" s="54" t="str">
        <x:v>รอผู้เชี่ยวชาญยืนยัน</x:v>
      </x:c>
    </x:row>
    <x:row r="22" ht="38" customHeight="1">
      <x:c r="A22" s="54" t="str">
        <x:v>methotrexate</x:v>
      </x:c>
      <x:c r="B22" s="54" t="str">
        <x:v>alcohol</x:v>
      </x:c>
      <x:c r="C22" s="54" t="str">
        <x:v>include</x:v>
      </x:c>
      <x:c r="D22" s="54" t="str">
        <x:v>moderate</x:v>
      </x:c>
      <x:c r="E22" s="54" t="str">
        <x:v>avoid_or_consult</x:v>
      </x:c>
      <x:c r="F22" s="54" t="str">
        <x:v>มีคำเตือนหรือข้อควรระวังตรงเกี่ยวกับแอลกอฮอล์ ลดจาก severe แบบเหมารวมเดิมเพื่อไม่ขยายความรุนแรงเกินหลักฐาน</x:v>
      </x:c>
      <x:c r="G22" s="54" t="n">
        <x:v>1</x:v>
      </x:c>
      <x:c r="H22" s="54" t="str">
        <x:v>r0399_pil p.1</x:v>
      </x:c>
      <x:c r="I22" s="54" t="str">
        <x:v>รอผู้เชี่ยวชาญยืนยัน</x:v>
      </x:c>
    </x:row>
    <x:row r="23" ht="38" customHeight="1">
      <x:c r="A23" s="54" t="str">
        <x:v>metoclopramide</x:v>
      </x:c>
      <x:c r="B23" s="54" t="str">
        <x:v>alcohol</x:v>
      </x:c>
      <x:c r="C23" s="54" t="str">
        <x:v>include</x:v>
      </x:c>
      <x:c r="D23" s="54" t="str">
        <x:v>moderate</x:v>
      </x:c>
      <x:c r="E23" s="54" t="str">
        <x:v>avoid_or_consult</x:v>
      </x:c>
      <x:c r="F23" s="54" t="str">
        <x:v>มีคำเตือนหรือข้อควรระวังตรงเกี่ยวกับแอลกอฮอล์ ลดจาก severe แบบเหมารวมเดิมเพื่อไม่ขยายความรุนแรงเกินหลักฐาน</x:v>
      </x:c>
      <x:c r="G23" s="54" t="n">
        <x:v>3</x:v>
      </x:c>
      <x:c r="H23" s="54" t="str">
        <x:v>r0236_smpc p.7; r0237_smpc p.10; r0238_smpc p.6</x:v>
      </x:c>
      <x:c r="I23" s="54" t="str">
        <x:v>รอผู้เชี่ยวชาญยืนยัน</x:v>
      </x:c>
    </x:row>
    <x:row r="24" ht="38" customHeight="1">
      <x:c r="A24" s="54" t="str">
        <x:v>metronidazole</x:v>
      </x:c>
      <x:c r="B24" s="54" t="str">
        <x:v>alcohol</x:v>
      </x:c>
      <x:c r="C24" s="54" t="str">
        <x:v>include</x:v>
      </x:c>
      <x:c r="D24" s="54" t="str">
        <x:v>moderate</x:v>
      </x:c>
      <x:c r="E24" s="54" t="str">
        <x:v>avoid_or_consult</x:v>
      </x:c>
      <x:c r="F24" s="54" t="str">
        <x:v>มีคำเตือนหรือข้อควรระวังตรงเกี่ยวกับแอลกอฮอล์ ลดจาก severe แบบเหมารวมเดิมเพื่อไม่ขยายความรุนแรงเกินหลักฐาน</x:v>
      </x:c>
      <x:c r="G24" s="54" t="n">
        <x:v>2</x:v>
      </x:c>
      <x:c r="H24" s="54" t="str">
        <x:v>r0239_smpc p.7; r0240_smpc p.8</x:v>
      </x:c>
      <x:c r="I24" s="54" t="str">
        <x:v>รอผู้เชี่ยวชาญยืนยัน</x:v>
      </x:c>
    </x:row>
    <x:row r="25" ht="38" customHeight="1">
      <x:c r="A25" s="54" t="str">
        <x:v>mianserin</x:v>
      </x:c>
      <x:c r="B25" s="54" t="str">
        <x:v>alcohol</x:v>
      </x:c>
      <x:c r="C25" s="54" t="str">
        <x:v>include</x:v>
      </x:c>
      <x:c r="D25" s="54" t="str">
        <x:v>moderate</x:v>
      </x:c>
      <x:c r="E25" s="54" t="str">
        <x:v>avoid_or_consult</x:v>
      </x:c>
      <x:c r="F25" s="54" t="str">
        <x:v>มีคำเตือนหรือข้อควรระวังตรงเกี่ยวกับแอลกอฮอล์ ลดจาก severe แบบเหมารวมเดิมเพื่อไม่ขยายความรุนแรงเกินหลักฐาน</x:v>
      </x:c>
      <x:c r="G25" s="54" t="n">
        <x:v>1</x:v>
      </x:c>
      <x:c r="H25" s="54" t="str">
        <x:v>r0241_smpc p.6</x:v>
      </x:c>
      <x:c r="I25" s="54" t="str">
        <x:v>รอผู้เชี่ยวชาญยืนยัน</x:v>
      </x:c>
    </x:row>
    <x:row r="26" ht="38" customHeight="1">
      <x:c r="A26" s="54" t="str">
        <x:v>niclosamide</x:v>
      </x:c>
      <x:c r="B26" s="54" t="str">
        <x:v>alcohol</x:v>
      </x:c>
      <x:c r="C26" s="54" t="str">
        <x:v>include</x:v>
      </x:c>
      <x:c r="D26" s="54" t="str">
        <x:v>moderate</x:v>
      </x:c>
      <x:c r="E26" s="54" t="str">
        <x:v>avoid_or_consult</x:v>
      </x:c>
      <x:c r="F26" s="54" t="str">
        <x:v>มีคำเตือนหรือข้อควรระวังตรงเกี่ยวกับแอลกอฮอล์ ลดจาก severe แบบเหมารวมเดิมเพื่อไม่ขยายความรุนแรงเกินหลักฐาน</x:v>
      </x:c>
      <x:c r="G26" s="54" t="n">
        <x:v>1</x:v>
      </x:c>
      <x:c r="H26" s="54" t="str">
        <x:v>r0420_pil p.1</x:v>
      </x:c>
      <x:c r="I26" s="54" t="str">
        <x:v>รอผู้เชี่ยวชาญยืนยัน</x:v>
      </x:c>
    </x:row>
    <x:row r="27" ht="38" customHeight="1">
      <x:c r="A27" s="54" t="str">
        <x:v>nortriptyline</x:v>
      </x:c>
      <x:c r="B27" s="54" t="str">
        <x:v>alcohol</x:v>
      </x:c>
      <x:c r="C27" s="54" t="str">
        <x:v>include</x:v>
      </x:c>
      <x:c r="D27" s="54" t="str">
        <x:v>moderate</x:v>
      </x:c>
      <x:c r="E27" s="54" t="str">
        <x:v>avoid_or_consult</x:v>
      </x:c>
      <x:c r="F27" s="54" t="str">
        <x:v>มีคำเตือนหรือข้อควรระวังตรงเกี่ยวกับแอลกอฮอล์ ลดจาก severe แบบเหมารวมเดิมเพื่อไม่ขยายความรุนแรงเกินหลักฐาน</x:v>
      </x:c>
      <x:c r="G27" s="54" t="n">
        <x:v>1</x:v>
      </x:c>
      <x:c r="H27" s="54" t="str">
        <x:v>r0257_smpc p.9</x:v>
      </x:c>
      <x:c r="I27" s="54" t="str">
        <x:v>รอผู้เชี่ยวชาญยืนยัน</x:v>
      </x:c>
    </x:row>
    <x:row r="28" ht="38" customHeight="1">
      <x:c r="A28" s="54" t="str">
        <x:v>paracetamol</x:v>
      </x:c>
      <x:c r="B28" s="54" t="str">
        <x:v>alcohol</x:v>
      </x:c>
      <x:c r="C28" s="54" t="str">
        <x:v>include</x:v>
      </x:c>
      <x:c r="D28" s="54" t="str">
        <x:v>moderate</x:v>
      </x:c>
      <x:c r="E28" s="54" t="str">
        <x:v>avoid_or_consult</x:v>
      </x:c>
      <x:c r="F28" s="54" t="str">
        <x:v>มีคำเตือนหรือข้อควรระวังตรงเกี่ยวกับแอลกอฮอล์ ลดจาก severe แบบเหมารวมเดิมเพื่อไม่ขยายความรุนแรงเกินหลักฐาน</x:v>
      </x:c>
      <x:c r="G28" s="54" t="n">
        <x:v>18</x:v>
      </x:c>
      <x:c r="H28" s="54" t="str">
        <x:v>r0266_smpc p.2; r0266_smpc p.4; r0266_smpc p.7; r0267_smpc p.2; r0267_smpc p.4; r0267_smpc p.7; r0268_smpc p.5; r0268_smpc p.6; r0268_smpc p.9; r0269_smpc p.2; r0269_smpc p.4; r0269_smpc p.7; r0273_smpc p.2; r0273_smpc p.4; r0273_smpc p.7; r0274_smpc p.2; r0274_smpc p.4; r0274_smpc p.7</x:v>
      </x:c>
      <x:c r="I28" s="54" t="str">
        <x:v>รอผู้เชี่ยวชาญยืนยัน</x:v>
      </x:c>
    </x:row>
    <x:row r="29" ht="38" customHeight="1">
      <x:c r="A29" s="54" t="str">
        <x:v>pimozide</x:v>
      </x:c>
      <x:c r="B29" s="54" t="str">
        <x:v>alcohol</x:v>
      </x:c>
      <x:c r="C29" s="54" t="str">
        <x:v>include</x:v>
      </x:c>
      <x:c r="D29" s="54" t="str">
        <x:v>moderate</x:v>
      </x:c>
      <x:c r="E29" s="54" t="str">
        <x:v>avoid_or_consult</x:v>
      </x:c>
      <x:c r="F29" s="54" t="str">
        <x:v>มีคำเตือนหรือข้อควรระวังตรงเกี่ยวกับแอลกอฮอล์ ลดจาก severe แบบเหมารวมเดิมเพื่อไม่ขยายความรุนแรงเกินหลักฐาน</x:v>
      </x:c>
      <x:c r="G29" s="54" t="n">
        <x:v>2</x:v>
      </x:c>
      <x:c r="H29" s="54" t="str">
        <x:v>r0278_smpc p.9; r0422_pil p.1</x:v>
      </x:c>
      <x:c r="I29" s="54" t="str">
        <x:v>รอผู้เชี่ยวชาญยืนยัน</x:v>
      </x:c>
    </x:row>
    <x:row r="30" ht="38" customHeight="1">
      <x:c r="A30" s="54" t="str">
        <x:v>piroxicam</x:v>
      </x:c>
      <x:c r="B30" s="54" t="str">
        <x:v>alcohol</x:v>
      </x:c>
      <x:c r="C30" s="54" t="str">
        <x:v>include</x:v>
      </x:c>
      <x:c r="D30" s="54" t="str">
        <x:v>moderate</x:v>
      </x:c>
      <x:c r="E30" s="54" t="str">
        <x:v>avoid_or_consult</x:v>
      </x:c>
      <x:c r="F30" s="54" t="str">
        <x:v>มีคำเตือนหรือข้อควรระวังตรงเกี่ยวกับแอลกอฮอล์ ลดจาก severe แบบเหมารวมเดิมเพื่อไม่ขยายความรุนแรงเกินหลักฐาน</x:v>
      </x:c>
      <x:c r="G30" s="54" t="n">
        <x:v>1</x:v>
      </x:c>
      <x:c r="H30" s="54" t="str">
        <x:v>r0279_smpc p.4</x:v>
      </x:c>
      <x:c r="I30" s="54" t="str">
        <x:v>รอผู้เชี่ยวชาญยืนยัน</x:v>
      </x:c>
    </x:row>
    <x:row r="31" ht="38" customHeight="1">
      <x:c r="A31" s="54" t="str">
        <x:v>pizotifen_malate</x:v>
      </x:c>
      <x:c r="B31" s="54" t="str">
        <x:v>alcohol</x:v>
      </x:c>
      <x:c r="C31" s="54" t="str">
        <x:v>include</x:v>
      </x:c>
      <x:c r="D31" s="54" t="str">
        <x:v>moderate</x:v>
      </x:c>
      <x:c r="E31" s="54" t="str">
        <x:v>avoid_or_consult</x:v>
      </x:c>
      <x:c r="F31" s="54" t="str">
        <x:v>มีคำเตือนหรือข้อควรระวังตรงเกี่ยวกับแอลกอฮอล์ ลดจาก severe แบบเหมารวมเดิมเพื่อไม่ขยายความรุนแรงเกินหลักฐาน</x:v>
      </x:c>
      <x:c r="G31" s="54" t="n">
        <x:v>3</x:v>
      </x:c>
      <x:c r="H31" s="54" t="str">
        <x:v>r0283_pil p.1; r0284_pil p.1; r0285_pil p.1</x:v>
      </x:c>
      <x:c r="I31" s="54" t="str">
        <x:v>รอผู้เชี่ยวชาญยืนยัน</x:v>
      </x:c>
    </x:row>
    <x:row r="32" ht="38" customHeight="1">
      <x:c r="A32" s="54" t="str">
        <x:v>propofol</x:v>
      </x:c>
      <x:c r="B32" s="54" t="str">
        <x:v>alcohol</x:v>
      </x:c>
      <x:c r="C32" s="54" t="str">
        <x:v>include</x:v>
      </x:c>
      <x:c r="D32" s="54" t="str">
        <x:v>moderate</x:v>
      </x:c>
      <x:c r="E32" s="54" t="str">
        <x:v>avoid_or_consult</x:v>
      </x:c>
      <x:c r="F32" s="54" t="str">
        <x:v>มีคำเตือนหรือข้อควรระวังตรงเกี่ยวกับแอลกอฮอล์ ลดจาก severe แบบเหมารวมเดิมเพื่อไม่ขยายความรุนแรงเกินหลักฐาน</x:v>
      </x:c>
      <x:c r="G32" s="54" t="n">
        <x:v>2</x:v>
      </x:c>
      <x:c r="H32" s="54" t="str">
        <x:v>r0436_smpc p.11; r0436_smpc p.12</x:v>
      </x:c>
      <x:c r="I32" s="54" t="str">
        <x:v>รอผู้เชี่ยวชาญยืนยัน</x:v>
      </x:c>
    </x:row>
    <x:row r="33" ht="38" customHeight="1">
      <x:c r="A33" s="54" t="str">
        <x:v>simvastatin</x:v>
      </x:c>
      <x:c r="B33" s="54" t="str">
        <x:v>alcohol</x:v>
      </x:c>
      <x:c r="C33" s="54" t="str">
        <x:v>include</x:v>
      </x:c>
      <x:c r="D33" s="54" t="str">
        <x:v>moderate</x:v>
      </x:c>
      <x:c r="E33" s="54" t="str">
        <x:v>avoid_or_consult</x:v>
      </x:c>
      <x:c r="F33" s="54" t="str">
        <x:v>มีคำเตือนหรือข้อควรระวังตรงเกี่ยวกับแอลกอฮอล์ ลดจาก severe แบบเหมารวมเดิมเพื่อไม่ขยายความรุนแรงเกินหลักฐาน</x:v>
      </x:c>
      <x:c r="G33" s="54" t="n">
        <x:v>1</x:v>
      </x:c>
      <x:c r="H33" s="54" t="str">
        <x:v>r0309_pil p.1</x:v>
      </x:c>
      <x:c r="I33" s="54" t="str">
        <x:v>รอผู้เชี่ยวชาญยืนยัน</x:v>
      </x:c>
    </x:row>
    <x:row r="34" ht="38" customHeight="1">
      <x:c r="A34" s="54" t="str">
        <x:v>theophylline</x:v>
      </x:c>
      <x:c r="B34" s="54" t="str">
        <x:v>alcohol</x:v>
      </x:c>
      <x:c r="C34" s="54" t="str">
        <x:v>include</x:v>
      </x:c>
      <x:c r="D34" s="54" t="str">
        <x:v>moderate</x:v>
      </x:c>
      <x:c r="E34" s="54" t="str">
        <x:v>avoid_or_consult</x:v>
      </x:c>
      <x:c r="F34" s="54" t="str">
        <x:v>มีคำเตือนหรือข้อควรระวังตรงเกี่ยวกับแอลกอฮอล์ ลดจาก severe แบบเหมารวมเดิมเพื่อไม่ขยายความรุนแรงเกินหลักฐาน</x:v>
      </x:c>
      <x:c r="G34" s="54" t="n">
        <x:v>1</x:v>
      </x:c>
      <x:c r="H34" s="54" t="str">
        <x:v>r0339_pil p.1</x:v>
      </x:c>
      <x:c r="I34" s="54" t="str">
        <x:v>รอผู้เชี่ยวชาญยืนยัน</x:v>
      </x:c>
    </x:row>
    <x:row r="35" ht="38" customHeight="1">
      <x:c r="A35" s="54" t="str">
        <x:v>tinidazole</x:v>
      </x:c>
      <x:c r="B35" s="54" t="str">
        <x:v>alcohol</x:v>
      </x:c>
      <x:c r="C35" s="54" t="str">
        <x:v>include</x:v>
      </x:c>
      <x:c r="D35" s="54" t="str">
        <x:v>moderate</x:v>
      </x:c>
      <x:c r="E35" s="54" t="str">
        <x:v>avoid_or_consult</x:v>
      </x:c>
      <x:c r="F35" s="54" t="str">
        <x:v>มีคำเตือนหรือข้อควรระวังตรงเกี่ยวกับแอลกอฮอล์ ลดจาก severe แบบเหมารวมเดิมเพื่อไม่ขยายความรุนแรงเกินหลักฐาน</x:v>
      </x:c>
      <x:c r="G35" s="54" t="n">
        <x:v>2</x:v>
      </x:c>
      <x:c r="H35" s="54" t="str">
        <x:v>r0346_smpc p.6; r0346_smpc p.7</x:v>
      </x:c>
      <x:c r="I35" s="54" t="str">
        <x:v>รอผู้เชี่ยวชาญยืนยัน</x:v>
      </x:c>
    </x:row>
    <x:row r="36" ht="38" customHeight="1">
      <x:c r="A36" s="54" t="str">
        <x:v>tramadol</x:v>
      </x:c>
      <x:c r="B36" s="54" t="str">
        <x:v>alcohol</x:v>
      </x:c>
      <x:c r="C36" s="54" t="str">
        <x:v>include</x:v>
      </x:c>
      <x:c r="D36" s="54" t="str">
        <x:v>severe</x:v>
      </x:c>
      <x:c r="E36" s="54" t="str">
        <x:v>avoid</x:v>
      </x:c>
      <x:c r="F36" s="54" t="str">
        <x:v>มีคำเตือนตรงใน PIL/SmPC และมีถ้อยคำห้ามร่วมพร้อมหลักฐานความรุนแรงสูง จึงแยกจากกลุ่มเตือนทั่วไป</x:v>
      </x:c>
      <x:c r="G36" s="54" t="n">
        <x:v>2</x:v>
      </x:c>
      <x:c r="H36" s="54" t="str">
        <x:v>r0350_smpc p.8; r0351_smpc p.9</x:v>
      </x:c>
      <x:c r="I36" s="54" t="str">
        <x:v>รอผู้เชี่ยวชาญยืนยัน</x:v>
      </x:c>
    </x:row>
    <x:row r="37" ht="38" customHeight="1">
      <x:c r="A37" s="54" t="str">
        <x:v>trazodone</x:v>
      </x:c>
      <x:c r="B37" s="54" t="str">
        <x:v>alcohol</x:v>
      </x:c>
      <x:c r="C37" s="54" t="str">
        <x:v>include</x:v>
      </x:c>
      <x:c r="D37" s="54" t="str">
        <x:v>moderate</x:v>
      </x:c>
      <x:c r="E37" s="54" t="str">
        <x:v>avoid_or_consult</x:v>
      </x:c>
      <x:c r="F37" s="54" t="str">
        <x:v>มีคำเตือนหรือข้อควรระวังตรงเกี่ยวกับแอลกอฮอล์ ลดจาก severe แบบเหมารวมเดิมเพื่อไม่ขยายความรุนแรงเกินหลักฐาน</x:v>
      </x:c>
      <x:c r="G37" s="54" t="n">
        <x:v>2</x:v>
      </x:c>
      <x:c r="H37" s="54" t="str">
        <x:v>r0352_smpc p.11; r0431_pil p.1</x:v>
      </x:c>
      <x:c r="I37" s="54" t="str">
        <x:v>รอผู้เชี่ยวชาญยืนยัน</x:v>
      </x:c>
    </x:row>
    <x:row r="38" ht="38" customHeight="1">
      <x:c r="A38" s="54" t="str">
        <x:v>ciprofloxacin</x:v>
      </x:c>
      <x:c r="B38" s="54" t="str">
        <x:v>calcium_fortified_drinks</x:v>
      </x:c>
      <x:c r="C38" s="54" t="str">
        <x:v>include</x:v>
      </x:c>
      <x:c r="D38" s="54" t="str">
        <x:v>moderate</x:v>
      </x:c>
      <x:c r="E38" s="54" t="str">
        <x:v>separate</x:v>
      </x:c>
      <x:c r="F38" s="54" t="str">
        <x:v>เอกสารกำกับยาระบุไม่ให้รับประทานยาพร้อมเครื่องดื่มเสริมแคลเซียมเพียงอย่างเดียว</x:v>
      </x:c>
      <x:c r="G38" s="54" t="n">
        <x:v>2</x:v>
      </x:c>
      <x:c r="H38" s="54" t="str">
        <x:v>r0071_smpc p.15; r0073_smpc p.17</x:v>
      </x:c>
      <x:c r="I38" s="54" t="str">
        <x:v>รอผู้เชี่ยวชาญยืนยัน</x:v>
      </x:c>
    </x:row>
    <x:row r="39" ht="38" customHeight="1">
      <x:c r="A39" s="54" t="str">
        <x:v>bromhexine</x:v>
      </x:c>
      <x:c r="B39" s="54" t="str">
        <x:v>food_meal</x:v>
      </x:c>
      <x:c r="C39" s="54" t="str">
        <x:v>exclude</x:v>
      </x:c>
      <x:c r="D39" s="54" t="str"/>
      <x:c r="E39" s="54" t="str">
        <x:v>no_actionable_evidence</x:v>
      </x:c>
      <x:c r="F39" s="54" t="str">
        <x:v>หน้าที่อ้างอิงไม่พบคำแนะนำเกี่ยวกับอาหารหรือมื้ออาหาร จึงตัด false positive ออก</x:v>
      </x:c>
      <x:c r="G39" s="54" t="n">
        <x:v>1</x:v>
      </x:c>
      <x:c r="H39" s="54" t="str">
        <x:v>r0039_smpc p.6</x:v>
      </x:c>
      <x:c r="I39" s="54" t="str">
        <x:v>ตรวจ QA แล้ว</x:v>
      </x:c>
    </x:row>
    <x:row r="40" ht="38" customHeight="1">
      <x:c r="A40" s="54" t="str">
        <x:v>rifampicin</x:v>
      </x:c>
      <x:c r="B40" s="54" t="str">
        <x:v>food_meal</x:v>
      </x:c>
      <x:c r="C40" s="54" t="str">
        <x:v>include</x:v>
      </x:c>
      <x:c r="D40" s="54" t="str">
        <x:v>moderate</x:v>
      </x:c>
      <x:c r="E40" s="54" t="str">
        <x:v>separate</x:v>
      </x:c>
      <x:c r="F40" s="54" t="str">
        <x:v>เอกสารกำกับยาระบุให้ใช้ยาขณะท้องว่างหรือแยกจากมื้ออาหาร</x:v>
      </x:c>
      <x:c r="G40" s="54" t="n">
        <x:v>1</x:v>
      </x:c>
      <x:c r="H40" s="54" t="str">
        <x:v>r0305_smpc p.18</x:v>
      </x:c>
      <x:c r="I40" s="54" t="str">
        <x:v>รอผู้เชี่ยวชาญยืนยัน</x:v>
      </x:c>
    </x:row>
    <x:row r="41" ht="38" customHeight="1">
      <x:c r="A41" s="54" t="str">
        <x:v>terbutaline</x:v>
      </x:c>
      <x:c r="B41" s="54" t="str">
        <x:v>food_meal</x:v>
      </x:c>
      <x:c r="C41" s="54" t="str">
        <x:v>exclude</x:v>
      </x:c>
      <x:c r="D41" s="54" t="str"/>
      <x:c r="E41" s="54" t="str">
        <x:v>no_actionable_evidence</x:v>
      </x:c>
      <x:c r="F41" s="54" t="str">
        <x:v>พบเพียงข้อมูลเภสัชจลนศาสตร์ว่าอาหารเปลี่ยน bioavailability แต่ไม่มีคำแนะนำวิธีใช้ที่ชัดเจน</x:v>
      </x:c>
      <x:c r="G41" s="54" t="n">
        <x:v>2</x:v>
      </x:c>
      <x:c r="H41" s="54" t="str">
        <x:v>r0335_smpc p.15; r0336_smpc p.8</x:v>
      </x:c>
      <x:c r="I41" s="54" t="str">
        <x:v>ตรวจ QA แล้ว</x:v>
      </x:c>
    </x:row>
    <x:row r="42" ht="38" customHeight="1">
      <x:c r="A42" s="54" t="str">
        <x:v>colchicine</x:v>
      </x:c>
      <x:c r="B42" s="54" t="str">
        <x:v>grapefruit</x:v>
      </x:c>
      <x:c r="C42" s="54" t="str">
        <x:v>include</x:v>
      </x:c>
      <x:c r="D42" s="54" t="str">
        <x:v>moderate</x:v>
      </x:c>
      <x:c r="E42" s="54" t="str">
        <x:v>avoid</x:v>
      </x:c>
      <x:c r="F42" s="54" t="str">
        <x:v>เอกสารกำกับยาระบุไม่ให้รับประทานเกรปฟรุตหรือน้ำเกรปฟรุตพร้อมยานี้</x:v>
      </x:c>
      <x:c r="G42" s="54" t="n">
        <x:v>1</x:v>
      </x:c>
      <x:c r="H42" s="54" t="str">
        <x:v>r0087_smpc p.6</x:v>
      </x:c>
      <x:c r="I42" s="54" t="str">
        <x:v>รอผู้เชี่ยวชาญยืนยัน</x:v>
      </x:c>
    </x:row>
    <x:row r="43" ht="38" customHeight="1">
      <x:c r="A43" s="54" t="str">
        <x:v>felodipine</x:v>
      </x:c>
      <x:c r="B43" s="54" t="str">
        <x:v>grapefruit</x:v>
      </x:c>
      <x:c r="C43" s="54" t="str">
        <x:v>include</x:v>
      </x:c>
      <x:c r="D43" s="54" t="str">
        <x:v>moderate</x:v>
      </x:c>
      <x:c r="E43" s="54" t="str">
        <x:v>avoid</x:v>
      </x:c>
      <x:c r="F43" s="54" t="str">
        <x:v>เอกสารกำกับยาระบุไม่ให้รับประทานเกรปฟรุตหรือน้ำเกรปฟรุตพร้อมยานี้</x:v>
      </x:c>
      <x:c r="G43" s="54" t="n">
        <x:v>1</x:v>
      </x:c>
      <x:c r="H43" s="54" t="str">
        <x:v>r0141_smpc p.5</x:v>
      </x:c>
      <x:c r="I43" s="54" t="str">
        <x:v>รอผู้เชี่ยวชาญยืนยัน</x:v>
      </x:c>
    </x:row>
    <x:row r="44" ht="38" customHeight="1">
      <x:c r="A44" s="54" t="str">
        <x:v>albendazole</x:v>
      </x:c>
      <x:c r="B44" s="54" t="str">
        <x:v>high_fat_meal</x:v>
      </x:c>
      <x:c r="C44" s="54" t="str">
        <x:v>exclude</x:v>
      </x:c>
      <x:c r="D44" s="54" t="str"/>
      <x:c r="E44" s="54" t="str">
        <x:v>positive_instruction</x:v>
      </x:c>
      <x:c r="F44" s="54" t="str">
        <x:v>เอกสารระบุว่าอาหารไขมันช่วยเพิ่มการดูดซึม เป็นคำแนะนำเชิงบวก ไม่ใช่ข้อห้าม</x:v>
      </x:c>
      <x:c r="G44" s="54" t="n">
        <x:v>1</x:v>
      </x:c>
      <x:c r="H44" s="54" t="str">
        <x:v>r0012_smpc p.14</x:v>
      </x:c>
      <x:c r="I44" s="54" t="str">
        <x:v>ตรวจ QA แล้ว</x:v>
      </x:c>
    </x:row>
    <x:row r="45" ht="38" customHeight="1">
      <x:c r="A45" s="54" t="str">
        <x:v>diclofenac</x:v>
      </x:c>
      <x:c r="B45" s="54" t="str">
        <x:v>high_fat_meal</x:v>
      </x:c>
      <x:c r="C45" s="54" t="str">
        <x:v>exclude</x:v>
      </x:c>
      <x:c r="D45" s="54" t="str"/>
      <x:c r="E45" s="54" t="str">
        <x:v>positive_instruction</x:v>
      </x:c>
      <x:c r="F45" s="54" t="str">
        <x:v>เอกสารระบุว่าอาหารไขมันทำให้ถึงระดับสูงสุดช้าลง แต่การดูดซึมรวมไม่เปลี่ยน จึงไม่ควรแจ้งว่าให้หลีกเลี่ยง</x:v>
      </x:c>
      <x:c r="G45" s="54" t="n">
        <x:v>1</x:v>
      </x:c>
      <x:c r="H45" s="54" t="str">
        <x:v>r0104_smpc p.16</x:v>
      </x:c>
      <x:c r="I45" s="54" t="str">
        <x:v>ตรวจ QA แล้ว</x:v>
      </x:c>
    </x:row>
    <x:row r="46" ht="38" customHeight="1">
      <x:c r="A46" s="54" t="str">
        <x:v>griseofulvin</x:v>
      </x:c>
      <x:c r="B46" s="54" t="str">
        <x:v>high_fat_meal</x:v>
      </x:c>
      <x:c r="C46" s="54" t="str">
        <x:v>exclude</x:v>
      </x:c>
      <x:c r="D46" s="54" t="str"/>
      <x:c r="E46" s="54" t="str">
        <x:v>positive_instruction</x:v>
      </x:c>
      <x:c r="F46" s="54" t="str">
        <x:v>เอกสารระบุให้รับประทานหลังอาหารไขมันสูง ข้อมูลเดิมแปลทิศทางกลับเป็น avoid/severe</x:v>
      </x:c>
      <x:c r="G46" s="54" t="n">
        <x:v>3</x:v>
      </x:c>
      <x:c r="H46" s="54" t="str">
        <x:v>r0169_smpc p.2; r0169_smpc p.5; r0169_smpc p.14</x:v>
      </x:c>
      <x:c r="I46" s="54" t="str">
        <x:v>ตรวจ QA แล้ว</x:v>
      </x:c>
    </x:row>
    <x:row r="47" ht="38" customHeight="1">
      <x:c r="A47" s="54" t="str">
        <x:v>mebendazole</x:v>
      </x:c>
      <x:c r="B47" s="54" t="str">
        <x:v>high_fat_meal</x:v>
      </x:c>
      <x:c r="C47" s="54" t="str">
        <x:v>exclude</x:v>
      </x:c>
      <x:c r="D47" s="54" t="str"/>
      <x:c r="E47" s="54" t="str">
        <x:v>positive_instruction</x:v>
      </x:c>
      <x:c r="F47" s="54" t="str">
        <x:v>เอกสารระบุว่าอาหารไขมันเพิ่ม bioavailability แต่ไม่ได้สั่งให้หลีกเลี่ยง จึงพักไว้สำหรับโมดูลวิธีรับประทานยา</x:v>
      </x:c>
      <x:c r="G47" s="54" t="n">
        <x:v>1</x:v>
      </x:c>
      <x:c r="H47" s="54" t="str">
        <x:v>r0221_smpc p.7</x:v>
      </x:c>
      <x:c r="I47" s="54" t="str">
        <x:v>ตรวจ QA แล้ว</x:v>
      </x:c>
    </x:row>
    <x:row r="48" ht="38" customHeight="1">
      <x:c r="A48" s="54" t="str">
        <x:v>carbidopa_levodopa</x:v>
      </x:c>
      <x:c r="B48" s="54" t="str">
        <x:v>high_protein_meal</x:v>
      </x:c>
      <x:c r="C48" s="54" t="str">
        <x:v>include</x:v>
      </x:c>
      <x:c r="D48" s="54" t="str">
        <x:v>moderate</x:v>
      </x:c>
      <x:c r="E48" s="54" t="str">
        <x:v>avoid_together</x:v>
      </x:c>
      <x:c r="F48" s="54" t="str">
        <x:v>PIL ภาษาไทยระบุให้หลีกเลี่ยงการรับประทานยาพร้อมอาหารโปรตีนสูงมาก</x:v>
      </x:c>
      <x:c r="G48" s="54" t="n">
        <x:v>2</x:v>
      </x:c>
      <x:c r="H48" s="54" t="str">
        <x:v>r0439_pil p.1; r0439_smpc p.10</x:v>
      </x:c>
      <x:c r="I48" s="54" t="str">
        <x:v>รอผู้เชี่ยวชาญยืนยัน</x:v>
      </x:c>
    </x:row>
    <x:row r="49" ht="38" customHeight="1">
      <x:c r="A49" s="54" t="str">
        <x:v>bisacodyl</x:v>
      </x:c>
      <x:c r="B49" s="54" t="str">
        <x:v>milk_dairy</x:v>
      </x:c>
      <x:c r="C49" s="54" t="str">
        <x:v>include</x:v>
      </x:c>
      <x:c r="D49" s="54" t="str">
        <x:v>moderate</x:v>
      </x:c>
      <x:c r="E49" s="54" t="str">
        <x:v>separate</x:v>
      </x:c>
      <x:c r="F49" s="54" t="str">
        <x:v>เอกสารกำกับยาระบุว่านมหรือผลิตภัณฑ์นมไม่ควรรับประทานพร้อมยา หรือควรแยกเวลา</x:v>
      </x:c>
      <x:c r="G49" s="54" t="n">
        <x:v>1</x:v>
      </x:c>
      <x:c r="H49" s="54" t="str">
        <x:v>r0036_smpc p.4</x:v>
      </x:c>
      <x:c r="I49" s="54" t="str">
        <x:v>รอผู้เชี่ยวชาญยืนยัน</x:v>
      </x:c>
    </x:row>
    <x:row r="50" ht="38" customHeight="1">
      <x:c r="A50" s="54" t="str">
        <x:v>ciprofloxacin</x:v>
      </x:c>
      <x:c r="B50" s="54" t="str">
        <x:v>milk_dairy</x:v>
      </x:c>
      <x:c r="C50" s="54" t="str">
        <x:v>include</x:v>
      </x:c>
      <x:c r="D50" s="54" t="str">
        <x:v>moderate</x:v>
      </x:c>
      <x:c r="E50" s="54" t="str">
        <x:v>separate</x:v>
      </x:c>
      <x:c r="F50" s="54" t="str">
        <x:v>เอกสารกำกับยาระบุว่านมหรือผลิตภัณฑ์นมไม่ควรรับประทานพร้อมยา หรือควรแยกเวลา</x:v>
      </x:c>
      <x:c r="G50" s="54" t="n">
        <x:v>3</x:v>
      </x:c>
      <x:c r="H50" s="54" t="str">
        <x:v>r0071_smpc p.5; r0071_smpc p.15; r0073_smpc p.17</x:v>
      </x:c>
      <x:c r="I50" s="54" t="str">
        <x:v>รอผู้เชี่ยวชาญยืนยัน</x:v>
      </x:c>
    </x:row>
    <x:row r="51" ht="38" customHeight="1">
      <x:c r="A51" s="54" t="str">
        <x:v>ferrous</x:v>
      </x:c>
      <x:c r="B51" s="54" t="str">
        <x:v>milk_dairy</x:v>
      </x:c>
      <x:c r="C51" s="54" t="str">
        <x:v>include</x:v>
      </x:c>
      <x:c r="D51" s="54" t="str">
        <x:v>moderate</x:v>
      </x:c>
      <x:c r="E51" s="54" t="str">
        <x:v>separate</x:v>
      </x:c>
      <x:c r="F51" s="54" t="str">
        <x:v>เอกสารกำกับยาระบุว่านมหรือผลิตภัณฑ์นมไม่ควรรับประทานพร้อมยา หรือควรแยกเวลา</x:v>
      </x:c>
      <x:c r="G51" s="54" t="n">
        <x:v>1</x:v>
      </x:c>
      <x:c r="H51" s="54" t="str">
        <x:v>r0145_smpc p.5</x:v>
      </x:c>
      <x:c r="I51" s="54" t="str">
        <x:v>รอผู้เชี่ยวชาญยืนยัน</x:v>
      </x:c>
    </x:row>
    <x:row r="52" ht="38" customHeight="1">
      <x:c r="A52" s="54" t="str">
        <x:v>oxytetracycline</x:v>
      </x:c>
      <x:c r="B52" s="54" t="str">
        <x:v>milk_dairy</x:v>
      </x:c>
      <x:c r="C52" s="54" t="str">
        <x:v>include</x:v>
      </x:c>
      <x:c r="D52" s="54" t="str">
        <x:v>moderate</x:v>
      </x:c>
      <x:c r="E52" s="54" t="str">
        <x:v>separate</x:v>
      </x:c>
      <x:c r="F52" s="54" t="str">
        <x:v>เอกสารกำกับยาระบุว่านมหรือผลิตภัณฑ์นมไม่ควรรับประทานพร้อมยา หรือควรแยกเวลา</x:v>
      </x:c>
      <x:c r="G52" s="54" t="n">
        <x:v>4</x:v>
      </x:c>
      <x:c r="H52" s="54" t="str">
        <x:v>r0264_smpc p.4; r0264_smpc p.6; r0264_smpc p.9; r0264_smpc p.10</x:v>
      </x:c>
      <x:c r="I52" s="54" t="str">
        <x:v>รอผู้เชี่ยวชาญยืนยัน</x:v>
      </x:c>
    </x:row>
    <x:row r="53" ht="38" customHeight="1">
      <x:c r="A53" s="54" t="str">
        <x:v>tetracycline</x:v>
      </x:c>
      <x:c r="B53" s="54" t="str">
        <x:v>milk_dairy</x:v>
      </x:c>
      <x:c r="C53" s="54" t="str">
        <x:v>include</x:v>
      </x:c>
      <x:c r="D53" s="54" t="str">
        <x:v>moderate</x:v>
      </x:c>
      <x:c r="E53" s="54" t="str">
        <x:v>separate</x:v>
      </x:c>
      <x:c r="F53" s="54" t="str">
        <x:v>เอกสารกำกับยาระบุว่านมหรือผลิตภัณฑ์นมไม่ควรรับประทานพร้อมยา หรือควรแยกเวลา</x:v>
      </x:c>
      <x:c r="G53" s="54" t="n">
        <x:v>3</x:v>
      </x:c>
      <x:c r="H53" s="54" t="str">
        <x:v>r0338_smpc p.2; r0338_smpc p.6; r0338_smpc p.11</x:v>
      </x:c>
      <x:c r="I53" s="54" t="str">
        <x:v>รอผู้เชี่ยวชาญยืนยัน</x:v>
      </x:c>
    </x:row>
    <x:row r="54" ht="38" customHeight="1">
      <x:c r="A54" s="54" t="str">
        <x:v>zinc</x:v>
      </x:c>
      <x:c r="B54" s="54" t="str">
        <x:v>milk_dairy</x:v>
      </x:c>
      <x:c r="C54" s="54" t="str">
        <x:v>include</x:v>
      </x:c>
      <x:c r="D54" s="54" t="str">
        <x:v>moderate</x:v>
      </x:c>
      <x:c r="E54" s="54" t="str">
        <x:v>separate</x:v>
      </x:c>
      <x:c r="F54" s="54" t="str">
        <x:v>เอกสารกำกับยาระบุว่านมหรือผลิตภัณฑ์นมไม่ควรรับประทานพร้อมยา หรือควรแยกเวลา</x:v>
      </x:c>
      <x:c r="G54" s="54" t="n">
        <x:v>1</x:v>
      </x:c>
      <x:c r="H54" s="54" t="str">
        <x:v>r0367_smpc p.3</x:v>
      </x:c>
      <x:c r="I54" s="54" t="str">
        <x:v>รอผู้เชี่ยวชาญยืนยัน</x:v>
      </x:c>
    </x:row>
    <x:row r="55" ht="38" customHeight="1">
      <x:c r="A55" s="54" t="str">
        <x:v>enalapril</x:v>
      </x:c>
      <x:c r="B55" s="54" t="str">
        <x:v>potassium_rich</x:v>
      </x:c>
      <x:c r="C55" s="54" t="str">
        <x:v>include</x:v>
      </x:c>
      <x:c r="D55" s="54" t="str">
        <x:v>severe</x:v>
      </x:c>
      <x:c r="E55" s="54" t="str">
        <x:v>avoid_and_consult</x:v>
      </x:c>
      <x:c r="F55" s="54" t="str">
        <x:v>เอกสารระบุข้อห้าม/ความเสี่ยงรุนแรงสำหรับโพแทสเซียมหรือเกลือทดแทนเมื่อใช้ร่วมกับยานี้</x:v>
      </x:c>
      <x:c r="G55" s="54" t="n">
        <x:v>2</x:v>
      </x:c>
      <x:c r="H55" s="54" t="str">
        <x:v>r0122_smpc p.10; r0122_smpc p.12</x:v>
      </x:c>
      <x:c r="I55" s="54" t="str">
        <x:v>รอผู้เชี่ยวชาญยืนยัน</x:v>
      </x:c>
    </x:row>
    <x:row r="56" ht="38" customHeight="1">
      <x:c r="A56" s="54" t="str">
        <x:v>hydrochlorothiazide_amiloride</x:v>
      </x:c>
      <x:c r="B56" s="54" t="str">
        <x:v>potassium_rich</x:v>
      </x:c>
      <x:c r="C56" s="54" t="str">
        <x:v>include</x:v>
      </x:c>
      <x:c r="D56" s="54" t="str">
        <x:v>severe</x:v>
      </x:c>
      <x:c r="E56" s="54" t="str">
        <x:v>avoid_and_consult</x:v>
      </x:c>
      <x:c r="F56" s="54" t="str">
        <x:v>เอกสารระบุข้อห้าม/ความเสี่ยงรุนแรงสำหรับโพแทสเซียมหรือเกลือทดแทนเมื่อใช้ร่วมกับยานี้</x:v>
      </x:c>
      <x:c r="G56" s="54" t="n">
        <x:v>1</x:v>
      </x:c>
      <x:c r="H56" s="54" t="str">
        <x:v>r0173_smpc p.3</x:v>
      </x:c>
      <x:c r="I56" s="54" t="str">
        <x:v>รอผู้เชี่ยวชาญยืนยัน</x:v>
      </x:c>
    </x:row>
    <x:row r="57" ht="38" customHeight="1">
      <x:c r="A57" s="54" t="str">
        <x:v>lisinopril</x:v>
      </x:c>
      <x:c r="B57" s="54" t="str">
        <x:v>potassium_rich</x:v>
      </x:c>
      <x:c r="C57" s="54" t="str">
        <x:v>include</x:v>
      </x:c>
      <x:c r="D57" s="54" t="str">
        <x:v>moderate</x:v>
      </x:c>
      <x:c r="E57" s="54" t="str">
        <x:v>limit_and_consult</x:v>
      </x:c>
      <x:c r="F57" s="54" t="str">
        <x:v>เอกสารระบุให้ระวังและติดตามเมื่อใช้โพแทสเซียมหรือเกลือทดแทนร่วมกับยานี้</x:v>
      </x:c>
      <x:c r="G57" s="54" t="n">
        <x:v>1</x:v>
      </x:c>
      <x:c r="H57" s="54" t="str">
        <x:v>r0213_smpc p.14</x:v>
      </x:c>
      <x:c r="I57" s="54" t="str">
        <x:v>รอผู้เชี่ยวชาญยืนยัน</x:v>
      </x:c>
    </x:row>
    <x:row r="58" ht="38" customHeight="1">
      <x:c r="A58" s="54" t="str">
        <x:v>ferrous</x:v>
      </x:c>
      <x:c r="B58" s="54" t="str">
        <x:v>tea</x:v>
      </x:c>
      <x:c r="C58" s="54" t="str">
        <x:v>include</x:v>
      </x:c>
      <x:c r="D58" s="54" t="str">
        <x:v>moderate</x:v>
      </x:c>
      <x:c r="E58" s="54" t="str">
        <x:v>separate</x:v>
      </x:c>
      <x:c r="F58" s="54" t="str">
        <x:v>เอกสารกำกับยาระบุว่าชาไม่ควรรับประทานพร้อมยาธาตุเหล็ก</x:v>
      </x:c>
      <x:c r="G58" s="54" t="n">
        <x:v>3</x:v>
      </x:c>
      <x:c r="H58" s="54" t="str">
        <x:v>r0143_smpc p.4; r0144_smpc p.4; r0145_smpc p.5</x:v>
      </x:c>
      <x:c r="I58" s="54" t="str">
        <x:v>รอผู้เชี่ยวชาญยืนยัน</x:v>
      </x:c>
    </x:row>
  </x:sheetData>
  <x:conditionalFormatting sqref="C2:C58">
    <x:cfRule type="expression" dxfId="10" priority="1">
      <x:formula>C2="include"</x:formula>
    </x:cfRule>
    <x:cfRule type="expression" dxfId="11" priority="2">
      <x:formula>C2="exclude"</x:formula>
    </x:cfRule>
    <x:cfRule type="expression" dxfId="12" priority="3">
      <x:formula>C2="hold"</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18" hidden="0" customWidth="1"/>
    <x:col min="4" max="4" width="18" hidden="0" customWidth="1"/>
  </x:cols>
  <x:sheetData>
    <x:row r="1" ht="42" customHeight="1">
      <x:c r="A1" s="67" t="str">
        <x:v>Food interactions — Final QA</x:v>
      </x:c>
      <x:c r="B1" s="67"/>
      <x:c r="C1" s="67"/>
      <x:c r="D1" s="67"/>
    </x:row>
    <x:row r="2" ht="28" customHeight="1">
      <x:c r="A2" s="69" t="str">
        <x:v>ตรวจเมื่อ 2026-07-18 | แหล่งข้อมูล PIL/SmPC จากเว็บไซต์ อย.</x:v>
      </x:c>
      <x:c r="B2" s="69" t="str"/>
      <x:c r="C2" s="69" t="str"/>
      <x:c r="D2" s="69" t="str"/>
    </x:row>
    <x:row r="3" ht="28" customHeight="1"/>
    <x:row r="4" ht="28" customHeight="1">
      <x:c r="A4" s="51" t="str">
        <x:v>รายการตรวจ</x:v>
      </x:c>
      <x:c r="B4" s="51" t="str">
        <x:v>ค่าที่คาด</x:v>
      </x:c>
      <x:c r="C4" s="51" t="str">
        <x:v>ผลจริง</x:v>
      </x:c>
      <x:c r="D4" s="51" t="str">
        <x:v>สถานะ</x:v>
      </x:c>
    </x:row>
    <x:row r="5" ht="28" customHeight="1">
      <x:c r="A5" s="70" t="str">
        <x:v>คู่ข้อมูลทั้งหมด</x:v>
      </x:c>
      <x:c r="B5" s="70" t="n">
        <x:v>57</x:v>
      </x:c>
      <x:c r="C5" s="71" t="n">
        <x:f>COUNTA('Pair_Decisions'!A2:A58)</x:f>
        <x:v>57</x:v>
      </x:c>
      <x:c r="D5" s="70" t="str">
        <x:f>IF(B5=C5,"ผ่าน","ไม่ผ่าน")</x:f>
        <x:v>ผ่าน</x:v>
      </x:c>
    </x:row>
    <x:row r="6" ht="28" customHeight="1">
      <x:c r="A6" s="70" t="str">
        <x:v>คู่ที่พร้อมเป็น Draft</x:v>
      </x:c>
      <x:c r="B6" s="70" t="n">
        <x:v>48</x:v>
      </x:c>
      <x:c r="C6" s="71" t="n">
        <x:f>COUNTIF('Pair_Decisions'!C2:C58,"include")</x:f>
        <x:v>48</x:v>
      </x:c>
      <x:c r="D6" s="70" t="str">
        <x:f>IF(B6=C6,"ผ่าน","ไม่ผ่าน")</x:f>
        <x:v>ผ่าน</x:v>
      </x:c>
    </x:row>
    <x:row r="7" ht="28" customHeight="1">
      <x:c r="A7" s="70" t="str">
        <x:v>คู่ที่ตัดออก</x:v>
      </x:c>
      <x:c r="B7" s="70" t="n">
        <x:v>6</x:v>
      </x:c>
      <x:c r="C7" s="71" t="n">
        <x:f>COUNTIF('Pair_Decisions'!C2:C58,"exclude")</x:f>
        <x:v>6</x:v>
      </x:c>
      <x:c r="D7" s="70" t="str">
        <x:f>IF(B7=C7,"ผ่าน","ไม่ผ่าน")</x:f>
        <x:v>ผ่าน</x:v>
      </x:c>
    </x:row>
    <x:row r="8" ht="28" customHeight="1">
      <x:c r="A8" s="70" t="str">
        <x:v>คู่ที่พักไว้</x:v>
      </x:c>
      <x:c r="B8" s="70" t="n">
        <x:v>3</x:v>
      </x:c>
      <x:c r="C8" s="71" t="n">
        <x:f>COUNTIF('Pair_Decisions'!C2:C58,"hold")</x:f>
        <x:v>3</x:v>
      </x:c>
      <x:c r="D8" s="70" t="str">
        <x:f>IF(B8=C8,"ผ่าน","ไม่ผ่าน")</x:f>
        <x:v>ผ่าน</x:v>
      </x:c>
    </x:row>
    <x:row r="9" ht="28" customHeight="1">
      <x:c r="A9" s="70" t="str">
        <x:v>แถวนำเข้า</x:v>
      </x:c>
      <x:c r="B9" s="70" t="n">
        <x:v>10</x:v>
      </x:c>
      <x:c r="C9" s="71" t="n">
        <x:f>COUNTA('Import_Ready'!A2:A11)</x:f>
        <x:v>10</x:v>
      </x:c>
      <x:c r="D9" s="70" t="str">
        <x:f>IF(B9=C9,"ผ่าน","ไม่ผ่าน")</x:f>
        <x:v>ผ่าน</x:v>
      </x:c>
    </x:row>
    <x:row r="10" ht="28" customHeight="1">
      <x:c r="A10" s="70" t="str">
        <x:v>แถวระดับ severe</x:v>
      </x:c>
      <x:c r="B10" s="70" t="n">
        <x:v>2</x:v>
      </x:c>
      <x:c r="C10" s="71" t="n">
        <x:f>COUNTIF('Import_Ready'!F2:F11,"severe")</x:f>
        <x:v>2</x:v>
      </x:c>
      <x:c r="D10" s="70" t="str">
        <x:f>IF(B10=C10,"ผ่าน","ไม่ผ่าน")</x:f>
        <x:v>ผ่าน</x:v>
      </x:c>
    </x:row>
    <x:row r="11" ht="28" customHeight="1">
      <x:c r="A11" s="70" t="str">
        <x:v>แถวสถานะ draft</x:v>
      </x:c>
      <x:c r="B11" s="70" t="n">
        <x:v>10</x:v>
      </x:c>
      <x:c r="C11" s="71" t="n">
        <x:f>COUNTIF('Import_Ready'!J2:J11,"draft")</x:f>
        <x:v>10</x:v>
      </x:c>
      <x:c r="D11" s="70" t="str">
        <x:f>IF(B11=C11,"ผ่าน","ไม่ผ่าน")</x:f>
        <x:v>ผ่าน</x:v>
      </x:c>
    </x:row>
    <x:row r="12" ht="28" customHeight="1"/>
    <x:row r="13" ht="28" customHeight="1">
      <x:c r="A13" s="76" t="str">
        <x:v>เงื่อนไขก่อนเผยแพร่</x:v>
      </x:c>
      <x:c r="B13" s="76"/>
      <x:c r="C13" s="76"/>
      <x:c r="D13" s="76"/>
    </x:row>
    <x:row r="14" ht="28" customHeight="1">
      <x:c r="A14" s="79" t="str">
        <x:v>1</x:v>
      </x:c>
      <x:c r="B14" s="79" t="str">
        <x:v>SQL ชุดนี้นำเข้าเป็น draft เท่านั้น</x:v>
      </x:c>
      <x:c r="C14" s="79" t="str"/>
      <x:c r="D14" s="79" t="str"/>
    </x:row>
    <x:row r="15" ht="28" customHeight="1">
      <x:c r="A15" s="79" t="str">
        <x:v>2</x:v>
      </x:c>
      <x:c r="B15" s="79" t="str">
        <x:v>ให้ Clinical reviewer ตรวจทุกแถวที่ final_decision = include</x:v>
      </x:c>
      <x:c r="C15" s="79" t="str"/>
      <x:c r="D15" s="79" t="str"/>
    </x:row>
    <x:row r="16" ht="28" customHeight="1">
      <x:c r="A16" s="79" t="str">
        <x:v>3</x:v>
      </x:c>
      <x:c r="B16" s="79" t="str">
        <x:v>ลง reviewed_at และเปลี่ยน status ภายหลังการตรวจจริง</x:v>
      </x:c>
      <x:c r="C16" s="79" t="str"/>
      <x:c r="D16" s="79" t="str"/>
    </x:row>
    <x:row r="17" ht="28" customHeight="1">
      <x:c r="A17" s="79" t="str">
        <x:v>4</x:v>
      </x:c>
      <x:c r="B17" s="79" t="str">
        <x:v>กลุ่มอาหารไขมันสูงถูกตัดออกจากคำเตือน เพราะหลักฐานเป็นคำแนะนำวิธีรับประทานหรือไม่มีข้อห้าม</x:v>
      </x:c>
      <x:c r="C17" s="79" t="str"/>
      <x:c r="D17" s="79" t="str"/>
    </x:row>
    <x:row r="18" ht="28" customHeight="1">
      <x:c r="A18" s="79" t="str">
        <x:v>5</x:v>
      </x:c>
      <x:c r="B18" s="79" t="str">
        <x:v>ข้อความแจ้งผู้ใช้ไม่บอกรายละเอียดผลร้าย ใช้เพียง ห้าม/หลีกเลี่ยง/เว้นช่วง/ปรึกษาผู้เชี่ยวชาญ</x:v>
      </x:c>
      <x:c r="C18" s="79" t="str"/>
      <x:c r="D18" s="79" t="str"/>
    </x:row>
  </x:sheetData>
  <x:mergeCells>
    <x:mergeCell ref="A1:D1"/>
    <x:mergeCell ref="A2:D2"/>
    <x:mergeCell ref="A13:D13"/>
    <x:mergeCell ref="B14:D14"/>
    <x:mergeCell ref="B15:D15"/>
    <x:mergeCell ref="B16:D16"/>
    <x:mergeCell ref="B17:D17"/>
    <x:mergeCell ref="B18:D18"/>
  </x:mergeCells>
  <x:conditionalFormatting sqref="D5:D11">
    <x:cfRule type="expression" dxfId="13" priority="1">
      <x:formula>D5="ผ่าน"</x:formula>
    </x:cfRule>
    <x:cfRule type="expression" dxfId="14" priority="2">
      <x:formula>D5="ไม่ผ่าน"</x:formula>
    </x:cfRule>
  </x:conditionalFormatting>
  <x:pageMargins left="0.7" right="0.7" top="0.75" bottom="0.75" header="0.3" footer="0.3"/>
</x:worksheet>
</file>