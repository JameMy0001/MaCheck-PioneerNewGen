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ad08ee23394cb2" /></Relationships>
</file>

<file path=xl/workbook.xml><?xml version="1.0" encoding="utf-8"?>
<x:workbook xmlns:x="http://schemas.openxmlformats.org/spreadsheetml/2006/main">
  <x:sheets>
    <x:sheet xmlns:r="http://schemas.openxmlformats.org/officeDocument/2006/relationships" name="Import_Summary" sheetId="1" r:id="R0f5e6c8929ba408b"/>
    <x:sheet xmlns:r="http://schemas.openxmlformats.org/officeDocument/2006/relationships" name="Medications_Source" sheetId="2" r:id="R4ae9273984c34df7"/>
    <x:sheet xmlns:r="http://schemas.openxmlformats.org/officeDocument/2006/relationships" name="Medications_Ready" sheetId="3" r:id="R83ae569f967944ea"/>
    <x:sheet xmlns:r="http://schemas.openxmlformats.org/officeDocument/2006/relationships" name="Interactions_Source" sheetId="4" r:id="R5adb0206e8e1468a"/>
    <x:sheet xmlns:r="http://schemas.openxmlformats.org/officeDocument/2006/relationships" name="Interactions_Ready" sheetId="5" r:id="R1ac4e833ce1b4989"/>
    <x:sheet xmlns:r="http://schemas.openxmlformats.org/officeDocument/2006/relationships" name="Excluded_15" sheetId="6" r:id="R3d5adf4b11fe4967"/>
    <x:sheet xmlns:r="http://schemas.openxmlformats.org/officeDocument/2006/relationships" name="Documents" sheetId="7" r:id="Ra1e1561159a445de"/>
    <x:sheet xmlns:r="http://schemas.openxmlformats.org/officeDocument/2006/relationships" name="Clinical_Evidence" sheetId="8" r:id="Rb642ca4a3b794635"/>
    <x:sheet xmlns:r="http://schemas.openxmlformats.org/officeDocument/2006/relationships" name="Review_Queue" sheetId="9" r:id="Raeaf418954854096"/>
    <x:sheet xmlns:r="http://schemas.openxmlformats.org/officeDocument/2006/relationships" name="Data_Dictionary" sheetId="10" r:id="Rddac09661b9f45e2"/>
    <x:sheet xmlns:r="http://schemas.openxmlformats.org/officeDocument/2006/relationships" name="QA_Checks" sheetId="11" r:id="Rc81a94409a514a7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20"/>
      <x:color rgb="FFFFFFFF"/>
      <x:name val="Carlito"/>
    </x:font>
    <x:font>
      <x:b/>
      <x:sz val="11"/>
      <x:color rgb="FFFFFFFF"/>
      <x:name val="Carlito"/>
    </x:font>
    <x:font>
      <x:b/>
      <x:sz val="12"/>
      <x:color rgb="FFFFFFFF"/>
      <x:name val="Carlito"/>
    </x:font>
    <x:font>
      <x:i/>
      <x:sz val="11"/>
      <x:color rgb="FF16324F"/>
      <x:name val="Carlito"/>
    </x:font>
    <x:font>
      <x:sz val="10"/>
      <x:color rgb="FF17212B"/>
      <x:name val="Carlito"/>
    </x:font>
    <x:font>
      <x:b/>
      <x:sz val="10"/>
      <x:color rgb="FFFFFFFF"/>
      <x:name val="Carlito"/>
    </x:font>
    <x:font>
      <x:b/>
      <x:sz val="16"/>
      <x:color rgb="FFFFFFFF"/>
      <x:name val="Carlito"/>
    </x:font>
  </x:fonts>
  <x:fills count="7">
    <x:fill>
      <x:patternFill patternType="none"/>
    </x:fill>
    <x:fill>
      <x:patternFill patternType="gray125"/>
    </x:fill>
    <x:fill>
      <x:patternFill patternType="solid">
        <x:fgColor rgb="FF16324F"/>
      </x:patternFill>
    </x:fill>
    <x:fill>
      <x:patternFill patternType="solid">
        <x:fgColor rgb="FF176B63"/>
      </x:patternFill>
    </x:fill>
    <x:fill>
      <x:patternFill patternType="solid">
        <x:fgColor rgb="FFEEF1F4"/>
      </x:patternFill>
    </x:fill>
    <x:fill>
      <x:patternFill patternType="solid">
        <x:fgColor rgb="FFDDEFF7"/>
      </x:patternFill>
    </x:fill>
    <x:fill>
      <x:patternFill patternType="solid">
        <x:fgColor rgb="FFFFF4CC"/>
      </x:patternFill>
    </x:fill>
  </x:fills>
  <x:borders count="10">
    <x:border/>
    <x:border>
      <x:right style="thin">
        <x:color rgb="FFCAD3DC"/>
      </x:right>
      <x:bottom style="thin">
        <x:color rgb="FFCAD3DC"/>
      </x:bottom>
    </x:border>
    <x:border>
      <x:left style="thin">
        <x:color rgb="FFCAD3DC"/>
      </x:left>
      <x:right style="thin">
        <x:color rgb="FFCAD3DC"/>
      </x:right>
      <x:bottom style="thin">
        <x:color rgb="FFCAD3DC"/>
      </x:bottom>
    </x:border>
    <x:border>
      <x:left style="thin">
        <x:color rgb="FFCAD3DC"/>
      </x:left>
      <x:bottom style="thin">
        <x:color rgb="FFCAD3DC"/>
      </x:bottom>
    </x:border>
    <x:border>
      <x:right style="thin">
        <x:color rgb="FFCAD3DC"/>
      </x:right>
      <x:top style="thin">
        <x:color rgb="FFCAD3DC"/>
      </x:top>
      <x:bottom style="thin">
        <x:color rgb="FFCAD3DC"/>
      </x:bottom>
    </x:border>
    <x:border>
      <x:left style="thin">
        <x:color rgb="FFCAD3DC"/>
      </x:left>
      <x:right style="thin">
        <x:color rgb="FFCAD3DC"/>
      </x:right>
      <x:top style="thin">
        <x:color rgb="FFCAD3DC"/>
      </x:top>
      <x:bottom style="thin">
        <x:color rgb="FFCAD3DC"/>
      </x:bottom>
    </x:border>
    <x:border>
      <x:left style="thin">
        <x:color rgb="FFCAD3DC"/>
      </x:left>
      <x:top style="thin">
        <x:color rgb="FFCAD3DC"/>
      </x:top>
      <x:bottom style="thin">
        <x:color rgb="FFCAD3DC"/>
      </x:bottom>
    </x:border>
    <x:border>
      <x:right style="thin">
        <x:color rgb="FFCAD3DC"/>
      </x:right>
      <x:top style="thin">
        <x:color rgb="FFCAD3DC"/>
      </x:top>
    </x:border>
    <x:border>
      <x:left style="thin">
        <x:color rgb="FFCAD3DC"/>
      </x:left>
      <x:right style="thin">
        <x:color rgb="FFCAD3DC"/>
      </x:right>
      <x:top style="thin">
        <x:color rgb="FFCAD3DC"/>
      </x:top>
    </x:border>
    <x:border>
      <x:left style="thin">
        <x:color rgb="FFCAD3DC"/>
      </x:left>
      <x:top style="thin">
        <x:color rgb="FFCAD3DC"/>
      </x:top>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3" borderId="1" xfId="0" applyNumberFormat="1" applyFont="1" applyFill="1" applyBorder="1"/>
    <x:xf numFmtId="0" fontId="0" fillId="3" borderId="2" xfId="0" applyNumberFormat="1" applyFont="1" applyFill="1" applyBorder="1"/>
    <x:xf numFmtId="0" fontId="0" fillId="3" borderId="3"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200" fontId="0" fillId="0" borderId="5" xfId="0" applyNumberFormat="1" applyFont="1" applyFill="1" applyBorder="1"/>
    <x:xf numFmtId="200" fontId="0" fillId="0" borderId="8"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5" fillId="0" borderId="0" xfId="0" applyNumberFormat="1" applyFont="1" applyFill="1" applyBorder="1"/>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2" borderId="0" xfId="0" applyNumberFormat="1" applyFont="1" applyFill="1" applyBorder="1" applyAlignment="1">
      <x:alignment vertical="top"/>
    </x:xf>
    <x:xf numFmtId="0" fontId="6" fillId="2" borderId="0" xfId="0" applyNumberFormat="1" applyFont="1" applyFill="1" applyBorder="1" applyAlignment="1">
      <x:alignment vertical="top"/>
    </x:xf>
    <x:xf numFmtId="0" fontId="6" fillId="2" borderId="0" xfId="0" applyNumberFormat="1" applyFont="1" applyFill="1" applyBorder="1" applyAlignment="1">
      <x:alignment vertical="top" wrapText="1"/>
    </x:xf>
    <x:xf numFmtId="0" fontId="6" fillId="2" borderId="0" xfId="0" applyNumberFormat="1" applyFont="1" applyFill="1" applyBorder="1" applyAlignment="1">
      <x:alignment vertical="center" wrapText="1"/>
    </x:xf>
    <x:xf numFmtId="0" fontId="5" fillId="0"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0" xfId="0" applyNumberFormat="1" applyFont="1" applyFill="1" applyBorder="1" applyAlignment="1">
      <x:alignment vertical="top"/>
    </x:xf>
    <x:xf numFmtId="0" fontId="7" fillId="2" borderId="0" xfId="0" applyNumberFormat="1" applyFont="1" applyFill="1" applyBorder="1"/>
  </x:cellXfs>
  <x:cellStyles count="1">
    <x:cellStyle name="Normal" xfId="0"/>
  </x:cellStyles>
  <x:dxfs count="8">
    <x:dxf>
      <x:font>
        <x:b/>
        <x:color rgb="FF20602A"/>
      </x:font>
      <x:fill>
        <x:patternFill patternType="solid">
          <x:bgColor rgb="FFDFF2E1"/>
        </x:patternFill>
      </x:fill>
    </x:dxf>
    <x:dxf>
      <x:font>
        <x:b/>
        <x:color rgb="FF9A4E00"/>
      </x:font>
      <x:fill>
        <x:patternFill patternType="solid">
          <x:bgColor rgb="FFFCE5CD"/>
        </x:patternFill>
      </x:fill>
    </x:dxf>
    <x:dxf>
      <x:font>
        <x:b/>
        <x:color rgb="FF8A1C1C"/>
      </x:font>
      <x:fill>
        <x:patternFill patternType="solid">
          <x:bgColor rgb="FFF8D7DA"/>
        </x:patternFill>
      </x:fill>
    </x:dxf>
    <x:dxf>
      <x:font>
        <x:color rgb="FF9A4E00"/>
      </x:font>
      <x:fill>
        <x:patternFill patternType="solid">
          <x:bgColor rgb="FFFCE5CD"/>
        </x:patternFill>
      </x:fill>
    </x:dxf>
    <x:dxf>
      <x:font>
        <x:color rgb="FF9A4E00"/>
      </x:font>
      <x:fill>
        <x:patternFill patternType="solid">
          <x:bgColor rgb="FFFCE5CD"/>
        </x:patternFill>
      </x:fill>
    </x:dxf>
    <x:dxf>
      <x:font>
        <x:color rgb="FF20602A"/>
      </x:font>
      <x:fill>
        <x:patternFill patternType="solid">
          <x:bgColor rgb="FFDFF2E1"/>
        </x:patternFill>
      </x:fill>
    </x:dxf>
    <x:dxf>
      <x:font>
        <x:b/>
        <x:color rgb="FF20602A"/>
      </x:font>
      <x:fill>
        <x:patternFill patternType="solid">
          <x:bgColor rgb="FFDFF2E1"/>
        </x:patternFill>
      </x:fill>
    </x:dxf>
    <x:dxf>
      <x:font>
        <x:b/>
        <x:color rgb="FF8A1C1C"/>
      </x:font>
      <x:fill>
        <x:patternFill patternType="solid">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311560d1574d59" /><Relationship Type="http://schemas.openxmlformats.org/officeDocument/2006/relationships/theme" Target="/xl/theme/theme1.xml" Id="R2727ac3c65b24c22" /><Relationship Type="http://schemas.microsoft.com/office/2022/11/relationships/FeaturePropertyBag" Target="/xl/featurePropertyBag/featurePropertyBag.xml" Id="R6d4453fcc67f41e2" /><Relationship Type="http://schemas.openxmlformats.org/officeDocument/2006/relationships/sharedStrings" Target="/xl/sharedStrings.xml" Id="Rac39abe5ba004181" /><Relationship Type="http://schemas.openxmlformats.org/officeDocument/2006/relationships/worksheet" Target="/xl/worksheets/sheet1.xml" Id="R0f5e6c8929ba408b" /><Relationship Type="http://schemas.openxmlformats.org/officeDocument/2006/relationships/worksheet" Target="/xl/worksheets/sheet2.xml" Id="R4ae9273984c34df7" /><Relationship Type="http://schemas.openxmlformats.org/officeDocument/2006/relationships/worksheet" Target="/xl/worksheets/sheet3.xml" Id="R83ae569f967944ea" /><Relationship Type="http://schemas.openxmlformats.org/officeDocument/2006/relationships/worksheet" Target="/xl/worksheets/sheet4.xml" Id="R5adb0206e8e1468a" /><Relationship Type="http://schemas.openxmlformats.org/officeDocument/2006/relationships/worksheet" Target="/xl/worksheets/sheet5.xml" Id="R1ac4e833ce1b4989" /><Relationship Type="http://schemas.openxmlformats.org/officeDocument/2006/relationships/worksheet" Target="/xl/worksheets/sheet6.xml" Id="R3d5adf4b11fe4967" /><Relationship Type="http://schemas.openxmlformats.org/officeDocument/2006/relationships/worksheet" Target="/xl/worksheets/sheet7.xml" Id="Ra1e1561159a445de" /><Relationship Type="http://schemas.openxmlformats.org/officeDocument/2006/relationships/worksheet" Target="/xl/worksheets/sheet8.xml" Id="Rb642ca4a3b794635" /><Relationship Type="http://schemas.openxmlformats.org/officeDocument/2006/relationships/worksheet" Target="/xl/worksheets/sheet9.xml" Id="Raeaf418954854096" /><Relationship Type="http://schemas.openxmlformats.org/officeDocument/2006/relationships/worksheet" Target="/xl/worksheets/sheet10.xml" Id="Rddac09661b9f45e2" /><Relationship Type="http://schemas.openxmlformats.org/officeDocument/2006/relationships/worksheet" Target="/xl/worksheets/sheet11.xml" Id="Rc81a94409a514a7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MedicationsSourceTable" displayName="MedicationsSourceTable" ref="A1:N295" headerRowCount="1" totalsRowCount="0" totalsRowShown="0">
  <x:autoFilter ref="A1:N295"/>
  <x:tableColumns count="14">
    <x:tableColumn id="1" name="code"/>
    <x:tableColumn id="2" name="name_en"/>
    <x:tableColumn id="3" name="name_th"/>
    <x:tableColumn id="4" name="category"/>
    <x:tableColumn id="5" name="common_dosages_mg"/>
    <x:tableColumn id="6" name="description_th"/>
    <x:tableColumn id="7" name="active"/>
    <x:tableColumn id="8" name="source_references"/>
    <x:tableColumn id="9" name="status"/>
    <x:tableColumn id="10" name="fda_strengths_reference_only"/>
    <x:tableColumn id="11" name="pil_urls"/>
    <x:tableColumn id="12" name="smpc_urls"/>
    <x:tableColumn id="13" name="sql_ready"/>
    <x:tableColumn id="14" name="review_note"/>
  </x:tableColumns>
  <x:tableStyleInfo name="TableStyleMedium2" showFirstColumn="0" showLastColumn="0" showRowStripes="1" showColumnStripes="0"/>
</x:table>
</file>

<file path=xl/tables/table2.xml><?xml version="1.0" encoding="utf-8"?>
<x:table xmlns:x="http://schemas.openxmlformats.org/spreadsheetml/2006/main" id="2" name="MedicationsReadyTable" displayName="MedicationsReadyTable" ref="A1:J280" headerRowCount="1" totalsRowCount="0" totalsRowShown="0">
  <x:autoFilter ref="A1:J280"/>
  <x:tableColumns count="10">
    <x:tableColumn id="1" name="code"/>
    <x:tableColumn id="2" name="name_en"/>
    <x:tableColumn id="3" name="name_th"/>
    <x:tableColumn id="4" name="category"/>
    <x:tableColumn id="5" name="common_dosages_mg"/>
    <x:tableColumn id="6" name="description_th"/>
    <x:tableColumn id="7" name="active"/>
    <x:tableColumn id="8" name="source_references"/>
    <x:tableColumn id="9" name="status"/>
    <x:tableColumn id="10" name="review_notes"/>
  </x:tableColumns>
  <x:tableStyleInfo name="TableStyleMedium2" showFirstColumn="0" showLastColumn="0" showRowStripes="1" showColumnStripes="0"/>
</x:table>
</file>

<file path=xl/tables/table3.xml><?xml version="1.0" encoding="utf-8"?>
<x:table xmlns:x="http://schemas.openxmlformats.org/spreadsheetml/2006/main" id="3" name="InteractionsSourceTable" displayName="InteractionsSourceTable" ref="A1:M48" headerRowCount="1" totalsRowCount="0" totalsRowShown="0">
  <x:autoFilter ref="A1:M48"/>
  <x:tableColumns count="13">
    <x:tableColumn id="1" name="drug_1"/>
    <x:tableColumn id="2" name="drug_2"/>
    <x:tableColumn id="3" name="severity"/>
    <x:tableColumn id="4" name="title_th"/>
    <x:tableColumn id="5" name="description_th"/>
    <x:tableColumn id="6" name="status"/>
    <x:tableColumn id="7" name="source_document_id"/>
    <x:tableColumn id="8" name="source_document_type"/>
    <x:tableColumn id="9" name="source_page"/>
    <x:tableColumn id="10" name="source_url"/>
    <x:tableColumn id="11" name="evidence_excerpt_for_review"/>
    <x:tableColumn id="12" name="clinical_review_required"/>
    <x:tableColumn id="13" name="code_refs_valid"/>
  </x:tableColumns>
  <x:tableStyleInfo name="TableStyleMedium2" showFirstColumn="0" showLastColumn="0" showRowStripes="1" showColumnStripes="0"/>
</x:table>
</file>

<file path=xl/tables/table4.xml><?xml version="1.0" encoding="utf-8"?>
<x:table xmlns:x="http://schemas.openxmlformats.org/spreadsheetml/2006/main" id="4" name="InteractionsReadyTable" displayName="InteractionsReadyTable" ref="A1:L48" headerRowCount="1" totalsRowCount="0" totalsRowShown="0">
  <x:autoFilter ref="A1:L48"/>
  <x:tableColumns count="12">
    <x:tableColumn id="1" name="drug_1"/>
    <x:tableColumn id="2" name="drug_2"/>
    <x:tableColumn id="3" name="severity"/>
    <x:tableColumn id="4" name="title_th"/>
    <x:tableColumn id="5" name="description_th"/>
    <x:tableColumn id="6" name="advice_th"/>
    <x:tableColumn id="7" name="status"/>
    <x:tableColumn id="8" name="source_references"/>
    <x:tableColumn id="9" name="review_notes"/>
    <x:tableColumn id="10" name="source_document_id"/>
    <x:tableColumn id="11" name="source_page"/>
    <x:tableColumn id="12" name="source_url"/>
  </x:tableColumns>
  <x:tableStyleInfo name="TableStyleMedium2" showFirstColumn="0" showLastColumn="0" showRowStripes="1" showColumnStripes="0"/>
</x:table>
</file>

<file path=xl/tables/table5.xml><?xml version="1.0" encoding="utf-8"?>
<x:table xmlns:x="http://schemas.openxmlformats.org/spreadsheetml/2006/main" id="5" name="Excluded15Table" displayName="Excluded15Table" ref="A1:N16" headerRowCount="1" totalsRowCount="0" totalsRowShown="0">
  <x:autoFilter ref="A1:N16"/>
  <x:tableColumns count="14">
    <x:tableColumn id="1" name="code"/>
    <x:tableColumn id="2" name="name_en"/>
    <x:tableColumn id="3" name="name_th"/>
    <x:tableColumn id="4" name="category"/>
    <x:tableColumn id="5" name="common_dosages_mg"/>
    <x:tableColumn id="6" name="description_th"/>
    <x:tableColumn id="7" name="active"/>
    <x:tableColumn id="8" name="source_references"/>
    <x:tableColumn id="9" name="status"/>
    <x:tableColumn id="10" name="fda_strengths_reference_only"/>
    <x:tableColumn id="11" name="pil_urls"/>
    <x:tableColumn id="12" name="smpc_urls"/>
    <x:tableColumn id="13" name="sql_ready"/>
    <x:tableColumn id="14" name="review_note"/>
  </x:tableColumns>
  <x:tableStyleInfo name="TableStyleMedium2" showFirstColumn="0" showLastColumn="0" showRowStripes="1" showColumnStripes="0"/>
</x:table>
</file>

<file path=xl/tables/table6.xml><?xml version="1.0" encoding="utf-8"?>
<x:table xmlns:x="http://schemas.openxmlformats.org/spreadsheetml/2006/main" id="6" name="DocumentsTable" displayName="DocumentsTable" ref="A1:H498" headerRowCount="1" totalsRowCount="0" totalsRowShown="0">
  <x:autoFilter ref="A1:H498"/>
  <x:tableColumns count="8">
    <x:tableColumn id="1" name="document_id"/>
    <x:tableColumn id="2" name="drug_code"/>
    <x:tableColumn id="3" name="document_type"/>
    <x:tableColumn id="4" name="document_date"/>
    <x:tableColumn id="5" name="document_url"/>
    <x:tableColumn id="6" name="file_status"/>
    <x:tableColumn id="7" name="extraction_status"/>
    <x:tableColumn id="8" name="page_count"/>
  </x:tableColumns>
  <x:tableStyleInfo name="TableStyleMedium2" showFirstColumn="0" showLastColumn="0" showRowStripes="1" showColumnStripes="0"/>
</x:table>
</file>

<file path=xl/tables/table7.xml><?xml version="1.0" encoding="utf-8"?>
<x:table xmlns:x="http://schemas.openxmlformats.org/spreadsheetml/2006/main" id="7" name="ClinicalEvidenceTable" displayName="ClinicalEvidenceTable" ref="A1:J810" headerRowCount="1" totalsRowCount="0" totalsRowShown="0">
  <x:autoFilter ref="A1:J810"/>
  <x:tableColumns count="10">
    <x:tableColumn id="1" name="drug_1"/>
    <x:tableColumn id="2" name="drug_2"/>
    <x:tableColumn id="3" name="severity"/>
    <x:tableColumn id="4" name="decision"/>
    <x:tableColumn id="5" name="document_id"/>
    <x:tableColumn id="6" name="document_type"/>
    <x:tableColumn id="7" name="source_page"/>
    <x:tableColumn id="8" name="matched_alias"/>
    <x:tableColumn id="9" name="evidence_excerpt"/>
    <x:tableColumn id="10" name="source_url"/>
  </x:tableColumns>
  <x:tableStyleInfo name="TableStyleMedium2" showFirstColumn="0" showLastColumn="0" showRowStripes="1" showColumnStripes="0"/>
</x:table>
</file>

<file path=xl/tables/table8.xml><?xml version="1.0" encoding="utf-8"?>
<x:table xmlns:x="http://schemas.openxmlformats.org/spreadsheetml/2006/main" id="8" name="ReviewQueueTable" displayName="ReviewQueueTable" ref="A1:E1144" headerRowCount="1" totalsRowCount="0" totalsRowShown="0">
  <x:autoFilter ref="A1:E1144"/>
  <x:tableColumns count="5">
    <x:tableColumn id="1" name="drug_code"/>
    <x:tableColumn id="2" name="issue_type"/>
    <x:tableColumn id="3" name="issue_description"/>
    <x:tableColumn id="4" name="source_url"/>
    <x:tableColumn id="5" name="review_status"/>
  </x:tableColumns>
  <x:tableStyleInfo name="TableStyleMedium2" showFirstColumn="0" showLastColumn="0" showRowStripes="1" showColumnStripes="0"/>
</x:table>
</file>

<file path=xl/tables/table9.xml><?xml version="1.0" encoding="utf-8"?>
<x:table xmlns:x="http://schemas.openxmlformats.org/spreadsheetml/2006/main" id="9" name="DataDictionaryTable" displayName="DataDictionaryTable" ref="A1:E17" headerRowCount="1" totalsRowCount="0" totalsRowShown="0">
  <x:autoFilter ref="A1:E17"/>
  <x:tableColumns count="5">
    <x:tableColumn id="1" name="field"/>
    <x:tableColumn id="2" name="definition_th"/>
    <x:tableColumn id="3" name="database_type"/>
    <x:tableColumn id="4" name="example"/>
    <x:tableColumn id="5" name="validation_ru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0d3bdc6b60b404b" /></Relationships>
</file>

<file path=xl/worksheets/_rels/sheet3.xml.rels>&#65279;<?xml version="1.0" encoding="utf-8"?><Relationships xmlns="http://schemas.openxmlformats.org/package/2006/relationships"><Relationship Type="http://schemas.openxmlformats.org/officeDocument/2006/relationships/table" Target="/xl/tables/table2.xml" Id="Rd158b9990f06460a" /></Relationships>
</file>

<file path=xl/worksheets/_rels/sheet4.xml.rels>&#65279;<?xml version="1.0" encoding="utf-8"?><Relationships xmlns="http://schemas.openxmlformats.org/package/2006/relationships"><Relationship Type="http://schemas.openxmlformats.org/officeDocument/2006/relationships/table" Target="/xl/tables/table3.xml" Id="Rbd0a5c865aa64178" /></Relationships>
</file>

<file path=xl/worksheets/_rels/sheet5.xml.rels>&#65279;<?xml version="1.0" encoding="utf-8"?><Relationships xmlns="http://schemas.openxmlformats.org/package/2006/relationships"><Relationship Type="http://schemas.openxmlformats.org/officeDocument/2006/relationships/table" Target="/xl/tables/table4.xml" Id="R76cb4dca755d4f95" /></Relationships>
</file>

<file path=xl/worksheets/_rels/sheet6.xml.rels>&#65279;<?xml version="1.0" encoding="utf-8"?><Relationships xmlns="http://schemas.openxmlformats.org/package/2006/relationships"><Relationship Type="http://schemas.openxmlformats.org/officeDocument/2006/relationships/table" Target="/xl/tables/table5.xml" Id="R1e0cd4ae1cdb4c1b" /></Relationships>
</file>

<file path=xl/worksheets/_rels/sheet7.xml.rels>&#65279;<?xml version="1.0" encoding="utf-8"?><Relationships xmlns="http://schemas.openxmlformats.org/package/2006/relationships"><Relationship Type="http://schemas.openxmlformats.org/officeDocument/2006/relationships/table" Target="/xl/tables/table6.xml" Id="R5abd79ee38db4fdf" /></Relationships>
</file>

<file path=xl/worksheets/_rels/sheet8.xml.rels>&#65279;<?xml version="1.0" encoding="utf-8"?><Relationships xmlns="http://schemas.openxmlformats.org/package/2006/relationships"><Relationship Type="http://schemas.openxmlformats.org/officeDocument/2006/relationships/table" Target="/xl/tables/table7.xml" Id="Rad1e5709e9e94148" /></Relationships>
</file>

<file path=xl/worksheets/_rels/sheet9.xml.rels>&#65279;<?xml version="1.0" encoding="utf-8"?><Relationships xmlns="http://schemas.openxmlformats.org/package/2006/relationships"><Relationship Type="http://schemas.openxmlformats.org/officeDocument/2006/relationships/table" Target="/xl/tables/table8.xml" Id="Rb254b6f2962b4019" /></Relationships>
</file>

<file path=xl/worksheets/_rels/sheet10.xml.rels>&#65279;<?xml version="1.0" encoding="utf-8"?><Relationships xmlns="http://schemas.openxmlformats.org/package/2006/relationships"><Relationship Type="http://schemas.openxmlformats.org/officeDocument/2006/relationships/table" Target="/xl/tables/table9.xml" Id="R7526dd11b6c54b95"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16" hidden="0" customWidth="1"/>
    <x:col min="4" max="4" width="44" hidden="0" customWidth="1"/>
    <x:col min="5" max="5" width="13" hidden="0" customWidth="1"/>
    <x:col min="6" max="6" width="13" hidden="0" customWidth="1"/>
    <x:col min="7" max="7" width="13" hidden="0" customWidth="1"/>
    <x:col min="8" max="8" width="13" hidden="0" customWidth="1"/>
  </x:cols>
  <x:sheetData>
    <x:row r="1">
      <x:c r="A1" s="3" t="str">
        <x:v>YaCheck · MaCheck Clinical Import Package</x:v>
      </x:c>
      <x:c r="B1" s="3"/>
      <x:c r="C1" s="3"/>
      <x:c r="D1" s="3"/>
      <x:c r="E1" s="3"/>
      <x:c r="F1" s="3"/>
      <x:c r="G1" s="3"/>
      <x:c r="H1" s="3"/>
    </x:row>
    <x:row r="2">
      <x:c r="A2" s="3"/>
      <x:c r="B2" s="3"/>
      <x:c r="C2" s="3"/>
      <x:c r="D2" s="3"/>
      <x:c r="E2" s="3"/>
      <x:c r="F2" s="3"/>
      <x:c r="G2" s="3"/>
      <x:c r="H2" s="3"/>
    </x:row>
    <x:row r="4" ht="28" customHeight="1">
      <x:c r="A4" s="16" t="str">
        <x:v>ตัวชี้วัด</x:v>
      </x:c>
      <x:c r="B4" s="17" t="str">
        <x:v>จำนวน</x:v>
      </x:c>
      <x:c r="C4" s="17" t="str">
        <x:v>สถานะ</x:v>
      </x:c>
      <x:c r="D4" s="18" t="str">
        <x:v>หมายเหตุ</x:v>
      </x:c>
    </x:row>
    <x:row r="5">
      <x:c r="A5" s="7" t="str">
        <x:v>ยาต้นฉบับ</x:v>
      </x:c>
      <x:c r="B5" s="19" t="n">
        <x:v>294</x:v>
      </x:c>
      <x:c r="C5" s="8" t="str">
        <x:v>ครบ</x:v>
      </x:c>
      <x:c r="D5" s="9" t="str">
        <x:v>เก็บใน Medications_Source</x:v>
      </x:c>
    </x:row>
    <x:row r="6">
      <x:c r="A6" s="7" t="str">
        <x:v>ยาพร้อมนำเข้าเป็น Draft</x:v>
      </x:c>
      <x:c r="B6" s="19" t="n">
        <x:v>279</x:v>
      </x:c>
      <x:c r="C6" s="8" t="str">
        <x:v>พร้อม</x:v>
      </x:c>
      <x:c r="D6" s="9" t="str">
        <x:v>active=false และไม่ทับ Published</x:v>
      </x:c>
    </x:row>
    <x:row r="7">
      <x:c r="A7" s="7" t="str">
        <x:v>ยาที่กันออก</x:v>
      </x:c>
      <x:c r="B7" s="19" t="n">
        <x:v>15</x:v>
      </x:c>
      <x:c r="C7" s="8" t="str">
        <x:v>ต้องตรวจ</x:v>
      </x:c>
      <x:c r="D7" s="9" t="str">
        <x:v>ไม่มีรหัสหรือชื่อสามัญน่าเชื่อถือ</x:v>
      </x:c>
    </x:row>
    <x:row r="8">
      <x:c r="A8" s="7" t="str">
        <x:v>คู่ยาตีกันพร้อมนำเข้าเป็น Draft</x:v>
      </x:c>
      <x:c r="B8" s="19" t="n">
        <x:v>47</x:v>
      </x:c>
      <x:c r="C8" s="8" t="str">
        <x:v>พร้อม</x:v>
      </x:c>
      <x:c r="D8" s="9" t="str">
        <x:v>ไม่มีรายละเอียดผลกระทบในตารางจริง</x:v>
      </x:c>
    </x:row>
    <x:row r="9">
      <x:c r="A9" s="7" t="str">
        <x:v>เอกสารอ้างอิง</x:v>
      </x:c>
      <x:c r="B9" s="19" t="n">
        <x:v>497</x:v>
      </x:c>
      <x:c r="C9" s="8" t="str">
        <x:v>ครบ</x:v>
      </x:c>
      <x:c r="D9" s="9" t="str">
        <x:v>Thai FDA PIL/SmPC</x:v>
      </x:c>
    </x:row>
    <x:row r="10">
      <x:c r="A10" s="10" t="str">
        <x:v>คิว Clinical review</x:v>
      </x:c>
      <x:c r="B10" s="20" t="n">
        <x:v>1143</x:v>
      </x:c>
      <x:c r="C10" s="11" t="str">
        <x:v>ต้องดำเนินการ</x:v>
      </x:c>
      <x:c r="D10" s="12" t="str">
        <x:v>ห้าม Published จนกว่าจะตรวจเสร็จ</x:v>
      </x:c>
    </x:row>
    <x:row r="12">
      <x:c r="A12" s="22" t="str">
        <x:v>กฎความปลอดภัยของชุดนำเข้า</x:v>
      </x:c>
      <x:c r="B12" s="22"/>
      <x:c r="C12" s="22"/>
      <x:c r="D12" s="22"/>
      <x:c r="E12" s="22"/>
      <x:c r="F12" s="22"/>
      <x:c r="G12" s="22"/>
      <x:c r="H12" s="22"/>
    </x:row>
    <x:row r="13" ht="27" customHeight="1">
      <x:c r="A13" s="24" t="str">
        <x:v>1. นำเข้าเฉพาะ Draft และ active=false</x:v>
      </x:c>
      <x:c r="B13" s="24"/>
      <x:c r="C13" s="24"/>
      <x:c r="D13" s="24"/>
      <x:c r="E13" s="24"/>
      <x:c r="F13" s="24"/>
      <x:c r="G13" s="24"/>
      <x:c r="H13" s="24"/>
    </x:row>
    <x:row r="14" ht="27" customHeight="1">
      <x:c r="A14" s="24" t="str">
        <x:v>2. ไม่ DELETE และไม่แก้ Published/In review</x:v>
      </x:c>
      <x:c r="B14" s="24"/>
      <x:c r="C14" s="24"/>
      <x:c r="D14" s="24"/>
      <x:c r="E14" s="24"/>
      <x:c r="F14" s="24"/>
      <x:c r="G14" s="24"/>
      <x:c r="H14" s="24"/>
    </x:row>
    <x:row r="15" ht="27" customHeight="1">
      <x:c r="A15" s="24" t="str">
        <x:v>3. ไม่อนุมานขนาดยาจากความแรงของผลิตภัณฑ์</x:v>
      </x:c>
      <x:c r="B15" s="24"/>
      <x:c r="C15" s="24"/>
      <x:c r="D15" s="24"/>
      <x:c r="E15" s="24"/>
      <x:c r="F15" s="24"/>
      <x:c r="G15" s="24"/>
      <x:c r="H15" s="24"/>
    </x:row>
    <x:row r="16" ht="27" customHeight="1">
      <x:c r="A16" s="24" t="str">
        <x:v>4. ไม่เก็บกลไก อาการ หรือผลกระทบของคู่ยาตีกันในตารางจริง</x:v>
      </x:c>
      <x:c r="B16" s="24"/>
      <x:c r="C16" s="24"/>
      <x:c r="D16" s="24"/>
      <x:c r="E16" s="24"/>
      <x:c r="F16" s="24"/>
      <x:c r="G16" s="24"/>
      <x:c r="H16" s="24"/>
    </x:row>
    <x:row r="17" ht="27" customHeight="1">
      <x:c r="A17" s="24" t="str">
        <x:v>5. ต้องมีแหล่งอ้างอิง Thai FDA ทุกแถว</x:v>
      </x:c>
      <x:c r="B17" s="24"/>
      <x:c r="C17" s="24"/>
      <x:c r="D17" s="24"/>
      <x:c r="E17" s="24"/>
      <x:c r="F17" s="24"/>
      <x:c r="G17" s="24"/>
      <x:c r="H17" s="24"/>
    </x:row>
    <x:row r="18" ht="27" customHeight="1">
      <x:c r="A18" s="24" t="str">
        <x:v>6. SQL Dry run จบด้วย ROLLBACK; ใช้ Commit หลังตรวจผลเท่านั้น</x:v>
      </x:c>
      <x:c r="B18" s="24"/>
      <x:c r="C18" s="24"/>
      <x:c r="D18" s="24"/>
      <x:c r="E18" s="24"/>
      <x:c r="F18" s="24"/>
      <x:c r="G18" s="24"/>
      <x:c r="H18" s="24"/>
    </x:row>
    <x:row r="20">
      <x:c r="A20" s="27" t="str">
        <x:v>Batch ID: thai_fda_20260718_v1 · Generated 2026-07-18 · Source: https://drug.fda.moph.go.th/drug-information</x:v>
      </x:c>
      <x:c r="B20" s="27"/>
      <x:c r="C20" s="27"/>
      <x:c r="D20" s="27"/>
      <x:c r="E20" s="27"/>
      <x:c r="F20" s="27"/>
      <x:c r="G20" s="27"/>
      <x:c r="H20" s="27"/>
    </x:row>
    <x:row r="21">
      <x:c r="A21" s="27"/>
      <x:c r="B21" s="27"/>
      <x:c r="C21" s="27"/>
      <x:c r="D21" s="27"/>
      <x:c r="E21" s="27"/>
      <x:c r="F21" s="27"/>
      <x:c r="G21" s="27"/>
      <x:c r="H21" s="27"/>
    </x:row>
  </x:sheetData>
  <x:mergeCells>
    <x:mergeCell ref="A1:H2"/>
    <x:mergeCell ref="A12:H12"/>
    <x:mergeCell ref="A13:H13"/>
    <x:mergeCell ref="A14:H14"/>
    <x:mergeCell ref="A15:H15"/>
    <x:mergeCell ref="A16:H16"/>
    <x:mergeCell ref="A17:H17"/>
    <x:mergeCell ref="A18:H18"/>
    <x:mergeCell ref="A20:H21"/>
  </x:mergeCells>
  <x:conditionalFormatting sqref="C5:C10">
    <x:cfRule type="containsText" dxfId="0" priority="1" operator="containsText" text="พร้อม"/>
    <x:cfRule type="containsText" dxfId="1" priority="2" operator="containsText" text="ต้อง"/>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27" hidden="0" customWidth="1"/>
    <x:col min="3" max="3" width="29" hidden="0" customWidth="1"/>
    <x:col min="4" max="4" width="18" hidden="0" customWidth="1"/>
    <x:col min="5" max="5" width="16" hidden="0" customWidth="1"/>
    <x:col min="6" max="6" width="48" hidden="0" customWidth="1"/>
    <x:col min="7" max="7" width="10" hidden="0" customWidth="1"/>
    <x:col min="8" max="8" width="58" hidden="0" customWidth="1"/>
    <x:col min="9" max="9" width="12" hidden="0" customWidth="1"/>
    <x:col min="10" max="10" width="24" hidden="0" customWidth="1"/>
    <x:col min="11" max="11" width="46" hidden="0" customWidth="1"/>
    <x:col min="12" max="12" width="46" hidden="0" customWidth="1"/>
    <x:col min="13" max="13" width="12" hidden="0" customWidth="1"/>
    <x:col min="14" max="14" width="38" hidden="0" customWidth="1"/>
  </x:cols>
  <x:sheetData>
    <x:row r="1" ht="30" customHeight="1">
      <x:c r="A1" s="36" t="str">
        <x:v>code</x:v>
      </x:c>
      <x:c r="B1" s="36" t="str">
        <x:v>name_en</x:v>
      </x:c>
      <x:c r="C1" s="36" t="str">
        <x:v>name_th</x:v>
      </x:c>
      <x:c r="D1" s="36" t="str">
        <x:v>category</x:v>
      </x:c>
      <x:c r="E1" s="36" t="str">
        <x:v>common_dosages_mg</x:v>
      </x:c>
      <x:c r="F1" s="36" t="str">
        <x:v>description_th</x:v>
      </x:c>
      <x:c r="G1" s="36" t="str">
        <x:v>active</x:v>
      </x:c>
      <x:c r="H1" s="36" t="str">
        <x:v>source_references</x:v>
      </x:c>
      <x:c r="I1" s="36" t="str">
        <x:v>status</x:v>
      </x:c>
      <x:c r="J1" s="36" t="str">
        <x:v>fda_strengths_reference_only</x:v>
      </x:c>
      <x:c r="K1" s="36" t="str">
        <x:v>pil_urls</x:v>
      </x:c>
      <x:c r="L1" s="36" t="str">
        <x:v>smpc_urls</x:v>
      </x:c>
      <x:c r="M1" s="36" t="str">
        <x:v>sql_ready</x:v>
      </x:c>
      <x:c r="N1" s="36" t="str">
        <x:v>review_note</x:v>
      </x:c>
    </x:row>
    <x:row r="2">
      <x:c r="A2" s="31" t="str">
        <x:v>acetylcysteine</x:v>
      </x:c>
      <x:c r="B2" s="31" t="str">
        <x:v>Acetylcysteine</x:v>
      </x:c>
      <x:c r="C2" s="37" t="str">
        <x:v>อะ-เซ-ทิล-ซิส-เท-อีน</x:v>
      </x:c>
      <x:c r="D2" s="31" t="str">
        <x:v>รอตรวจสอบ</x:v>
      </x:c>
      <x:c r="E2" s="31" t="str">
        <x:v>[]</x:v>
      </x:c>
      <x:c r="F2" s="37" t="str">
        <x:v>ใช ้เพื่อละลายเสมหะในทางเดินหายใจ บรรเทาอาการ ไอที่มีเสมหะ</x:v>
      </x:c>
      <x:c r="G2" s="32" t="b">
        <x:v>0</x:v>
      </x:c>
      <x:c r="H2" s="37" t="str">
        <x:v>[{"type":"PIL","url":"https://drug.fda.moph.go.th/media.php?id=805122388374200320&amp;name=Acetylcysteine granules PIL 190325.pdf","published_date":"19/3/2025"},{"type":"SMPC","url":"https://drug.fda.moph.go.th/media.php?id=805129885323501568&amp;name=acetylcysteine eye drop, solution SmPC.pdf","published_date":"27/11/2024"},{"type":"SMPC","url":"https://drug.fda.moph.go.th/media.php?id=809595104229728256&amp;name=SMPC_Acetylcysteine_Powder for Oral Solution.pdf","published_date":"27/11/2024"},{"type":"SMPC","url":"https://drug.fda.moph.go.th/media.php?id=809596981939937280&amp;name=SMPC_Acetylcysteine_Solutions for injections or infusions.pdf","published_date":"27/11/2024"}]</x:v>
      </x:c>
      <x:c r="I2" s="31" t="str">
        <x:v>Draft</x:v>
      </x:c>
      <x:c r="J2" s="31"/>
      <x:c r="K2" s="37" t="str">
        <x:v>https://drug.fda.moph.go.th/media.php?id=805122388374200320&amp;name=Acetylcysteine granules PIL 190325.pdf</x:v>
      </x:c>
      <x:c r="L2" s="37" t="str">
        <x:v>https://drug.fda.moph.go.th/media.php?id=805129885323501568&amp;name=acetylcysteine eye drop, solution SmPC.pdf
https://drug.fda.moph.go.th/media.php?id=809595104229728256&amp;name=SMPC_Acetylcysteine_Powder for Oral Solution.pdf
https://drug.fda.moph.go.th/media.php?id=809596981939937280&amp;name=SMPC_Acetylcysteine_Solutions for injections or infusions.pdf</x:v>
      </x:c>
      <x:c r="M2" s="31" t="str">
        <x:v>YES</x:v>
      </x:c>
      <x:c r="N2" s="37" t="str">
        <x:v>Clinical review required before Published</x:v>
      </x:c>
    </x:row>
    <x:row r="3">
      <x:c r="A3" s="31" t="str">
        <x:v>aciclovir</x:v>
      </x:c>
      <x:c r="B3" s="31" t="str">
        <x:v>Aciclovir</x:v>
      </x:c>
      <x:c r="C3" s="37" t="str">
        <x:v>อะ-ไซ-โคล-เวียร์</x:v>
      </x:c>
      <x:c r="D3" s="31" t="str">
        <x:v>รอตรวจสอบ</x:v>
      </x:c>
      <x:c r="E3" s="31" t="str">
        <x:v>[]</x:v>
      </x:c>
      <x:c r="F3" s="37" t="str">
        <x:v>ใช ้รักษาเริม หรืองูสวัด • ใช ้ป้องกันการกลับมาเป ็ นเริมซ ้า • ใช ้ป้องกันการติดไวรัสเริมหรืองูสวัด ในผู ้ ที่มีภูมิคุ ้ มกันต ่า</x:v>
      </x:c>
      <x:c r="G3" s="32" t="b">
        <x:v>0</x:v>
      </x:c>
      <x:c r="H3" s="37" t="str">
        <x:v>[{"type":"PIL","url":"https://drug.fda.moph.go.th/media.php?id=805389800621350912&amp;name=46 Aciclovir_compressedtablet_PIL.pdf","published_date":"19/3/2025"},{"type":"PIL","url":"https://drug.fda.moph.go.th/media.php?id=805391326362345472&amp;name=47 Aciclovir_cream_PIL.pdf","published_date":"19/3/2025"},{"type":"SMPC","url":"https://drug.fda.moph.go.th/media.php?id=805393409417289728&amp;name=smpc_Aciclovir (CREAM).pdf","published_date":"20/11/2024"}]</x:v>
      </x:c>
      <x:c r="I3" s="31" t="str">
        <x:v>Draft</x:v>
      </x:c>
      <x:c r="J3" s="31" t="str">
        <x:v>5.0% w/w</x:v>
      </x:c>
      <x:c r="K3" s="37" t="str">
        <x:v>https://drug.fda.moph.go.th/media.php?id=805389800621350912&amp;name=46 Aciclovir_compressedtablet_PIL.pdf
https://drug.fda.moph.go.th/media.php?id=805391326362345472&amp;name=47 Aciclovir_cream_PIL.pdf</x:v>
      </x:c>
      <x:c r="L3" s="37" t="str">
        <x:v>https://drug.fda.moph.go.th/media.php?id=805393409417289728&amp;name=smpc_Aciclovir (CREAM).pdf</x:v>
      </x:c>
      <x:c r="M3" s="31" t="str">
        <x:v>YES</x:v>
      </x:c>
      <x:c r="N3" s="37" t="str">
        <x:v>Clinical review required before Published</x:v>
      </x:c>
    </x:row>
    <x:row r="4">
      <x:c r="A4" s="31" t="str">
        <x:v>activated_charcoal</x:v>
      </x:c>
      <x:c r="B4" s="31" t="str">
        <x:v>Activated charcoal</x:v>
      </x:c>
      <x:c r="C4" s="37" t="str">
        <x:v>ยาผงถ่านรักษาอาการท้องเสีย</x:v>
      </x:c>
      <x:c r="D4" s="31" t="str">
        <x:v>รอตรวจสอบ</x:v>
      </x:c>
      <x:c r="E4" s="31" t="str">
        <x:v>[]</x:v>
      </x:c>
      <x:c r="F4" s="37" t="str">
        <x:v>ใช ้เพื่อรักษาอาการท ้ องเสีย</x:v>
      </x:c>
      <x:c r="G4" s="32" t="b">
        <x:v>0</x:v>
      </x:c>
      <x:c r="H4" s="37" t="str">
        <x:v>[{"type":"SMPC","url":"https://drug.fda.moph.go.th/media.php?id=809597713694990336&amp;name=SMPC_Activated charcoal powder.pdf","published_date":"20/11/2024"},{"type":"PIL","url":"https://drug.fda.moph.go.th/media.php?id=733927490405408768&amp;name=PIL ผงถ่านรักษาท้องเสีย (15032024).pdf","published_date":"15/3/2024"}]</x:v>
      </x:c>
      <x:c r="I4" s="31" t="str">
        <x:v>Draft</x:v>
      </x:c>
      <x:c r="J4" s="31" t="str">
        <x:v>250 - 350 mg</x:v>
      </x:c>
      <x:c r="K4" s="37" t="str">
        <x:v>https://drug.fda.moph.go.th/media.php?id=733927490405408768&amp;name=PIL ผงถ่านรักษาท้องเสีย (15032024).pdf</x:v>
      </x:c>
      <x:c r="L4" s="37" t="str">
        <x:v>https://drug.fda.moph.go.th/media.php?id=809597713694990336&amp;name=SMPC_Activated charcoal powder.pdf</x:v>
      </x:c>
      <x:c r="M4" s="31" t="str">
        <x:v>YES</x:v>
      </x:c>
      <x:c r="N4" s="37" t="str">
        <x:v>Clinical review required before Published</x:v>
      </x:c>
    </x:row>
    <x:row r="5">
      <x:c r="A5" s="31" t="str">
        <x:v>albendazole</x:v>
      </x:c>
      <x:c r="B5" s="31" t="str">
        <x:v>Albendazole</x:v>
      </x:c>
      <x:c r="C5" s="37" t="str">
        <x:v>อัล-เบน-ดา-โซล</x:v>
      </x:c>
      <x:c r="D5" s="31" t="str">
        <x:v>รอตรวจสอบ</x:v>
      </x:c>
      <x:c r="E5" s="31" t="str">
        <x:v>[]</x:v>
      </x:c>
      <x:c r="F5" s="37" t="str">
        <x:v>ใช ้ก าจัดพยาธิ ได ้แก่ พยาธิเส ้นด ้าย พยาธิเข็มหมุด พยาธิไส ้เดือน พยาธิปากขอ พยาธิแส ้ม ้า พยาธิสตรองจิลอยด์ พยาธิตัวตืด และพยาธิใบไม ้ ในตับ</x:v>
      </x:c>
      <x:c r="G5" s="32" t="b">
        <x:v>0</x:v>
      </x:c>
      <x:c r="H5" s="37" t="str">
        <x:v>[{"type":"PIL","url":"https://drug.fda.moph.go.th/media.php?id=808216494428266496&amp;name=Albendazole_filmcotedtablet_PIL.pdf","published_date":"19/3/2025"},{"type":"PIL","url":"https://drug.fda.moph.go.th/media.php?id=808225793334452224&amp;name=Albendazole_suspension_PIL.pdf","published_date":"19/3/2025"},{"type":"SMPC","url":"https://drug.fda.moph.go.th/media.php?id=809599347237986304&amp;name=SMPC_albendazole_tablet.pdf","published_date":"27/11/2024"}]</x:v>
      </x:c>
      <x:c r="I5" s="31" t="str">
        <x:v>Draft</x:v>
      </x:c>
      <x:c r="J5" s="31"/>
      <x:c r="K5" s="37" t="str">
        <x:v>https://drug.fda.moph.go.th/media.php?id=808216494428266496&amp;name=Albendazole_filmcotedtablet_PIL.pdf
https://drug.fda.moph.go.th/media.php?id=808225793334452224&amp;name=Albendazole_suspension_PIL.pdf</x:v>
      </x:c>
      <x:c r="L5" s="37" t="str">
        <x:v>https://drug.fda.moph.go.th/media.php?id=809599347237986304&amp;name=SMPC_albendazole_tablet.pdf</x:v>
      </x:c>
      <x:c r="M5" s="31" t="str">
        <x:v>YES</x:v>
      </x:c>
      <x:c r="N5" s="37" t="str">
        <x:v>Clinical review required before Published</x:v>
      </x:c>
    </x:row>
    <x:row r="6">
      <x:c r="A6" s="31" t="str">
        <x:v>albumin</x:v>
      </x:c>
      <x:c r="B6" s="31" t="str">
        <x:v>Albumin</x:v>
      </x:c>
      <x:c r="C6" s="37" t="str">
        <x:v>รอตรวจสอบชื่อภาษาไทย</x:v>
      </x:c>
      <x:c r="D6" s="31" t="str">
        <x:v>รอตรวจสอบ</x:v>
      </x:c>
      <x:c r="E6" s="31" t="str">
        <x:v>[]</x:v>
      </x:c>
      <x:c r="F6" s="37" t="str">
        <x:v>ข้อมูลฉบับร่างจากเอกสารอ้างอิง อย. รอตรวจทานโดยผู้เชี่ยวชาญ</x:v>
      </x:c>
      <x:c r="G6" s="32" t="b">
        <x:v>0</x:v>
      </x:c>
      <x:c r="H6" s="37" t="str">
        <x:v>[{"type":"SMPC","url":"https://drug.fda.moph.go.th/media.php?id=809608080450002944&amp;name=SMPC_Albumin_Solution for Infusion.pdf","published_date":"27/11/2024"}]</x:v>
      </x:c>
      <x:c r="I6" s="31" t="str">
        <x:v>Draft</x:v>
      </x:c>
      <x:c r="J6" s="31"/>
      <x:c r="K6" s="37"/>
      <x:c r="L6" s="37" t="str">
        <x:v>https://drug.fda.moph.go.th/media.php?id=809608080450002944&amp;name=SMPC_Albumin_Solution for Infusion.pdf</x:v>
      </x:c>
      <x:c r="M6" s="31" t="str">
        <x:v>YES</x:v>
      </x:c>
      <x:c r="N6" s="37" t="str">
        <x:v>Clinical review required before Published</x:v>
      </x:c>
    </x:row>
    <x:row r="7">
      <x:c r="A7" s="31" t="str">
        <x:v>alteplase</x:v>
      </x:c>
      <x:c r="B7" s="31" t="str">
        <x:v>Alteplase</x:v>
      </x:c>
      <x:c r="C7" s="37" t="str">
        <x:v>รอตรวจสอบชื่อภาษาไทย</x:v>
      </x:c>
      <x:c r="D7" s="31" t="str">
        <x:v>รอตรวจสอบ</x:v>
      </x:c>
      <x:c r="E7" s="31" t="str">
        <x:v>[]</x:v>
      </x:c>
      <x:c r="F7" s="37" t="str">
        <x:v>ข้อมูลฉบับร่างจากเอกสารอ้างอิง อย. รอตรวจทานโดยผู้เชี่ยวชาญ</x:v>
      </x:c>
      <x:c r="G7" s="32" t="b">
        <x:v>0</x:v>
      </x:c>
      <x:c r="H7" s="37" t="str">
        <x:v>[{"type":"SMPC","url":"https://drug.fda.moph.go.th/media.php?id=809611851246739456&amp;name=SMPC_Alteplase_Powder and Solvent for Solution for Injection and Infusion.pdf","published_date":"27/11/2024"},{"type":"SMPC","url":"https://drug.fda.moph.go.th/media.php?id=809649071521406976&amp;name=SMPC_Alteplase_10-20-50_Powder and Solvent for Solution for Injection and Infusion.pdf","published_date":"27/11/2024"}]</x:v>
      </x:c>
      <x:c r="I7" s="31" t="str">
        <x:v>Draft</x:v>
      </x:c>
      <x:c r="J7" s="31" t="str">
        <x:v>2 mg; 10, 20, 50 MG</x:v>
      </x:c>
      <x:c r="K7" s="37"/>
      <x:c r="L7" s="37" t="str">
        <x:v>https://drug.fda.moph.go.th/media.php?id=809611851246739456&amp;name=SMPC_Alteplase_Powder and Solvent for Solution for Injection and Infusion.pdf
https://drug.fda.moph.go.th/media.php?id=809649071521406976&amp;name=SMPC_Alteplase_10-20-50_Powder and Solvent for Solution for Injection and Infusion.pdf</x:v>
      </x:c>
      <x:c r="M7" s="31" t="str">
        <x:v>YES</x:v>
      </x:c>
      <x:c r="N7" s="37" t="str">
        <x:v>Clinical review required before Published</x:v>
      </x:c>
    </x:row>
    <x:row r="8">
      <x:c r="A8" s="31" t="str">
        <x:v>aluminium_hydroxide</x:v>
      </x:c>
      <x:c r="B8" s="31" t="str">
        <x:v>Aluminium hydroxide</x:v>
      </x:c>
      <x:c r="C8" s="37" t="str">
        <x:v>อะ-ลู-มิ-เนียม-ไฮ-ดรอก-ไซด์</x:v>
      </x:c>
      <x:c r="D8" s="31" t="str">
        <x:v>รอตรวจสอบ</x:v>
      </x:c>
      <x:c r="E8" s="31" t="str">
        <x:v>[]</x:v>
      </x:c>
      <x:c r="F8" s="37" t="str">
        <x:v>ใช ้เพื่อลดกรดและบรรเทาอาการแสบท ้ อง ท ้ องอืด ที่เกิด จากกรดในกระเพาะอาหารมากเกิน</x:v>
      </x:c>
      <x:c r="G8" s="32" t="b">
        <x:v>0</x:v>
      </x:c>
      <x:c r="H8" s="37" t="str">
        <x:v>[{"type":"PIL","url":"https://drug.fda.moph.go.th/media.php?id=725941518057218048&amp;name=pil_Aluminium hydroxide (TABLET).pdf","published_date":"9/11/2023"}]</x:v>
      </x:c>
      <x:c r="I8" s="31" t="str">
        <x:v>Draft</x:v>
      </x:c>
      <x:c r="J8" s="31"/>
      <x:c r="K8" s="37" t="str">
        <x:v>https://drug.fda.moph.go.th/media.php?id=725941518057218048&amp;name=pil_Aluminium hydroxide (TABLET).pdf</x:v>
      </x:c>
      <x:c r="L8" s="37"/>
      <x:c r="M8" s="31" t="str">
        <x:v>YES</x:v>
      </x:c>
      <x:c r="N8" s="37" t="str">
        <x:v>Clinical review required before Published</x:v>
      </x:c>
    </x:row>
    <x:row r="9">
      <x:c r="A9" s="31" t="str">
        <x:v>aluminium_hydroxide_magnesium_hydroxide</x:v>
      </x:c>
      <x:c r="B9" s="31" t="str">
        <x:v>Aluminium hydroxide + Magnesium hydroxide</x:v>
      </x:c>
      <x:c r="C9" s="37" t="str">
        <x:v>ยาลดกรด อะลูม ินา-แมกนีเซีย ชนิดเม็ดและชนิดนํ้าแขวนตะกอน</x:v>
      </x:c>
      <x:c r="D9" s="31" t="str">
        <x:v>รอตรวจสอบ</x:v>
      </x:c>
      <x:c r="E9" s="31" t="str">
        <x:v>[]</x:v>
      </x:c>
      <x:c r="F9" s="37" t="str">
        <x:v>ใช ้เพื่อบรรเทาอาการจุกเสียด ท ้ องอืด ท ้ องเฟ้อ และ ปวดท ้อ งเนื่องจากมีกรดมากในกระเพาะอาหารหรือ แผลในกระเพาะอาหารและลําไส้</x:v>
      </x:c>
      <x:c r="G9" s="32" t="b">
        <x:v>0</x:v>
      </x:c>
      <x:c r="H9" s="37" t="str">
        <x:v>[{"type":"PIL","url":"https://drug.fda.moph.go.th/media.php?id=733956273732722688&amp;name=PIL ยาลดกรด Aluminium hydroxide + Magnesium hydroxide(15032024).pdf","published_date":"15/3/2024"},{"type":"SMPC","url":"https://drug.fda.moph.go.th/media.php?id=809650671178620928&amp;name=SMPC_aluminium hydroxide and magnesium hydroxide_suspension.pdf","published_date":"20/11/2024"}]</x:v>
      </x:c>
      <x:c r="I9" s="31" t="str">
        <x:v>Draft</x:v>
      </x:c>
      <x:c r="J9" s="31"/>
      <x:c r="K9" s="37" t="str">
        <x:v>https://drug.fda.moph.go.th/media.php?id=733956273732722688&amp;name=PIL ยาลดกรด Aluminium hydroxide + Magnesium hydroxide(15032024).pdf</x:v>
      </x:c>
      <x:c r="L9" s="37" t="str">
        <x:v>https://drug.fda.moph.go.th/media.php?id=809650671178620928&amp;name=SMPC_aluminium hydroxide and magnesium hydroxide_suspension.pdf</x:v>
      </x:c>
      <x:c r="M9" s="31" t="str">
        <x:v>YES</x:v>
      </x:c>
      <x:c r="N9" s="37" t="str">
        <x:v>Clinical review required before Published</x:v>
      </x:c>
    </x:row>
    <x:row r="10">
      <x:c r="A10" s="31" t="str">
        <x:v>aluminium_hydroxide_magnesium_hydroxide_simethicone</x:v>
      </x:c>
      <x:c r="B10" s="31" t="str">
        <x:v>Aluminium hydroxide + Magnesium hydroxide + Simethicone</x:v>
      </x:c>
      <x:c r="C10" s="37" t="str">
        <x:v>ยาลดกรด อะลูม ินา-แมกนีเซีย-ไซเมธิโคน ชนิดเม็ดและชนิดนํ้าแขวนตะกอน</x:v>
      </x:c>
      <x:c r="D10" s="31" t="str">
        <x:v>รอตรวจสอบ</x:v>
      </x:c>
      <x:c r="E10" s="31" t="str">
        <x:v>[]</x:v>
      </x:c>
      <x:c r="F10" s="37" t="str">
        <x:v>ใช ้เพื่อบรรเทาอาการจุกเสียด ท ้ องอืด ท ้ องเฟ้อ และปวดท ้อ งเนื่องจากมีกรดมากในกระเพาะ อาหารหรือแผลในกระเพาะอาหารและลําไส ้ และช่วยขับลม</x:v>
      </x:c>
      <x:c r="G10" s="32" t="b">
        <x:v>0</x:v>
      </x:c>
      <x:c r="H10" s="37" t="str">
        <x:v>[{"type":"PIL","url":"https://drug.fda.moph.go.th/media.php?id=733956003812483072&amp;name=PIL ยาลดกรด Aluminium hydroxide + Magnesium hydroxide + Simethicone (1503202.pdf","published_date":"15/3/2024"}]</x:v>
      </x:c>
      <x:c r="I10" s="31" t="str">
        <x:v>Draft</x:v>
      </x:c>
      <x:c r="J10" s="31"/>
      <x:c r="K10" s="37" t="str">
        <x:v>https://drug.fda.moph.go.th/media.php?id=733956003812483072&amp;name=PIL ยาลดกรด Aluminium hydroxide + Magnesium hydroxide + Simethicone (1503202.pdf</x:v>
      </x:c>
      <x:c r="L10" s="37"/>
      <x:c r="M10" s="31" t="str">
        <x:v>YES</x:v>
      </x:c>
      <x:c r="N10" s="37" t="str">
        <x:v>Clinical review required before Published</x:v>
      </x:c>
    </x:row>
    <x:row r="11">
      <x:c r="A11" s="31" t="str">
        <x:v>ambroxol</x:v>
      </x:c>
      <x:c r="B11" s="31" t="str">
        <x:v>Ambroxol</x:v>
      </x:c>
      <x:c r="C11" s="37" t="str">
        <x:v>แอม-บร็อก-ซอล</x:v>
      </x:c>
      <x:c r="D11" s="31" t="str">
        <x:v>รอตรวจสอบ</x:v>
      </x:c>
      <x:c r="E11" s="31" t="str">
        <x:v>[]</x:v>
      </x:c>
      <x:c r="F11" s="37" t="str">
        <x:v>ใช ้เพื่อละลายเสมหะ บรรเทาอาการไอที่มีเสมหะ</x:v>
      </x:c>
      <x:c r="G11" s="32" t="b">
        <x:v>0</x:v>
      </x:c>
      <x:c r="H11" s="37" t="str">
        <x:v>[{"type":"PIL","url":"https://drug.fda.moph.go.th/media.php?id=808234855765778432&amp;name=Ambroxol_syrup_PIL.pdf","published_date":"19/3/2025"},{"type":"SMPC","url":"https://drug.fda.moph.go.th/media.php?id=809651334000287744&amp;name=SMPC_Ambroxol_Syrup.pdf","published_date":"27/11/2024"}]</x:v>
      </x:c>
      <x:c r="I11" s="31" t="str">
        <x:v>Draft</x:v>
      </x:c>
      <x:c r="J11" s="31"/>
      <x:c r="K11" s="37" t="str">
        <x:v>https://drug.fda.moph.go.th/media.php?id=808234855765778432&amp;name=Ambroxol_syrup_PIL.pdf</x:v>
      </x:c>
      <x:c r="L11" s="37" t="str">
        <x:v>https://drug.fda.moph.go.th/media.php?id=809651334000287744&amp;name=SMPC_Ambroxol_Syrup.pdf</x:v>
      </x:c>
      <x:c r="M11" s="31" t="str">
        <x:v>YES</x:v>
      </x:c>
      <x:c r="N11" s="37" t="str">
        <x:v>Clinical review required before Published</x:v>
      </x:c>
    </x:row>
    <x:row r="12">
      <x:c r="A12" s="31" t="str">
        <x:v>amikacin</x:v>
      </x:c>
      <x:c r="B12" s="31" t="str">
        <x:v>amikacin sulfate</x:v>
      </x:c>
      <x:c r="C12" s="37" t="str">
        <x:v>อะมิคาซิน</x:v>
      </x:c>
      <x:c r="D12" s="31" t="str">
        <x:v>รอตรวจสอบ</x:v>
      </x:c>
      <x:c r="E12" s="31" t="str">
        <x:v>[]</x:v>
      </x:c>
      <x:c r="F12" s="37" t="str">
        <x:v>ใช ้รักษาโรคติดเชื้อแบคทีเรียที่ไวต่อยานี้</x:v>
      </x:c>
      <x:c r="G12" s="32" t="b">
        <x:v>0</x:v>
      </x:c>
      <x:c r="H12" s="37" t="str">
        <x:v>[{"type":"PIL","url":"https://drug.fda.moph.go.th/media.php?id=862918393123184640&amp;name=24.amikacin sulfate_sterile solution_PIL_final.pdf","published_date":"13/2/2026"}]</x:v>
      </x:c>
      <x:c r="I12" s="31" t="str">
        <x:v>Draft</x:v>
      </x:c>
      <x:c r="J12" s="31"/>
      <x:c r="K12" s="37" t="str">
        <x:v>https://drug.fda.moph.go.th/media.php?id=862918393123184640&amp;name=24.amikacin sulfate_sterile solution_PIL_final.pdf</x:v>
      </x:c>
      <x:c r="L12" s="37"/>
      <x:c r="M12" s="31" t="str">
        <x:v>YES</x:v>
      </x:c>
      <x:c r="N12" s="37" t="str">
        <x:v>Clinical review required before Published</x:v>
      </x:c>
    </x:row>
    <x:row r="13">
      <x:c r="A13" s="31" t="str">
        <x:v>amino_acid</x:v>
      </x:c>
      <x:c r="B13" s="31" t="str">
        <x:v>Amino acid</x:v>
      </x:c>
      <x:c r="C13" s="37" t="str">
        <x:v>สารละลายกรดอะมิโน</x:v>
      </x:c>
      <x:c r="D13" s="31" t="str">
        <x:v>รอตรวจสอบ</x:v>
      </x:c>
      <x:c r="E13" s="31" t="str">
        <x:v>[]</x:v>
      </x:c>
      <x:c r="F13" s="37" t="str">
        <x:v>● ยานี้ใช ้เพื่อให ้กรดอะมิโนในทารกและเด็ก</x:v>
      </x:c>
      <x:c r="G13" s="32" t="b">
        <x:v>0</x:v>
      </x:c>
      <x:c r="H13" s="37" t="str">
        <x:v>[{"type":"PIL","url":"https://drug.fda.moph.go.th/media.php?id=904601731533512704&amp;name=1. Ref PIL_Amino acid.pdf","published_date":"8/6/2026"},{"type":"SMPC","url":"https://drug.fda.moph.go.th/media.php?id=904601730573017088&amp;name=1. Ref SmPC_Amino acid.pdf","published_date":"8/6/2026"}]</x:v>
      </x:c>
      <x:c r="I13" s="31" t="str">
        <x:v>Draft</x:v>
      </x:c>
      <x:c r="J13" s="31"/>
      <x:c r="K13" s="37" t="str">
        <x:v>https://drug.fda.moph.go.th/media.php?id=904601731533512704&amp;name=1. Ref PIL_Amino acid.pdf</x:v>
      </x:c>
      <x:c r="L13" s="37" t="str">
        <x:v>https://drug.fda.moph.go.th/media.php?id=904601730573017088&amp;name=1. Ref SmPC_Amino acid.pdf</x:v>
      </x:c>
      <x:c r="M13" s="31" t="str">
        <x:v>YES</x:v>
      </x:c>
      <x:c r="N13" s="37" t="str">
        <x:v>Clinical review required before Published</x:v>
      </x:c>
    </x:row>
    <x:row r="14">
      <x:c r="A14" s="31" t="str">
        <x:v>aminophylline</x:v>
      </x:c>
      <x:c r="B14" s="31" t="str">
        <x:v>aminophylline</x:v>
      </x:c>
      <x:c r="C14" s="37" t="str">
        <x:v>อะ-มิ-โน-ฟิล-ลีน</x:v>
      </x:c>
      <x:c r="D14" s="31" t="str">
        <x:v>รอตรวจสอบ</x:v>
      </x:c>
      <x:c r="E14" s="31" t="str">
        <x:v>[]</x:v>
      </x:c>
      <x:c r="F14" s="37" t="str">
        <x:v>ใช ้รักษาโรคหอบหืด • ใช ้รักษาโรคถุงลมโป่ งพอง</x:v>
      </x:c>
      <x:c r="G14" s="32" t="b">
        <x:v>0</x:v>
      </x:c>
      <x:c r="H14" s="37" t="str">
        <x:v>[{"type":"PIL","url":"https://drug.fda.moph.go.th/media.php?id=862918394586996736&amp;name=27. Aminophylline_tablet_PIL_Final.pdf","published_date":"13/2/2026"}]</x:v>
      </x:c>
      <x:c r="I14" s="31" t="str">
        <x:v>Draft</x:v>
      </x:c>
      <x:c r="J14" s="31"/>
      <x:c r="K14" s="37" t="str">
        <x:v>https://drug.fda.moph.go.th/media.php?id=862918394586996736&amp;name=27. Aminophylline_tablet_PIL_Final.pdf</x:v>
      </x:c>
      <x:c r="L14" s="37"/>
      <x:c r="M14" s="31" t="str">
        <x:v>YES</x:v>
      </x:c>
      <x:c r="N14" s="37" t="str">
        <x:v>Clinical review required before Published</x:v>
      </x:c>
    </x:row>
    <x:row r="15">
      <x:c r="A15" s="31" t="str">
        <x:v>amitriptyline</x:v>
      </x:c>
      <x:c r="B15" s="31" t="str">
        <x:v>Amitriptyline hydrochloride</x:v>
      </x:c>
      <x:c r="C15" s="37" t="str">
        <x:v>อะ-มิ-ทริป-ไท-ลีน-ไฮ-โดร-คลอ-ไรด์</x:v>
      </x:c>
      <x:c r="D15" s="31" t="str">
        <x:v>รอตรวจสอบ</x:v>
      </x:c>
      <x:c r="E15" s="31" t="str">
        <x:v>[]</x:v>
      </x:c>
      <x:c r="F15" s="37" t="str">
        <x:v>● ใช ้รักษาโรคซึมเศร ้า ● ใช ้ป้องกันการเกิดไมเกรน อาการปวดหัวเรื้อรัง ● ใช ้รักษาโรคปวดปลายประสาท ● ใช ้รักษาอาการปัสสาวะรดที่นอน ในเด็กอายุ 6 ปีขึ้นไป</x:v>
      </x:c>
      <x:c r="G15" s="32" t="b">
        <x:v>0</x:v>
      </x:c>
      <x:c r="H15" s="37" t="str">
        <x:v>[{"type":"SMPC","url":"https://drug.fda.moph.go.th/media.php?id=809652580375470080&amp;name=SMPC_Amitriptyline_Tablets.pdf","published_date":"27/11/2024"},{"type":"PIL","url":"https://drug.fda.moph.go.th/media.php?id=862918386114502656&amp;name=40.Amitriptyline_tablet_PIL.pdf","published_date":"13/2/2026"}]</x:v>
      </x:c>
      <x:c r="I15" s="31" t="str">
        <x:v>Draft</x:v>
      </x:c>
      <x:c r="J15" s="31"/>
      <x:c r="K15" s="37" t="str">
        <x:v>https://drug.fda.moph.go.th/media.php?id=862918386114502656&amp;name=40.Amitriptyline_tablet_PIL.pdf</x:v>
      </x:c>
      <x:c r="L15" s="37" t="str">
        <x:v>https://drug.fda.moph.go.th/media.php?id=809652580375470080&amp;name=SMPC_Amitriptyline_Tablets.pdf</x:v>
      </x:c>
      <x:c r="M15" s="31" t="str">
        <x:v>YES</x:v>
      </x:c>
      <x:c r="N15" s="37" t="str">
        <x:v>Clinical review required before Published</x:v>
      </x:c>
    </x:row>
    <x:row r="16">
      <x:c r="A16" s="31" t="str">
        <x:v>amoxicillin</x:v>
      </x:c>
      <x:c r="B16" s="31" t="str">
        <x:v>Amoxicillin</x:v>
      </x:c>
      <x:c r="C16" s="37" t="str">
        <x:v>อะ-ม็อก-ซิ-ซิล-ลิน</x:v>
      </x:c>
      <x:c r="D16" s="31" t="str">
        <x:v>รอตรวจสอบ</x:v>
      </x:c>
      <x:c r="E16" s="31" t="str">
        <x:v>[]</x:v>
      </x:c>
      <x:c r="F16" s="37" t="str">
        <x:v>ใช ้เพื่อรักษาการติดเชื้อแบคทีเรีย ที่ได ้ รับการวินิจฉัยว่า ต ้องใช ้ยานี้</x:v>
      </x:c>
      <x:c r="G16" s="32" t="b">
        <x:v>0</x:v>
      </x:c>
      <x:c r="H16" s="37" t="str">
        <x:v>[{"type":"PIL","url":"https://drug.fda.moph.go.th/media.php?id=725942083768164352&amp;name=pil_Amoxicillin (CAPSULE, HARD).pdf","published_date":"9/11/2023"},{"type":"PIL","url":"https://drug.fda.moph.go.th/media.php?id=725942176474865664&amp;name=pil_Amoxicillin (DRY SYRUP).pdf","published_date":"9/11/2023"},{"type":"SMPC","url":"https://drug.fda.moph.go.th/media.php?id=809653143766966272&amp;name=SMPC_Amoxicillin_Dry syrup.pdf","published_date":"27/11/2024"},{"type":"SMPC","url":"https://drug.fda.moph.go.th/media.php?id=809653635419086848&amp;name=SMPC_Amoxicillin_Film-coated tablet.pdf","published_date":"20/11/2024"}]</x:v>
      </x:c>
      <x:c r="I16" s="31" t="str">
        <x:v>Draft</x:v>
      </x:c>
      <x:c r="J16" s="31"/>
      <x:c r="K16" s="37" t="str">
        <x:v>https://drug.fda.moph.go.th/media.php?id=725942083768164352&amp;name=pil_Amoxicillin (CAPSULE, HARD).pdf
https://drug.fda.moph.go.th/media.php?id=725942176474865664&amp;name=pil_Amoxicillin (DRY SYRUP).pdf</x:v>
      </x:c>
      <x:c r="L16" s="37" t="str">
        <x:v>https://drug.fda.moph.go.th/media.php?id=809653143766966272&amp;name=SMPC_Amoxicillin_Dry syrup.pdf
https://drug.fda.moph.go.th/media.php?id=809653635419086848&amp;name=SMPC_Amoxicillin_Film-coated tablet.pdf</x:v>
      </x:c>
      <x:c r="M16" s="31" t="str">
        <x:v>YES</x:v>
      </x:c>
      <x:c r="N16" s="37" t="str">
        <x:v>Clinical review required before Published</x:v>
      </x:c>
    </x:row>
    <x:row r="17">
      <x:c r="A17" s="31" t="str">
        <x:v>amoxicillin_trihydrate_potassium_clavulanate</x:v>
      </x:c>
      <x:c r="B17" s="31" t="str">
        <x:v>amoxicillin trihydrate+potassium clavulanate</x:v>
      </x:c>
      <x:c r="C17" s="37" t="str">
        <x:v>อะม็อกซิซิลลิน ผสม กรดคลาวูลานิค</x:v>
      </x:c>
      <x:c r="D17" s="31" t="str">
        <x:v>รอตรวจสอบ</x:v>
      </x:c>
      <x:c r="E17" s="31" t="str">
        <x:v>[]</x:v>
      </x:c>
      <x:c r="F17" s="37" t="str">
        <x:v>ใช ้รักษาการติดเชื้อแบคทีเรียข</x:v>
      </x:c>
      <x:c r="G17" s="32" t="b">
        <x:v>0</x:v>
      </x:c>
      <x:c r="H17" s="37" t="str">
        <x:v>[{"type":"PIL","url":"https://drug.fda.moph.go.th/media.php?id=862918390451412992&amp;name=20. amoxicillin+clavulanate_tablets_PIL_final.pdf","published_date":"13/2/2026"}]</x:v>
      </x:c>
      <x:c r="I17" s="31" t="str">
        <x:v>Draft</x:v>
      </x:c>
      <x:c r="J17" s="31"/>
      <x:c r="K17" s="37" t="str">
        <x:v>https://drug.fda.moph.go.th/media.php?id=862918390451412992&amp;name=20. amoxicillin+clavulanate_tablets_PIL_final.pdf</x:v>
      </x:c>
      <x:c r="L17" s="37"/>
      <x:c r="M17" s="31" t="str">
        <x:v>YES</x:v>
      </x:c>
      <x:c r="N17" s="37" t="str">
        <x:v>Clinical review required before Published</x:v>
      </x:c>
    </x:row>
    <x:row r="18">
      <x:c r="A18" s="31" t="str">
        <x:v>ampicillin</x:v>
      </x:c>
      <x:c r="B18" s="31" t="str">
        <x:v>Ampicillin</x:v>
      </x:c>
      <x:c r="C18" s="37" t="str">
        <x:v>แอม-พิ-ซิล-ลิน</x:v>
      </x:c>
      <x:c r="D18" s="31" t="str">
        <x:v>รอตรวจสอบ</x:v>
      </x:c>
      <x:c r="E18" s="31" t="str">
        <x:v>[]</x:v>
      </x:c>
      <x:c r="F18" s="37" t="str">
        <x:v>● ใช ้รักษาการติดเชื้อแบคทีเรียที่ไวต่อยานี้</x:v>
      </x:c>
      <x:c r="G18" s="32" t="b">
        <x:v>0</x:v>
      </x:c>
      <x:c r="H18" s="37" t="str">
        <x:v>[{"type":"PIL","url":"https://drug.fda.moph.go.th/media.php?id=808235943126507520&amp;name=Ampicillin_capsulehardFilmcoatedtablet_PIL.pdf","published_date":"19/3/2025"}]</x:v>
      </x:c>
      <x:c r="I18" s="31" t="str">
        <x:v>Draft</x:v>
      </x:c>
      <x:c r="J18" s="31"/>
      <x:c r="K18" s="37" t="str">
        <x:v>https://drug.fda.moph.go.th/media.php?id=808235943126507520&amp;name=Ampicillin_capsulehardFilmcoatedtablet_PIL.pdf</x:v>
      </x:c>
      <x:c r="L18" s="37"/>
      <x:c r="M18" s="31" t="str">
        <x:v>YES</x:v>
      </x:c>
      <x:c r="N18" s="37" t="str">
        <x:v>Clinical review required before Published</x:v>
      </x:c>
    </x:row>
    <x:row r="19">
      <x:c r="A19" s="31" t="str">
        <x:v>amyl_metacresol_2_4_dichloro_benzyl_alcohol_ascorbic_acid</x:v>
      </x:c>
      <x:c r="B19" s="31" t="str">
        <x:v>ยาอมบรรเทาอาการเจ็บคอ ชนิดเม็ด สูตร Amyl metacresol และ 2,4 dichloro benzyl alcohol และอาจมีวิตามินซี (ascorbic acid)</x:v>
      </x:c>
      <x:c r="C19" s="37" t="str">
        <x:v>ยาอม บรรเทาอาการเจ็บคอ ชนิดเม็ด</x:v>
      </x:c>
      <x:c r="D19" s="31" t="str">
        <x:v>รอตรวจสอบ</x:v>
      </x:c>
      <x:c r="E19" s="31" t="str">
        <x:v>[]</x:v>
      </x:c>
      <x:c r="F19" s="37" t="str">
        <x:v>ใช ้เพื่อบรรเทาอาการเจ็บคอ</x:v>
      </x:c>
      <x:c r="G19" s="32" t="b">
        <x:v>0</x:v>
      </x:c>
      <x:c r="H19" s="37" t="str">
        <x:v>[{"type":"PIL","url":"https://drug.fda.moph.go.th/media.php?id=733928774151839744&amp;name=PIL ยาอมบรรเทาอาการเจ็บคอ_(150320204).pdf","published_date":"15/3/2024"}]</x:v>
      </x:c>
      <x:c r="I19" s="31" t="str">
        <x:v>Draft</x:v>
      </x:c>
      <x:c r="J19" s="31"/>
      <x:c r="K19" s="37" t="str">
        <x:v>https://drug.fda.moph.go.th/media.php?id=733928774151839744&amp;name=PIL ยาอมบรรเทาอาการเจ็บคอ_(150320204).pdf</x:v>
      </x:c>
      <x:c r="L19" s="37"/>
      <x:c r="M19" s="31" t="str">
        <x:v>YES</x:v>
      </x:c>
      <x:c r="N19" s="37" t="str">
        <x:v>Clinical review required before Published</x:v>
      </x:c>
    </x:row>
    <x:row r="20">
      <x:c r="A20" s="31" t="str">
        <x:v>asafoetida_tincture</x:v>
      </x:c>
      <x:c r="B20" s="31" t="str">
        <x:v>Asafoetida tincture</x:v>
      </x:c>
      <x:c r="C20" s="37" t="str">
        <x:v>ยาทาแก ้ท้องอืด ท้องเฟ ้ อ ท ิงเจอร ์มหาห ิงคุ ์ ชนิดนํ้า</x:v>
      </x:c>
      <x:c r="D20" s="31" t="str">
        <x:v>รอตรวจสอบ</x:v>
      </x:c>
      <x:c r="E20" s="31" t="str">
        <x:v>[]</x:v>
      </x:c>
      <x:c r="F20" s="37" t="str">
        <x:v>ใช ้เพื่อบรรเทาอาการท ้อ งอืด ท ้ องเฟ้อ ปวดท ้ องในเด็ก</x:v>
      </x:c>
      <x:c r="G20" s="32" t="b">
        <x:v>0</x:v>
      </x:c>
      <x:c r="H20" s="37" t="str">
        <x:v>[{"type":"PIL","url":"https://drug.fda.moph.go.th/media.php?id=733928051582312448&amp;name=PIL asafetida tincture_ทิงเจอร์มหาหิงคุ์ (15032024).pdf","published_date":"15/3/2024"}]</x:v>
      </x:c>
      <x:c r="I20" s="31" t="str">
        <x:v>Draft</x:v>
      </x:c>
      <x:c r="J20" s="31"/>
      <x:c r="K20" s="37" t="str">
        <x:v>https://drug.fda.moph.go.th/media.php?id=733928051582312448&amp;name=PIL asafetida tincture_ทิงเจอร์มหาหิงคุ์ (15032024).pdf</x:v>
      </x:c>
      <x:c r="L20" s="37"/>
      <x:c r="M20" s="31" t="str">
        <x:v>YES</x:v>
      </x:c>
      <x:c r="N20" s="37" t="str">
        <x:v>Clinical review required before Published</x:v>
      </x:c>
    </x:row>
    <x:row r="21">
      <x:c r="A21" s="31" t="str">
        <x:v>ascorbic_acid</x:v>
      </x:c>
      <x:c r="B21" s="31" t="str">
        <x:v>Ascorbic acid</x:v>
      </x:c>
      <x:c r="C21" s="37" t="str">
        <x:v>รอตรวจสอบชื่อภาษาไทย</x:v>
      </x:c>
      <x:c r="D21" s="31" t="str">
        <x:v>รอตรวจสอบ</x:v>
      </x:c>
      <x:c r="E21" s="31" t="str">
        <x:v>[]</x:v>
      </x:c>
      <x:c r="F21" s="37" t="str">
        <x:v>ข้อมูลฉบับร่างจากเอกสารอ้างอิง อย. รอตรวจทานโดยผู้เชี่ยวชาญ</x:v>
      </x:c>
      <x:c r="G21" s="32" t="b">
        <x:v>0</x:v>
      </x:c>
      <x:c r="H21" s="37" t="str">
        <x:v>[{"type":"SMPC","url":"https://drug.fda.moph.go.th/media.php?id=809654213054439424&amp;name=SMPC_Ascorbic acid_solution for injection.pdf","published_date":"22/11/2024"},{"type":"SMPC","url":"https://drug.fda.moph.go.th/media.php?id=809654735215927296&amp;name=SMPC_Ascorbic acid_Tablet.pdf","published_date":"22/11/2024"}]</x:v>
      </x:c>
      <x:c r="I21" s="31" t="str">
        <x:v>Draft</x:v>
      </x:c>
      <x:c r="J21" s="31"/>
      <x:c r="K21" s="37"/>
      <x:c r="L21" s="37" t="str">
        <x:v>https://drug.fda.moph.go.th/media.php?id=809654213054439424&amp;name=SMPC_Ascorbic acid_solution for injection.pdf
https://drug.fda.moph.go.th/media.php?id=809654735215927296&amp;name=SMPC_Ascorbic acid_Tablet.pdf</x:v>
      </x:c>
      <x:c r="M21" s="31" t="str">
        <x:v>YES</x:v>
      </x:c>
      <x:c r="N21" s="37" t="str">
        <x:v>Clinical review required before Published</x:v>
      </x:c>
    </x:row>
    <x:row r="22">
      <x:c r="A22" s="31" t="str">
        <x:v>atenolol</x:v>
      </x:c>
      <x:c r="B22" s="31" t="str">
        <x:v>Atenolol</x:v>
      </x:c>
      <x:c r="C22" s="37" t="str">
        <x:v>อะทีโนลอล</x:v>
      </x:c>
      <x:c r="D22" s="31" t="str">
        <x:v>รอตรวจสอบ</x:v>
      </x:c>
      <x:c r="E22" s="31" t="str">
        <x:v>[]</x:v>
      </x:c>
      <x:c r="F22" s="37" t="str">
        <x:v>รักษาภาวะความดันโลหิตสูง • รักษาอาการเจ็บเค ้ นหน ้ าอก • รักษาภาวะหัวใจเต ้ นผิดปกติ • ป้องกันความผิดปกติของหัวใจหลังภาวะหัวใจวาย</x:v>
      </x:c>
      <x:c r="G22" s="32" t="b">
        <x:v>0</x:v>
      </x:c>
      <x:c r="H22" s="37" t="str">
        <x:v>[{"type":"PIL","url":"https://drug.fda.moph.go.th/media.php?id=725640787408330752&amp;name=pil_Atenolol (tablet 50 mg, 100 mg).pdf","published_date":"9/8/2023"}]</x:v>
      </x:c>
      <x:c r="I22" s="31" t="str">
        <x:v>Draft</x:v>
      </x:c>
      <x:c r="J22" s="31" t="str">
        <x:v>50 mg, 100 mg</x:v>
      </x:c>
      <x:c r="K22" s="37" t="str">
        <x:v>https://drug.fda.moph.go.th/media.php?id=725640787408330752&amp;name=pil_Atenolol (tablet 50 mg, 100 mg).pdf</x:v>
      </x:c>
      <x:c r="L22" s="37"/>
      <x:c r="M22" s="31" t="str">
        <x:v>YES</x:v>
      </x:c>
      <x:c r="N22" s="37" t="str">
        <x:v>Clinical review required before Published</x:v>
      </x:c>
    </x:row>
    <x:row r="23">
      <x:c r="A23" s="31" t="str">
        <x:v>atropine</x:v>
      </x:c>
      <x:c r="B23" s="31" t="str">
        <x:v>Atropine</x:v>
      </x:c>
      <x:c r="C23" s="37" t="str">
        <x:v>รอตรวจสอบชื่อภาษาไทย</x:v>
      </x:c>
      <x:c r="D23" s="31" t="str">
        <x:v>รอตรวจสอบ</x:v>
      </x:c>
      <x:c r="E23" s="31" t="str">
        <x:v>[]</x:v>
      </x:c>
      <x:c r="F23" s="37" t="str">
        <x:v>ข้อมูลฉบับร่างจากเอกสารอ้างอิง อย. รอตรวจทานโดยผู้เชี่ยวชาญ</x:v>
      </x:c>
      <x:c r="G23" s="32" t="b">
        <x:v>0</x:v>
      </x:c>
      <x:c r="H23" s="37" t="str">
        <x:v>[{"type":"SMPC","url":"https://drug.fda.moph.go.th/media.php?id=809657437689880576&amp;name=SMPC_Atropine_Tablets.pdf","published_date":"21/11/2024"}]</x:v>
      </x:c>
      <x:c r="I23" s="31" t="str">
        <x:v>Draft</x:v>
      </x:c>
      <x:c r="J23" s="31" t="str">
        <x:v>0.6 mg</x:v>
      </x:c>
      <x:c r="K23" s="37"/>
      <x:c r="L23" s="37" t="str">
        <x:v>https://drug.fda.moph.go.th/media.php?id=809657437689880576&amp;name=SMPC_Atropine_Tablets.pdf</x:v>
      </x:c>
      <x:c r="M23" s="31" t="str">
        <x:v>YES</x:v>
      </x:c>
      <x:c r="N23" s="37" t="str">
        <x:v>Clinical review required before Published</x:v>
      </x:c>
    </x:row>
    <x:row r="24">
      <x:c r="A24" s="31" t="str">
        <x:v>benzoic_acid_salicylic_acid</x:v>
      </x:c>
      <x:c r="B24" s="31" t="str">
        <x:v>Benzoic acid + Salicylic acid</x:v>
      </x:c>
      <x:c r="C24" s="37" t="str">
        <x:v>รอตรวจสอบชื่อภาษาไทย</x:v>
      </x:c>
      <x:c r="D24" s="31" t="str">
        <x:v>รอตรวจสอบ</x:v>
      </x:c>
      <x:c r="E24" s="31" t="str">
        <x:v>[]</x:v>
      </x:c>
      <x:c r="F24" s="37" t="str">
        <x:v>ยานี้ใช ้เพื่อรักษากลากเกลื้อน และโรคนํ้ากัดเท ้ า</x:v>
      </x:c>
      <x:c r="G24" s="32" t="b">
        <x:v>0</x:v>
      </x:c>
      <x:c r="H24" s="37" t="str">
        <x:v>[{"type":"PIL","url":"https://drug.fda.moph.go.th/media.php?id=733955509325012992&amp;name=PIL ยารักษากลากเกลื้อนน้ำกัดเท้า Benzoic acid + Salicylic acid ชนิดขี้ผึ้ง.pdf","published_date":"15/3/2024"}]</x:v>
      </x:c>
      <x:c r="I24" s="31" t="str">
        <x:v>Draft</x:v>
      </x:c>
      <x:c r="J24" s="31"/>
      <x:c r="K24" s="37" t="str">
        <x:v>https://drug.fda.moph.go.th/media.php?id=733955509325012992&amp;name=PIL ยารักษากลากเกลื้อนน้ำกัดเท้า Benzoic acid + Salicylic acid ชนิดขี้ผึ้ง.pdf</x:v>
      </x:c>
      <x:c r="L24" s="37"/>
      <x:c r="M24" s="31" t="str">
        <x:v>YES</x:v>
      </x:c>
      <x:c r="N24" s="37" t="str">
        <x:v>Clinical review required before Published</x:v>
      </x:c>
    </x:row>
    <x:row r="25">
      <x:c r="A25" s="31" t="str">
        <x:v>benzoyl_peroxide</x:v>
      </x:c>
      <x:c r="B25" s="31" t="str">
        <x:v>Benzoyl peroxide</x:v>
      </x:c>
      <x:c r="C25" s="37" t="str">
        <x:v>รอตรวจสอบชื่อภาษาไทย</x:v>
      </x:c>
      <x:c r="D25" s="31" t="str">
        <x:v>รอตรวจสอบ</x:v>
      </x:c>
      <x:c r="E25" s="31" t="str">
        <x:v>[]</x:v>
      </x:c>
      <x:c r="F25" s="37" t="str">
        <x:v>ข้อมูลฉบับร่างจากเอกสารอ้างอิง อย. รอตรวจทานโดยผู้เชี่ยวชาญ</x:v>
      </x:c>
      <x:c r="G25" s="32" t="b">
        <x:v>0</x:v>
      </x:c>
      <x:c r="H25" s="37" t="str">
        <x:v>[{"type":"SMPC","url":"https://drug.fda.moph.go.th/media.php?id=809657948493193216&amp;name=SMPC_Benzoyl peroxide_cream.pdf","published_date":"21/11/2024"}]</x:v>
      </x:c>
      <x:c r="I25" s="31" t="str">
        <x:v>Draft</x:v>
      </x:c>
      <x:c r="J25" s="31"/>
      <x:c r="K25" s="37"/>
      <x:c r="L25" s="37" t="str">
        <x:v>https://drug.fda.moph.go.th/media.php?id=809657948493193216&amp;name=SMPC_Benzoyl peroxide_cream.pdf</x:v>
      </x:c>
      <x:c r="M25" s="31" t="str">
        <x:v>YES</x:v>
      </x:c>
      <x:c r="N25" s="37" t="str">
        <x:v>Clinical review required before Published</x:v>
      </x:c>
    </x:row>
    <x:row r="26">
      <x:c r="A26" s="31" t="str">
        <x:v>benzyl_benzoate</x:v>
      </x:c>
      <x:c r="B26" s="31" t="str">
        <x:v>Benzyl benzoate</x:v>
      </x:c>
      <x:c r="C26" s="37" t="str">
        <x:v>เบนซิลเบนโซเอต</x:v>
      </x:c>
      <x:c r="D26" s="31" t="str">
        <x:v>รอตรวจสอบ</x:v>
      </x:c>
      <x:c r="E26" s="31" t="str">
        <x:v>[]</x:v>
      </x:c>
      <x:c r="F26" s="37" t="str">
        <x:v>ยานี้ใช ้เพื่อรักษา หิด เหา และโลน</x:v>
      </x:c>
      <x:c r="G26" s="32" t="b">
        <x:v>0</x:v>
      </x:c>
      <x:c r="H26" s="37" t="str">
        <x:v>[{"type":"PIL","url":"https://drug.fda.moph.go.th/media.php?id=733955238301671424&amp;name=PIL ยารักษาหิดเหา Benzyl benzoate (15032024).pdf","published_date":"15/3/2024"}]</x:v>
      </x:c>
      <x:c r="I26" s="31" t="str">
        <x:v>Draft</x:v>
      </x:c>
      <x:c r="J26" s="31" t="str">
        <x:v>25%w/v</x:v>
      </x:c>
      <x:c r="K26" s="37" t="str">
        <x:v>https://drug.fda.moph.go.th/media.php?id=733955238301671424&amp;name=PIL ยารักษาหิดเหา Benzyl benzoate (15032024).pdf</x:v>
      </x:c>
      <x:c r="L26" s="37"/>
      <x:c r="M26" s="31" t="str">
        <x:v>YES</x:v>
      </x:c>
      <x:c r="N26" s="37" t="str">
        <x:v>Clinical review required before Published</x:v>
      </x:c>
    </x:row>
    <x:row r="27">
      <x:c r="A27" s="31" t="str">
        <x:v>benzylpenicillin_penicillin_g</x:v>
      </x:c>
      <x:c r="B27" s="31" t="str">
        <x:v>Benzylpenicillin (Penicillin G)</x:v>
      </x:c>
      <x:c r="C27" s="37" t="str">
        <x:v>รอตรวจสอบชื่อภาษาไทย</x:v>
      </x:c>
      <x:c r="D27" s="31" t="str">
        <x:v>รอตรวจสอบ</x:v>
      </x:c>
      <x:c r="E27" s="31" t="str">
        <x:v>[]</x:v>
      </x:c>
      <x:c r="F27" s="37" t="str">
        <x:v>ข้อมูลฉบับร่างจากเอกสารอ้างอิง อย. รอตรวจทานโดยผู้เชี่ยวชาญ</x:v>
      </x:c>
      <x:c r="G27" s="32" t="b">
        <x:v>0</x:v>
      </x:c>
      <x:c r="H27" s="37" t="str">
        <x:v>[{"type":"SMPC","url":"https://drug.fda.moph.go.th/media.php?id=809658888994562048&amp;name=SMPC_Benzylpenicillin Sodium_Powders for solutions for injections or infusions.pdf","published_date":"27/11/2024"}]</x:v>
      </x:c>
      <x:c r="I27" s="31" t="str">
        <x:v>Draft</x:v>
      </x:c>
      <x:c r="J27" s="31"/>
      <x:c r="K27" s="37"/>
      <x:c r="L27" s="37" t="str">
        <x:v>https://drug.fda.moph.go.th/media.php?id=809658888994562048&amp;name=SMPC_Benzylpenicillin Sodium_Powders for solutions for injections or infusions.pdf</x:v>
      </x:c>
      <x:c r="M27" s="31" t="str">
        <x:v>YES</x:v>
      </x:c>
      <x:c r="N27" s="37" t="str">
        <x:v>Clinical review required before Published</x:v>
      </x:c>
    </x:row>
    <x:row r="28">
      <x:c r="A28" s="31" t="str">
        <x:v>betahistine</x:v>
      </x:c>
      <x:c r="B28" s="31" t="str">
        <x:v>Betahistine</x:v>
      </x:c>
      <x:c r="C28" s="37" t="str">
        <x:v>เบ-ตา-ฮิส-ทีน-ได-ไฮ-โดร-คลอ-ไรด์</x:v>
      </x:c>
      <x:c r="D28" s="31" t="str">
        <x:v>รอตรวจสอบ</x:v>
      </x:c>
      <x:c r="E28" s="31" t="str">
        <x:v>[]</x:v>
      </x:c>
      <x:c r="F28" s="37" t="str">
        <x:v>● ใช ้รักษากลุ่มอาการมีเนียร์ (Ménière’s) ซึ่งท าให ้เกิดอาการเวียนหัวบ ้านหมุน การได ้ยินลดลง หรือได ้ยินเสียงวิ้งในหู</x:v>
      </x:c>
      <x:c r="G28" s="32" t="b">
        <x:v>0</x:v>
      </x:c>
      <x:c r="H28" s="37" t="str">
        <x:v>[{"type":"PIL","url":"https://drug.fda.moph.go.th/media.php?id=808238767218499584&amp;name=Betahistine_tablet, film coated tablet_PIL.pdf","published_date":"19/3/2025"}]</x:v>
      </x:c>
      <x:c r="I28" s="31" t="str">
        <x:v>Draft</x:v>
      </x:c>
      <x:c r="J28" s="31"/>
      <x:c r="K28" s="37" t="str">
        <x:v>https://drug.fda.moph.go.th/media.php?id=808238767218499584&amp;name=Betahistine_tablet, film coated tablet_PIL.pdf</x:v>
      </x:c>
      <x:c r="L28" s="37"/>
      <x:c r="M28" s="31" t="str">
        <x:v>YES</x:v>
      </x:c>
      <x:c r="N28" s="37" t="str">
        <x:v>Clinical review required before Published</x:v>
      </x:c>
    </x:row>
    <x:row r="29">
      <x:c r="A29" s="31" t="str">
        <x:v>bethamethasone_dipropionate</x:v>
      </x:c>
      <x:c r="B29" s="31" t="str">
        <x:v>Bethamethasone dipropionate</x:v>
      </x:c>
      <x:c r="C29" s="37" t="str">
        <x:v>รอตรวจสอบชื่อภาษาไทย</x:v>
      </x:c>
      <x:c r="D29" s="31" t="str">
        <x:v>รอตรวจสอบ</x:v>
      </x:c>
      <x:c r="E29" s="31" t="str">
        <x:v>[]</x:v>
      </x:c>
      <x:c r="F29" s="37" t="str">
        <x:v>ข้อมูลฉบับร่างจากเอกสารอ้างอิง อย. รอตรวจทานโดยผู้เชี่ยวชาญ</x:v>
      </x:c>
      <x:c r="G29" s="32" t="b">
        <x:v>0</x:v>
      </x:c>
      <x:c r="H29" s="37" t="str">
        <x:v>[{"type":"SMPC","url":"https://drug.fda.moph.go.th/media.php?id=809659445213798400&amp;name=SMPC_Bethamethasone dipropionate_cream.pdf","published_date":"22/11/2024"}]</x:v>
      </x:c>
      <x:c r="I29" s="31" t="str">
        <x:v>Draft</x:v>
      </x:c>
      <x:c r="J29" s="31"/>
      <x:c r="K29" s="37"/>
      <x:c r="L29" s="37" t="str">
        <x:v>https://drug.fda.moph.go.th/media.php?id=809659445213798400&amp;name=SMPC_Bethamethasone dipropionate_cream.pdf</x:v>
      </x:c>
      <x:c r="M29" s="31" t="str">
        <x:v>YES</x:v>
      </x:c>
      <x:c r="N29" s="37" t="str">
        <x:v>Clinical review required before Published</x:v>
      </x:c>
    </x:row>
    <x:row r="30">
      <x:c r="A30" s="31" t="str">
        <x:v>bisacodyl</x:v>
      </x:c>
      <x:c r="B30" s="31" t="str">
        <x:v>Bisacodyl</x:v>
      </x:c>
      <x:c r="C30" s="37" t="str">
        <x:v>รอตรวจสอบชื่อภาษาไทย</x:v>
      </x:c>
      <x:c r="D30" s="31" t="str">
        <x:v>รอตรวจสอบ</x:v>
      </x:c>
      <x:c r="E30" s="31" t="str">
        <x:v>[]</x:v>
      </x:c>
      <x:c r="F30" s="37" t="str">
        <x:v>ข้อมูลฉบับร่างจากเอกสารอ้างอิง อย. รอตรวจทานโดยผู้เชี่ยวชาญ</x:v>
      </x:c>
      <x:c r="G30" s="32" t="b">
        <x:v>0</x:v>
      </x:c>
      <x:c r="H30" s="37" t="str">
        <x:v>[{"type":"SMPC","url":"https://drug.fda.moph.go.th/media.php?id=809660019980247040&amp;name=SMPC_Bisacodyl_Gastro-resistant tablets.pdf","published_date":"21/11/2024"}]</x:v>
      </x:c>
      <x:c r="I30" s="31" t="str">
        <x:v>Draft</x:v>
      </x:c>
      <x:c r="J30" s="31" t="str">
        <x:v>5 mg</x:v>
      </x:c>
      <x:c r="K30" s="37"/>
      <x:c r="L30" s="37" t="str">
        <x:v>https://drug.fda.moph.go.th/media.php?id=809660019980247040&amp;name=SMPC_Bisacodyl_Gastro-resistant tablets.pdf</x:v>
      </x:c>
      <x:c r="M30" s="31" t="str">
        <x:v>YES</x:v>
      </x:c>
      <x:c r="N30" s="37" t="str">
        <x:v>Clinical review required before Published</x:v>
      </x:c>
    </x:row>
    <x:row r="31">
      <x:c r="A31" s="31" t="str">
        <x:v>bisoprolol</x:v>
      </x:c>
      <x:c r="B31" s="31" t="str">
        <x:v>Bisoprolol fumarate</x:v>
      </x:c>
      <x:c r="C31" s="37" t="str">
        <x:v>ไบโซโพรลอลฟูมาเรต</x:v>
      </x:c>
      <x:c r="D31" s="31" t="str">
        <x:v>รอตรวจสอบ</x:v>
      </x:c>
      <x:c r="E31" s="31" t="str">
        <x:v>[]</x:v>
      </x:c>
      <x:c r="F31" s="37" t="str">
        <x:v>● ใช ้รักษาโรคความดันโลหิตสูง และอาการเจ็บหน ้ าอกเรื้อรัง ● ใช ้ร่วมกับยาอื่นเพื่อรักษาภาวะหัวใจล ้มเหลวเรื้อรัง</x:v>
      </x:c>
      <x:c r="G31" s="32" t="b">
        <x:v>0</x:v>
      </x:c>
      <x:c r="H31" s="37" t="str">
        <x:v>[{"type":"PIL","url":"https://drug.fda.moph.go.th/media.php?id=904601733051850752&amp;name=6. Ref PIL_Bisoprolol.pdf","published_date":"8/6/2026"},{"type":"SMPC","url":"https://drug.fda.moph.go.th/media.php?id=904966131876503552&amp;name=6. Ref SmPC_Bisoprolol.pdf","published_date":"8/6/2026"}]</x:v>
      </x:c>
      <x:c r="I31" s="31" t="str">
        <x:v>Draft</x:v>
      </x:c>
      <x:c r="J31" s="31"/>
      <x:c r="K31" s="37" t="str">
        <x:v>https://drug.fda.moph.go.th/media.php?id=904601733051850752&amp;name=6. Ref PIL_Bisoprolol.pdf</x:v>
      </x:c>
      <x:c r="L31" s="37" t="str">
        <x:v>https://drug.fda.moph.go.th/media.php?id=904966131876503552&amp;name=6. Ref SmPC_Bisoprolol.pdf</x:v>
      </x:c>
      <x:c r="M31" s="31" t="str">
        <x:v>YES</x:v>
      </x:c>
      <x:c r="N31" s="37" t="str">
        <x:v>Clinical review required before Published</x:v>
      </x:c>
    </x:row>
    <x:row r="32">
      <x:c r="A32" s="31" t="str">
        <x:v>bromhexine</x:v>
      </x:c>
      <x:c r="B32" s="31" t="str">
        <x:v>Bromhexine</x:v>
      </x:c>
      <x:c r="C32" s="37" t="str">
        <x:v>บรอม-เฮ็ก-ซีน</x:v>
      </x:c>
      <x:c r="D32" s="31" t="str">
        <x:v>รอตรวจสอบ</x:v>
      </x:c>
      <x:c r="E32" s="31" t="str">
        <x:v>[]</x:v>
      </x:c>
      <x:c r="F32" s="37" t="str">
        <x:v>ใช ้เพื่อละลายเสมหะ บรรเทาอาการไอที่มีเสมหะ</x:v>
      </x:c>
      <x:c r="G32" s="32" t="b">
        <x:v>0</x:v>
      </x:c>
      <x:c r="H32" s="37" t="str">
        <x:v>[{"type":"PIL","url":"https://drug.fda.moph.go.th/media.php?id=808239034420830208&amp;name=Bromhexine_compressedTablet_PIL.pdf","published_date":"19/3/2025"},{"type":"PIL","url":"https://drug.fda.moph.go.th/media.php?id=808239256064630784&amp;name=Bromhexine_Syrup_PIL.pdf","published_date":"19/3/2025"},{"type":"SMPC","url":"https://drug.fda.moph.go.th/media.php?id=809661846922600448&amp;name=SMPC_Bromhexine_Tablets.pdf","published_date":"27/11/2024"}]</x:v>
      </x:c>
      <x:c r="I32" s="31" t="str">
        <x:v>Draft</x:v>
      </x:c>
      <x:c r="J32" s="31"/>
      <x:c r="K32" s="37" t="str">
        <x:v>https://drug.fda.moph.go.th/media.php?id=808239034420830208&amp;name=Bromhexine_compressedTablet_PIL.pdf
https://drug.fda.moph.go.th/media.php?id=808239256064630784&amp;name=Bromhexine_Syrup_PIL.pdf</x:v>
      </x:c>
      <x:c r="L32" s="37" t="str">
        <x:v>https://drug.fda.moph.go.th/media.php?id=809661846922600448&amp;name=SMPC_Bromhexine_Tablets.pdf</x:v>
      </x:c>
      <x:c r="M32" s="31" t="str">
        <x:v>YES</x:v>
      </x:c>
      <x:c r="N32" s="37" t="str">
        <x:v>Clinical review required before Published</x:v>
      </x:c>
    </x:row>
    <x:row r="33">
      <x:c r="A33" s="31" t="str">
        <x:v>bromocriptine</x:v>
      </x:c>
      <x:c r="B33" s="31" t="str">
        <x:v>bromocriptine</x:v>
      </x:c>
      <x:c r="C33" s="37" t="str">
        <x:v>โบร-โม-คริป-ทีน-เม-ซิ-เลต</x:v>
      </x:c>
      <x:c r="D33" s="31" t="str">
        <x:v>รอตรวจสอบ</x:v>
      </x:c>
      <x:c r="E33" s="31" t="str">
        <x:v>[]</x:v>
      </x:c>
      <x:c r="F33" s="37" t="str">
        <x:v>ใช ้รักษาโรคพาร์กินสัน • ใช ้รักษาอาการน ้านมไหลไม่หยุดซึ่งแพทย์พิจารณา แล ้ วว่าจ าเป ็นต ้องใช ้ยานี้ • ใช ้รักษาอาการที่เกิดจากความผิดปกติของระดับ โปรแลคตินในเลือด เช่น ประจ าเดือนมาผิดปกติ มีบุตรยาก • ใช ้รักษาโรคเนื้องอกต่อมใต ้ สมองชนิดที่สร ้ างฮอร์โมน โปรแลคติน • ใช ้รักษาภาวะโตเกินไม่สมส่วน (อะโครเมกาลี)</x:v>
      </x:c>
      <x:c r="G33" s="32" t="b">
        <x:v>0</x:v>
      </x:c>
      <x:c r="H33" s="37" t="str">
        <x:v>[{"type":"PIL","url":"https://drug.fda.moph.go.th/media.php?id=862918386806562816&amp;name=41.Bromocriptine_tablet_PIL.pdf","published_date":"13/2/2026"}]</x:v>
      </x:c>
      <x:c r="I33" s="31" t="str">
        <x:v>Draft</x:v>
      </x:c>
      <x:c r="J33" s="31"/>
      <x:c r="K33" s="37" t="str">
        <x:v>https://drug.fda.moph.go.th/media.php?id=862918386806562816&amp;name=41.Bromocriptine_tablet_PIL.pdf</x:v>
      </x:c>
      <x:c r="L33" s="37"/>
      <x:c r="M33" s="31" t="str">
        <x:v>YES</x:v>
      </x:c>
      <x:c r="N33" s="37" t="str">
        <x:v>Clinical review required before Published</x:v>
      </x:c>
    </x:row>
    <x:row r="34">
      <x:c r="A34" s="31" t="str">
        <x:v>calamine_zinc_oxide</x:v>
      </x:c>
      <x:c r="B34" s="31" t="str">
        <x:v>Calamine + Zinc oxide</x:v>
      </x:c>
      <x:c r="C34" s="37" t="str">
        <x:v>รอตรวจสอบชื่อภาษาไทย</x:v>
      </x:c>
      <x:c r="D34" s="31" t="str">
        <x:v>รอตรวจสอบ</x:v>
      </x:c>
      <x:c r="E34" s="31" t="str">
        <x:v>[]</x:v>
      </x:c>
      <x:c r="F34" s="37" t="str">
        <x:v>ยานี้ใช ้เพื่อบรรเทาอาการผดผื่นคัน ระคายเคืองผิวหนัง ที่อาการไม่รุนแรง</x:v>
      </x:c>
      <x:c r="G34" s="32" t="b">
        <x:v>0</x:v>
      </x:c>
      <x:c r="H34" s="37" t="str">
        <x:v>[{"type":"PIL","url":"https://drug.fda.moph.go.th/media.php?id=733954896075825152&amp;name=PIL_ยาทาแก้ผื่นคัน Calamine + Zinc oxide (15032024).pdf","published_date":"15/3/2024"},{"type":"SMPC","url":"https://drug.fda.moph.go.th/media.php?id=809662321185136640&amp;name=SMPC_Calamine + Zinc oxide_lotion.pdf","published_date":"20/11/2024"}]</x:v>
      </x:c>
      <x:c r="I34" s="31" t="str">
        <x:v>Draft</x:v>
      </x:c>
      <x:c r="J34" s="31"/>
      <x:c r="K34" s="37" t="str">
        <x:v>https://drug.fda.moph.go.th/media.php?id=733954896075825152&amp;name=PIL_ยาทาแก้ผื่นคัน Calamine + Zinc oxide (15032024).pdf</x:v>
      </x:c>
      <x:c r="L34" s="37" t="str">
        <x:v>https://drug.fda.moph.go.th/media.php?id=809662321185136640&amp;name=SMPC_Calamine + Zinc oxide_lotion.pdf</x:v>
      </x:c>
      <x:c r="M34" s="31" t="str">
        <x:v>YES</x:v>
      </x:c>
      <x:c r="N34" s="37" t="str">
        <x:v>Clinical review required before Published</x:v>
      </x:c>
    </x:row>
    <x:row r="35">
      <x:c r="A35" s="31" t="str">
        <x:v>calcium</x:v>
      </x:c>
      <x:c r="B35" s="31" t="str">
        <x:v>Calcium carbonate</x:v>
      </x:c>
      <x:c r="C35" s="37" t="str">
        <x:v>รอตรวจสอบชื่อภาษาไทย</x:v>
      </x:c>
      <x:c r="D35" s="31" t="str">
        <x:v>รอตรวจสอบ</x:v>
      </x:c>
      <x:c r="E35" s="31" t="str">
        <x:v>[]</x:v>
      </x:c>
      <x:c r="F35" s="37" t="str">
        <x:v>ข้อมูลฉบับร่างจากเอกสารอ้างอิง อย. รอตรวจทานโดยผู้เชี่ยวชาญ</x:v>
      </x:c>
      <x:c r="G35" s="32" t="b">
        <x:v>0</x:v>
      </x:c>
      <x:c r="H35" s="37" t="str">
        <x:v>[{"type":"SMPC","url":"https://drug.fda.moph.go.th/media.php?id=809662943624044544&amp;name=SMPC_Calcium carbonate_chewable tablets.pdf","published_date":"21/11/2024"}]</x:v>
      </x:c>
      <x:c r="I35" s="31" t="str">
        <x:v>Draft</x:v>
      </x:c>
      <x:c r="J35" s="31"/>
      <x:c r="K35" s="37"/>
      <x:c r="L35" s="37" t="str">
        <x:v>https://drug.fda.moph.go.th/media.php?id=809662943624044544&amp;name=SMPC_Calcium carbonate_chewable tablets.pdf</x:v>
      </x:c>
      <x:c r="M35" s="31" t="str">
        <x:v>YES</x:v>
      </x:c>
      <x:c r="N35" s="37" t="str">
        <x:v>Clinical review required before Published</x:v>
      </x:c>
    </x:row>
    <x:row r="36">
      <x:c r="A36" s="31" t="str">
        <x:v>calcium_acetate_magnesium</x:v>
      </x:c>
      <x:c r="B36" s="31" t="str">
        <x:v>Calcium acetate + Magnesium carbonate</x:v>
      </x:c>
      <x:c r="C36" s="37" t="str">
        <x:v>รอตรวจสอบชื่อภาษาไทย</x:v>
      </x:c>
      <x:c r="D36" s="31" t="str">
        <x:v>รอตรวจสอบ</x:v>
      </x:c>
      <x:c r="E36" s="31" t="str">
        <x:v>[]</x:v>
      </x:c>
      <x:c r="F36" s="37" t="str">
        <x:v>ข้อมูลฉบับร่างจากเอกสารอ้างอิง อย. รอตรวจทานโดยผู้เชี่ยวชาญ</x:v>
      </x:c>
      <x:c r="G36" s="32" t="b">
        <x:v>0</x:v>
      </x:c>
      <x:c r="H36" s="37" t="str">
        <x:v>[{"type":"PIL","url":"https://drug.fda.moph.go.th/media.php?id=904601733299314688&amp;name=7. Ref PIL Calcium_Magnesium carbonate_tab.pdf","published_date":"8/6/2026"}]</x:v>
      </x:c>
      <x:c r="I36" s="31" t="str">
        <x:v>Draft</x:v>
      </x:c>
      <x:c r="J36" s="31" t="str">
        <x:v>435 mg/235 mg</x:v>
      </x:c>
      <x:c r="K36" s="37" t="str">
        <x:v>https://drug.fda.moph.go.th/media.php?id=904601733299314688&amp;name=7. Ref PIL Calcium_Magnesium carbonate_tab.pdf</x:v>
      </x:c>
      <x:c r="L36" s="37"/>
      <x:c r="M36" s="31" t="str">
        <x:v>YES</x:v>
      </x:c>
      <x:c r="N36" s="37" t="str">
        <x:v>Clinical review required before Published</x:v>
      </x:c>
    </x:row>
    <x:row r="37">
      <x:c r="A37" s="31" t="str">
        <x:v>calcium_folinate</x:v>
      </x:c>
      <x:c r="B37" s="31" t="str">
        <x:v>Calcium folinate</x:v>
      </x:c>
      <x:c r="C37" s="37" t="str">
        <x:v>แคลเซียมโฟลิเนต</x:v>
      </x:c>
      <x:c r="D37" s="31" t="str">
        <x:v>รอตรวจสอบ</x:v>
      </x:c>
      <x:c r="E37" s="31" t="str">
        <x:v>[]</x:v>
      </x:c>
      <x:c r="F37" s="37" t="str">
        <x:v>ใช ้เพื่อรักษาภาวะเป็ นพิษจากการใช ้ยาบางชนิด เช่น เมโทเทร็กเซต, ไทรเมเทร็กเซต, ไทรเมโทพริม และ ไพริเมทามีน • ใช ้ร่วมกับยาเคมีบ าบัดชื่อฟลูออโรยูราซิล เพื่อรักษา มะเร็งล าไส ้ใหญ่</x:v>
      </x:c>
      <x:c r="G37" s="32" t="b">
        <x:v>0</x:v>
      </x:c>
      <x:c r="H37" s="37" t="str">
        <x:v>[{"type":"SMPC","url":"https://drug.fda.moph.go.th/media.php?id=809663362920226816&amp;name=SMPC_Calcium Folinate_Solutions for injections or infusions.pdf","published_date":"27/11/2024"},{"type":"PIL","url":"https://drug.fda.moph.go.th/media.php?id=862918388987600896&amp;name=17.Calcium folinate_Inj_PIL_final.pdf","published_date":"13/2/2026"}]</x:v>
      </x:c>
      <x:c r="I37" s="31" t="str">
        <x:v>Draft</x:v>
      </x:c>
      <x:c r="J37" s="31"/>
      <x:c r="K37" s="37" t="str">
        <x:v>https://drug.fda.moph.go.th/media.php?id=862918388987600896&amp;name=17.Calcium folinate_Inj_PIL_final.pdf</x:v>
      </x:c>
      <x:c r="L37" s="37" t="str">
        <x:v>https://drug.fda.moph.go.th/media.php?id=809663362920226816&amp;name=SMPC_Calcium Folinate_Solutions for injections or infusions.pdf</x:v>
      </x:c>
      <x:c r="M37" s="31" t="str">
        <x:v>YES</x:v>
      </x:c>
      <x:c r="N37" s="37" t="str">
        <x:v>Clinical review required before Published</x:v>
      </x:c>
    </x:row>
    <x:row r="38">
      <x:c r="A38" s="31" t="str">
        <x:v>calcium_lactate</x:v>
      </x:c>
      <x:c r="B38" s="31" t="str">
        <x:v>Calcium lactate</x:v>
      </x:c>
      <x:c r="C38" s="37" t="str">
        <x:v>รอตรวจสอบชื่อภาษาไทย</x:v>
      </x:c>
      <x:c r="D38" s="31" t="str">
        <x:v>รอตรวจสอบ</x:v>
      </x:c>
      <x:c r="E38" s="31" t="str">
        <x:v>[]</x:v>
      </x:c>
      <x:c r="F38" s="37" t="str">
        <x:v>ข้อมูลฉบับร่างจากเอกสารอ้างอิง อย. รอตรวจทานโดยผู้เชี่ยวชาญ</x:v>
      </x:c>
      <x:c r="G38" s="32" t="b">
        <x:v>0</x:v>
      </x:c>
      <x:c r="H38" s="37" t="str">
        <x:v>[{"type":"SMPC","url":"https://drug.fda.moph.go.th/media.php?id=809663856816300032&amp;name=SMPC_Calcium lactate_tablets.pdf","published_date":"21/11/2024"}]</x:v>
      </x:c>
      <x:c r="I38" s="31" t="str">
        <x:v>Draft</x:v>
      </x:c>
      <x:c r="J38" s="31"/>
      <x:c r="K38" s="37"/>
      <x:c r="L38" s="37" t="str">
        <x:v>https://drug.fda.moph.go.th/media.php?id=809663856816300032&amp;name=SMPC_Calcium lactate_tablets.pdf</x:v>
      </x:c>
      <x:c r="M38" s="31" t="str">
        <x:v>YES</x:v>
      </x:c>
      <x:c r="N38" s="37" t="str">
        <x:v>Clinical review required before Published</x:v>
      </x:c>
    </x:row>
    <x:row r="39">
      <x:c r="A39" s="31" t="str">
        <x:v>captopril</x:v>
      </x:c>
      <x:c r="B39" s="31" t="str">
        <x:v>Captopril</x:v>
      </x:c>
      <x:c r="C39" s="37" t="str">
        <x:v>แคปโทพริล</x:v>
      </x:c>
      <x:c r="D39" s="31" t="str">
        <x:v>รอตรวจสอบ</x:v>
      </x:c>
      <x:c r="E39" s="31" t="str">
        <x:v>[]</x:v>
      </x:c>
      <x:c r="F39" s="37" t="str">
        <x:v>รักษาโรคความดันโลหิตสูง • รักษาโรคหัวใจล ้ มเหลว • รักษาโรคไตในผู ้ ป ่ วยเบาหวานที่ความดันโลหิตสูง</x:v>
      </x:c>
      <x:c r="G39" s="32" t="b">
        <x:v>0</x:v>
      </x:c>
      <x:c r="H39" s="37" t="str">
        <x:v>[{"type":"PIL","url":"https://drug.fda.moph.go.th/media.php?id=725640852025778176&amp;name=pil_Captopril (tablet 12.5 mg, 25 mg 50 mg).pdf","published_date":"9/8/2023"},{"type":"SMPC","url":"https://drug.fda.moph.go.th/media.php?id=809664599430406144&amp;name=SMPC_Captopril_tablets.pdf","published_date":"22/11/2024"}]</x:v>
      </x:c>
      <x:c r="I39" s="31" t="str">
        <x:v>Draft</x:v>
      </x:c>
      <x:c r="J39" s="31" t="str">
        <x:v>12.5 mg, 25 mg, 50 mg</x:v>
      </x:c>
      <x:c r="K39" s="37" t="str">
        <x:v>https://drug.fda.moph.go.th/media.php?id=725640852025778176&amp;name=pil_Captopril (tablet 12.5 mg, 25 mg 50 mg).pdf</x:v>
      </x:c>
      <x:c r="L39" s="37" t="str">
        <x:v>https://drug.fda.moph.go.th/media.php?id=809664599430406144&amp;name=SMPC_Captopril_tablets.pdf</x:v>
      </x:c>
      <x:c r="M39" s="31" t="str">
        <x:v>YES</x:v>
      </x:c>
      <x:c r="N39" s="37" t="str">
        <x:v>Clinical review required before Published</x:v>
      </x:c>
    </x:row>
    <x:row r="40">
      <x:c r="A40" s="31" t="str">
        <x:v>carbamazepine</x:v>
      </x:c>
      <x:c r="B40" s="31" t="str">
        <x:v>Carbamazepine</x:v>
      </x:c>
      <x:c r="C40" s="37" t="str">
        <x:v>รอตรวจสอบชื่อภาษาไทย</x:v>
      </x:c>
      <x:c r="D40" s="31" t="str">
        <x:v>รอตรวจสอบ</x:v>
      </x:c>
      <x:c r="E40" s="31" t="str">
        <x:v>[]</x:v>
      </x:c>
      <x:c r="F40" s="37" t="str">
        <x:v>ข้อมูลฉบับร่างจากเอกสารอ้างอิง อย. รอตรวจทานโดยผู้เชี่ยวชาญ</x:v>
      </x:c>
      <x:c r="G40" s="32" t="b">
        <x:v>0</x:v>
      </x:c>
      <x:c r="H40" s="37" t="str">
        <x:v>[{"type":"SMPC","url":"https://drug.fda.moph.go.th/media.php?id=809665211119312896&amp;name=SMPC_Carbamazepine_Tablets.pdf","published_date":"27/11/2024"}]</x:v>
      </x:c>
      <x:c r="I40" s="31" t="str">
        <x:v>Draft</x:v>
      </x:c>
      <x:c r="J40" s="31"/>
      <x:c r="K40" s="37"/>
      <x:c r="L40" s="37" t="str">
        <x:v>https://drug.fda.moph.go.th/media.php?id=809665211119312896&amp;name=SMPC_Carbamazepine_Tablets.pdf</x:v>
      </x:c>
      <x:c r="M40" s="31" t="str">
        <x:v>YES</x:v>
      </x:c>
      <x:c r="N40" s="37" t="str">
        <x:v>Clinical review required before Published</x:v>
      </x:c>
    </x:row>
    <x:row r="41">
      <x:c r="A41" s="31" t="str">
        <x:v>carbidopa_levodopa</x:v>
      </x:c>
      <x:c r="B41" s="31" t="str">
        <x:v>Carbidopa + Levodopa</x:v>
      </x:c>
      <x:c r="C41" s="37" t="str">
        <x:v>รอตรวจสอบชื่อภาษาไทย</x:v>
      </x:c>
      <x:c r="D41" s="31" t="str">
        <x:v>รอตรวจสอบ</x:v>
      </x:c>
      <x:c r="E41" s="31" t="str">
        <x:v>[]</x:v>
      </x:c>
      <x:c r="F41" s="37" t="str">
        <x:v>ใช ้เพื่อรักษาโรคพาร์กินสันและกลุ่มอาการของโรค พาร์กินสัน โดยยาช่วยบรรเทาอาการต่าง ๆ เช่น อาการเคลื่อนไหวช ้าและการทรงตัวไม่มั่นคง อาการกล ้ามเนื้อแข็งเกร็ง อาการสั่น</x:v>
      </x:c>
      <x:c r="G41" s="32" t="b">
        <x:v>0</x:v>
      </x:c>
      <x:c r="H41" s="37" t="str">
        <x:v>[{"type":"PIL","url":"https://drug.fda.moph.go.th/media.php?id=904601732791803904&amp;name=8. ref PIL_Carbidopa+Levodopa.pdf","published_date":"8/6/2026"},{"type":"SMPC","url":"https://drug.fda.moph.go.th/media.php?id=904601733693579264&amp;name=8. Ref SmPC_Carbidopa+Levodopa.pdf","published_date":"8/6/2026"}]</x:v>
      </x:c>
      <x:c r="I41" s="31" t="str">
        <x:v>Draft</x:v>
      </x:c>
      <x:c r="J41" s="31"/>
      <x:c r="K41" s="37" t="str">
        <x:v>https://drug.fda.moph.go.th/media.php?id=904601732791803904&amp;name=8. ref PIL_Carbidopa+Levodopa.pdf</x:v>
      </x:c>
      <x:c r="L41" s="37" t="str">
        <x:v>https://drug.fda.moph.go.th/media.php?id=904601733693579264&amp;name=8. Ref SmPC_Carbidopa+Levodopa.pdf</x:v>
      </x:c>
      <x:c r="M41" s="31" t="str">
        <x:v>YES</x:v>
      </x:c>
      <x:c r="N41" s="37" t="str">
        <x:v>Clinical review required before Published</x:v>
      </x:c>
    </x:row>
    <x:row r="42">
      <x:c r="A42" s="31" t="str">
        <x:v>carbocisteine</x:v>
      </x:c>
      <x:c r="B42" s="31" t="str">
        <x:v>Carbocisteine</x:v>
      </x:c>
      <x:c r="C42" s="37" t="str">
        <x:v>คาร์-โบ-ซิส-เท-อีน</x:v>
      </x:c>
      <x:c r="D42" s="31" t="str">
        <x:v>รอตรวจสอบ</x:v>
      </x:c>
      <x:c r="E42" s="31" t="str">
        <x:v>[]</x:v>
      </x:c>
      <x:c r="F42" s="37" t="str">
        <x:v>● ใช ้เพื่อลดความเหนียวข ้นของเสมหะ ท าให ้ สามารถขับออกได ้ ง่ายขึ้น ● ใช ้เพื่อรักษาภาวะเกี่ยวกับทางเดินหายใจที่เกิดจาก เสมหะเหนียวข ้ นหรือมีเสมหะปริมาณมากเกินไป</x:v>
      </x:c>
      <x:c r="G42" s="32" t="b">
        <x:v>0</x:v>
      </x:c>
      <x:c r="H42" s="37" t="str">
        <x:v>[{"type":"PIL","url":"https://drug.fda.moph.go.th/media.php?id=808239875336839168&amp;name=Carbocisteine_hardcapsules_tablets_PIL.pdf","published_date":"19/3/2025"},{"type":"SMPC","url":"https://drug.fda.moph.go.th/media.php?id=809666413001318400&amp;name=SMPC_Carbocisteine_Capsules.pdf","published_date":"22/11/2024"},{"type":"SMPC","url":"https://drug.fda.moph.go.th/media.php?id=809667062023725056&amp;name=SMPC_Carbocisteine_Syrup.pdf","published_date":"22/11/2024"}]</x:v>
      </x:c>
      <x:c r="I42" s="31" t="str">
        <x:v>Draft</x:v>
      </x:c>
      <x:c r="J42" s="31"/>
      <x:c r="K42" s="37" t="str">
        <x:v>https://drug.fda.moph.go.th/media.php?id=808239875336839168&amp;name=Carbocisteine_hardcapsules_tablets_PIL.pdf</x:v>
      </x:c>
      <x:c r="L42" s="37" t="str">
        <x:v>https://drug.fda.moph.go.th/media.php?id=809666413001318400&amp;name=SMPC_Carbocisteine_Capsules.pdf
https://drug.fda.moph.go.th/media.php?id=809667062023725056&amp;name=SMPC_Carbocisteine_Syrup.pdf</x:v>
      </x:c>
      <x:c r="M42" s="31" t="str">
        <x:v>YES</x:v>
      </x:c>
      <x:c r="N42" s="37" t="str">
        <x:v>Clinical review required before Published</x:v>
      </x:c>
    </x:row>
    <x:row r="43">
      <x:c r="A43" s="31" t="str">
        <x:v>carboplatin</x:v>
      </x:c>
      <x:c r="B43" s="31" t="str">
        <x:v>carboplatin</x:v>
      </x:c>
      <x:c r="C43" s="37" t="str">
        <x:v>คาร์โบพลาทิน</x:v>
      </x:c>
      <x:c r="D43" s="31" t="str">
        <x:v>รอตรวจสอบ</x:v>
      </x:c>
      <x:c r="E43" s="31" t="str">
        <x:v>[]</x:v>
      </x:c>
      <x:c r="F43" s="37" t="str">
        <x:v>ใช ้รักษาโรคมะเร็งบางชนิด เช่น มะเร็งปอด มะเร็งรังไข่ โดยแพทย์วินิจฉัยแล ้วว่าจ าเป็ นต ้องใช ้ ยานี้</x:v>
      </x:c>
      <x:c r="G43" s="32" t="b">
        <x:v>0</x:v>
      </x:c>
      <x:c r="H43" s="37" t="str">
        <x:v>[{"type":"PIL","url":"https://drug.fda.moph.go.th/media.php?id=864026451677159424&amp;name=Carboplatin_Inj_PIL_final.pdf","published_date":"13/2/2026"}]</x:v>
      </x:c>
      <x:c r="I43" s="31" t="str">
        <x:v>Draft</x:v>
      </x:c>
      <x:c r="J43" s="31"/>
      <x:c r="K43" s="37" t="str">
        <x:v>https://drug.fda.moph.go.th/media.php?id=864026451677159424&amp;name=Carboplatin_Inj_PIL_final.pdf</x:v>
      </x:c>
      <x:c r="L43" s="37"/>
      <x:c r="M43" s="31" t="str">
        <x:v>YES</x:v>
      </x:c>
      <x:c r="N43" s="37" t="str">
        <x:v>Clinical review required before Published</x:v>
      </x:c>
    </x:row>
    <x:row r="44">
      <x:c r="A44" s="31" t="str">
        <x:v>cefaclor</x:v>
      </x:c>
      <x:c r="B44" s="31" t="str">
        <x:v>Cefaclor</x:v>
      </x:c>
      <x:c r="C44" s="37" t="str">
        <x:v>เซฟาคลอร์</x:v>
      </x:c>
      <x:c r="D44" s="31" t="str">
        <x:v>รอตรวจสอบ</x:v>
      </x:c>
      <x:c r="E44" s="31" t="str">
        <x:v>[]</x:v>
      </x:c>
      <x:c r="F44" s="37" t="str">
        <x:v>ใช ้รักษาโรคติดเชื้อแบคทีเรียบางชนิดที่ไวต่อยานี้</x:v>
      </x:c>
      <x:c r="G44" s="32" t="b">
        <x:v>0</x:v>
      </x:c>
      <x:c r="H44" s="37" t="str">
        <x:v>[{"type":"PIL","url":"https://drug.fda.moph.go.th/media.php?id=862918392741502976&amp;name=4.cefaclor_susp_PIL_final.pdf","published_date":"13/2/2026"}]</x:v>
      </x:c>
      <x:c r="I44" s="31" t="str">
        <x:v>Draft</x:v>
      </x:c>
      <x:c r="J44" s="31"/>
      <x:c r="K44" s="37" t="str">
        <x:v>https://drug.fda.moph.go.th/media.php?id=862918392741502976&amp;name=4.cefaclor_susp_PIL_final.pdf</x:v>
      </x:c>
      <x:c r="L44" s="37"/>
      <x:c r="M44" s="31" t="str">
        <x:v>YES</x:v>
      </x:c>
      <x:c r="N44" s="37" t="str">
        <x:v>Clinical review required before Published</x:v>
      </x:c>
    </x:row>
    <x:row r="45">
      <x:c r="A45" s="31" t="str">
        <x:v>cefadroxil</x:v>
      </x:c>
      <x:c r="B45" s="31" t="str">
        <x:v>cefadroxil</x:v>
      </x:c>
      <x:c r="C45" s="37" t="str">
        <x:v>เซฟาดร็อกซิล</x:v>
      </x:c>
      <x:c r="D45" s="31" t="str">
        <x:v>รอตรวจสอบ</x:v>
      </x:c>
      <x:c r="E45" s="31" t="str">
        <x:v>[]</x:v>
      </x:c>
      <x:c r="F45" s="37" t="str">
        <x:v>ใช ้รักษาโรคติดเชื้อแบคทีเรียบางชนิดที่ไวต่อยานี้</x:v>
      </x:c>
      <x:c r="G45" s="32" t="b">
        <x:v>0</x:v>
      </x:c>
      <x:c r="H45" s="37" t="str">
        <x:v>[{"type":"PIL","url":"https://drug.fda.moph.go.th/media.php?id=862918390044565504&amp;name=5. cefadroxil_capsules_PIL_final.pdf","published_date":"13/2/2026"}]</x:v>
      </x:c>
      <x:c r="I45" s="31" t="str">
        <x:v>Draft</x:v>
      </x:c>
      <x:c r="J45" s="31"/>
      <x:c r="K45" s="37" t="str">
        <x:v>https://drug.fda.moph.go.th/media.php?id=862918390044565504&amp;name=5. cefadroxil_capsules_PIL_final.pdf</x:v>
      </x:c>
      <x:c r="L45" s="37"/>
      <x:c r="M45" s="31" t="str">
        <x:v>YES</x:v>
      </x:c>
      <x:c r="N45" s="37" t="str">
        <x:v>Clinical review required before Published</x:v>
      </x:c>
    </x:row>
    <x:row r="46">
      <x:c r="A46" s="31" t="str">
        <x:v>cefalexin</x:v>
      </x:c>
      <x:c r="B46" s="31" t="str">
        <x:v>Cefalexin</x:v>
      </x:c>
      <x:c r="C46" s="37" t="str">
        <x:v>เซฟาเล็กซิน</x:v>
      </x:c>
      <x:c r="D46" s="31" t="str">
        <x:v>รอตรวจสอบ</x:v>
      </x:c>
      <x:c r="E46" s="31" t="str">
        <x:v>[]</x:v>
      </x:c>
      <x:c r="F46" s="37" t="str">
        <x:v>ใช ้รักษาโรคติดเชื้อแบคทีเรียบางชนิดที่ไวต่อยานี้</x:v>
      </x:c>
      <x:c r="G46" s="32" t="b">
        <x:v>0</x:v>
      </x:c>
      <x:c r="H46" s="37" t="str">
        <x:v>[{"type":"SMPC","url":"https://drug.fda.moph.go.th/media.php?id=809667813055799296&amp;name=SMPC_Cefalexin_Dry syrup.pdf","published_date":"27/11/2024"},{"type":"PIL","url":"https://drug.fda.moph.go.th/media.php?id=862918390786957312&amp;name=6.cefalexin_capsules_PIL_final.pdf","published_date":"13/2/2026"},{"type":"PIL","url":"https://drug.fda.moph.go.th/media.php?id=862918389801295872&amp;name=8. Cefalexin_dry_syup_PIL_final_.pdf","published_date":"13/2/2026"}]</x:v>
      </x:c>
      <x:c r="I46" s="31" t="str">
        <x:v>Draft</x:v>
      </x:c>
      <x:c r="J46" s="31"/>
      <x:c r="K46" s="37" t="str">
        <x:v>https://drug.fda.moph.go.th/media.php?id=862918390786957312&amp;name=6.cefalexin_capsules_PIL_final.pdf
https://drug.fda.moph.go.th/media.php?id=862918389801295872&amp;name=8. Cefalexin_dry_syup_PIL_final_.pdf</x:v>
      </x:c>
      <x:c r="L46" s="37" t="str">
        <x:v>https://drug.fda.moph.go.th/media.php?id=809667813055799296&amp;name=SMPC_Cefalexin_Dry syrup.pdf</x:v>
      </x:c>
      <x:c r="M46" s="31" t="str">
        <x:v>YES</x:v>
      </x:c>
      <x:c r="N46" s="37" t="str">
        <x:v>Clinical review required before Published</x:v>
      </x:c>
    </x:row>
    <x:row r="47">
      <x:c r="A47" s="31" t="str">
        <x:v>cefazolin</x:v>
      </x:c>
      <x:c r="B47" s="31" t="str">
        <x:v>Cefazolin</x:v>
      </x:c>
      <x:c r="C47" s="37" t="str">
        <x:v>รอตรวจสอบชื่อภาษาไทย</x:v>
      </x:c>
      <x:c r="D47" s="31" t="str">
        <x:v>รอตรวจสอบ</x:v>
      </x:c>
      <x:c r="E47" s="31" t="str">
        <x:v>[]</x:v>
      </x:c>
      <x:c r="F47" s="37" t="str">
        <x:v>ข้อมูลฉบับร่างจากเอกสารอ้างอิง อย. รอตรวจทานโดยผู้เชี่ยวชาญ</x:v>
      </x:c>
      <x:c r="G47" s="32" t="b">
        <x:v>0</x:v>
      </x:c>
      <x:c r="H47" s="37" t="str">
        <x:v>[{"type":"SMPC","url":"https://drug.fda.moph.go.th/media.php?id=809668324005912576&amp;name=SMPC_Cefazolin_Powders for solutions for injections or infusions.pdf","published_date":"27/11/2024"}]</x:v>
      </x:c>
      <x:c r="I47" s="31" t="str">
        <x:v>Draft</x:v>
      </x:c>
      <x:c r="J47" s="31"/>
      <x:c r="K47" s="37"/>
      <x:c r="L47" s="37" t="str">
        <x:v>https://drug.fda.moph.go.th/media.php?id=809668324005912576&amp;name=SMPC_Cefazolin_Powders for solutions for injections or infusions.pdf</x:v>
      </x:c>
      <x:c r="M47" s="31" t="str">
        <x:v>YES</x:v>
      </x:c>
      <x:c r="N47" s="37" t="str">
        <x:v>Clinical review required before Published</x:v>
      </x:c>
    </x:row>
    <x:row r="48">
      <x:c r="A48" s="31" t="str">
        <x:v>cefdinir</x:v>
      </x:c>
      <x:c r="B48" s="31" t="str">
        <x:v>cefdinir</x:v>
      </x:c>
      <x:c r="C48" s="37" t="str">
        <x:v>เซฟดิเนียร์</x:v>
      </x:c>
      <x:c r="D48" s="31" t="str">
        <x:v>รอตรวจสอบ</x:v>
      </x:c>
      <x:c r="E48" s="31" t="str">
        <x:v>[]</x:v>
      </x:c>
      <x:c r="F48" s="37" t="str">
        <x:v>ใช ้รักษาโรคติดเชื้อแบคทีเรียบางชนิดที่ไวต่อยานี้</x:v>
      </x:c>
      <x:c r="G48" s="32" t="b">
        <x:v>0</x:v>
      </x:c>
      <x:c r="H48" s="37" t="str">
        <x:v>[{"type":"PIL","url":"https://drug.fda.moph.go.th/media.php?id=862918391428685824&amp;name=7. cefdinir_capsules_PIL_final_.pdf","published_date":"13/2/2026"}]</x:v>
      </x:c>
      <x:c r="I48" s="31" t="str">
        <x:v>Draft</x:v>
      </x:c>
      <x:c r="J48" s="31"/>
      <x:c r="K48" s="37" t="str">
        <x:v>https://drug.fda.moph.go.th/media.php?id=862918391428685824&amp;name=7. cefdinir_capsules_PIL_final_.pdf</x:v>
      </x:c>
      <x:c r="L48" s="37"/>
      <x:c r="M48" s="31" t="str">
        <x:v>YES</x:v>
      </x:c>
      <x:c r="N48" s="37" t="str">
        <x:v>Clinical review required before Published</x:v>
      </x:c>
    </x:row>
    <x:row r="49">
      <x:c r="A49" s="31" t="str">
        <x:v>cefoperazone</x:v>
      </x:c>
      <x:c r="B49" s="31" t="str">
        <x:v>cefoperazone</x:v>
      </x:c>
      <x:c r="C49" s="37" t="str">
        <x:v>เซ-โฟ-เพอ-รา-โซน</x:v>
      </x:c>
      <x:c r="D49" s="31" t="str">
        <x:v>รอตรวจสอบ</x:v>
      </x:c>
      <x:c r="E49" s="31" t="str">
        <x:v>[]</x:v>
      </x:c>
      <x:c r="F49" s="37" t="str">
        <x:v>ใช ้รักษาโรคติดเชื้อแบคทีเรียบางชนิดที่ไวต่อยานี้</x:v>
      </x:c>
      <x:c r="G49" s="32" t="b">
        <x:v>0</x:v>
      </x:c>
      <x:c r="H49" s="37" t="str">
        <x:v>[{"type":"PIL","url":"https://drug.fda.moph.go.th/media.php?id=862918393894936576&amp;name=1. Cefoperazone_injection_PIL_final.pdf","published_date":"13/2/2026"}]</x:v>
      </x:c>
      <x:c r="I49" s="31" t="str">
        <x:v>Draft</x:v>
      </x:c>
      <x:c r="J49" s="31"/>
      <x:c r="K49" s="37" t="str">
        <x:v>https://drug.fda.moph.go.th/media.php?id=862918393894936576&amp;name=1. Cefoperazone_injection_PIL_final.pdf</x:v>
      </x:c>
      <x:c r="L49" s="37"/>
      <x:c r="M49" s="31" t="str">
        <x:v>YES</x:v>
      </x:c>
      <x:c r="N49" s="37" t="str">
        <x:v>Clinical review required before Published</x:v>
      </x:c>
    </x:row>
    <x:row r="50">
      <x:c r="A50" s="31" t="str">
        <x:v>cefoperazone_sulbactam</x:v>
      </x:c>
      <x:c r="B50" s="31" t="str">
        <x:v>cefoperazone+sulbactam</x:v>
      </x:c>
      <x:c r="C50" s="37" t="str">
        <x:v>รอตรวจสอบชื่อภาษาไทย</x:v>
      </x:c>
      <x:c r="D50" s="31" t="str">
        <x:v>รอตรวจสอบ</x:v>
      </x:c>
      <x:c r="E50" s="31" t="str">
        <x:v>[]</x:v>
      </x:c>
      <x:c r="F50" s="37" t="str">
        <x:v>ใช ้รักษาโรคติดเชื้อแบคทีเรียบางชนิดที่ไวต่อยานี้</x:v>
      </x:c>
      <x:c r="G50" s="32" t="b">
        <x:v>0</x:v>
      </x:c>
      <x:c r="H50" s="37" t="str">
        <x:v>[{"type":"PIL","url":"https://drug.fda.moph.go.th/media.php?id=862918395853676544&amp;name=2. CefoperazoneSulbactam_injection_PIL_final.pdf","published_date":"13/2/2026"}]</x:v>
      </x:c>
      <x:c r="I50" s="31" t="str">
        <x:v>Draft</x:v>
      </x:c>
      <x:c r="J50" s="31"/>
      <x:c r="K50" s="37" t="str">
        <x:v>https://drug.fda.moph.go.th/media.php?id=862918395853676544&amp;name=2. CefoperazoneSulbactam_injection_PIL_final.pdf</x:v>
      </x:c>
      <x:c r="L50" s="37"/>
      <x:c r="M50" s="31" t="str">
        <x:v>YES</x:v>
      </x:c>
      <x:c r="N50" s="37" t="str">
        <x:v>Clinical review required before Published</x:v>
      </x:c>
    </x:row>
    <x:row r="51">
      <x:c r="A51" s="31" t="str">
        <x:v>cefuroxime</x:v>
      </x:c>
      <x:c r="B51" s="31" t="str">
        <x:v>Cefuroxime</x:v>
      </x:c>
      <x:c r="C51" s="37" t="str">
        <x:v>เซฟูร็อกซีม</x:v>
      </x:c>
      <x:c r="D51" s="31" t="str">
        <x:v>รอตรวจสอบ</x:v>
      </x:c>
      <x:c r="E51" s="31" t="str">
        <x:v>[]</x:v>
      </x:c>
      <x:c r="F51" s="37" t="str">
        <x:v>ใช ้รักษาโรคติดเชื้อแบคทีเรียบางชนิดที่ไวต่อยานี้</x:v>
      </x:c>
      <x:c r="G51" s="32" t="b">
        <x:v>0</x:v>
      </x:c>
      <x:c r="H51" s="37" t="str">
        <x:v>[{"type":"SMPC","url":"https://drug.fda.moph.go.th/media.php?id=809668929264951296&amp;name=SMPC_Cefuroxime_Tablets.pdf","published_date":"27/11/2024"},{"type":"SMPC","url":"https://drug.fda.moph.go.th/media.php?id=808219138211323904&amp;name=smpc_Cefuroxime (POWDER FOR SOLUTION FOR INJECTIONINFUSION) (1).pdf","published_date":"27/11/2024"},{"type":"PIL","url":"https://drug.fda.moph.go.th/media.php?id=862918394066903040&amp;name=9. Cefuroxime_dry_syup_PIL_final.pdf","published_date":"13/2/2026"}]</x:v>
      </x:c>
      <x:c r="I51" s="31" t="str">
        <x:v>Draft</x:v>
      </x:c>
      <x:c r="J51" s="31"/>
      <x:c r="K51" s="37" t="str">
        <x:v>https://drug.fda.moph.go.th/media.php?id=862918394066903040&amp;name=9. Cefuroxime_dry_syup_PIL_final.pdf</x:v>
      </x:c>
      <x:c r="L51" s="37" t="str">
        <x:v>https://drug.fda.moph.go.th/media.php?id=809668929264951296&amp;name=SMPC_Cefuroxime_Tablets.pdf
https://drug.fda.moph.go.th/media.php?id=808219138211323904&amp;name=smpc_Cefuroxime (POWDER FOR SOLUTION FOR INJECTIONINFUSION) (1).pdf</x:v>
      </x:c>
      <x:c r="M51" s="31" t="str">
        <x:v>YES</x:v>
      </x:c>
      <x:c r="N51" s="37" t="str">
        <x:v>Clinical review required before Published</x:v>
      </x:c>
    </x:row>
    <x:row r="52">
      <x:c r="A52" s="31" t="str">
        <x:v>cefuroxime_axetil</x:v>
      </x:c>
      <x:c r="B52" s="31" t="str">
        <x:v>cefuroxime axetil</x:v>
      </x:c>
      <x:c r="C52" s="37" t="str">
        <x:v>เซฟูร็อกซีม</x:v>
      </x:c>
      <x:c r="D52" s="31" t="str">
        <x:v>รอตรวจสอบ</x:v>
      </x:c>
      <x:c r="E52" s="31" t="str">
        <x:v>[]</x:v>
      </x:c>
      <x:c r="F52" s="37" t="str">
        <x:v>ใช ้รักษาโรคติดเชื้อแบคทีเรียบางชนิดที่ไวต่อยานี้</x:v>
      </x:c>
      <x:c r="G52" s="32" t="b">
        <x:v>0</x:v>
      </x:c>
      <x:c r="H52" s="37" t="str">
        <x:v>[{"type":"PIL","url":"https://drug.fda.moph.go.th/media.php?id=862918394750574592&amp;name=3. cefuroxime Axetil_tablets_PIL_final.pdf","published_date":"13/2/2026"}]</x:v>
      </x:c>
      <x:c r="I52" s="31" t="str">
        <x:v>Draft</x:v>
      </x:c>
      <x:c r="J52" s="31"/>
      <x:c r="K52" s="37" t="str">
        <x:v>https://drug.fda.moph.go.th/media.php?id=862918394750574592&amp;name=3. cefuroxime Axetil_tablets_PIL_final.pdf</x:v>
      </x:c>
      <x:c r="L52" s="37"/>
      <x:c r="M52" s="31" t="str">
        <x:v>YES</x:v>
      </x:c>
      <x:c r="N52" s="37" t="str">
        <x:v>Clinical review required before Published</x:v>
      </x:c>
    </x:row>
    <x:row r="53">
      <x:c r="A53" s="31" t="str">
        <x:v>chloramphenicol</x:v>
      </x:c>
      <x:c r="B53" s="31" t="str">
        <x:v>Chloramphenicol</x:v>
      </x:c>
      <x:c r="C53" s="37" t="str">
        <x:v>คลอ-แรม-เฟ-นิ-คอล</x:v>
      </x:c>
      <x:c r="D53" s="31" t="str">
        <x:v>รอตรวจสอบ</x:v>
      </x:c>
      <x:c r="E53" s="31" t="str">
        <x:v>[]</x:v>
      </x:c>
      <x:c r="F53" s="37" t="str">
        <x:v>● ใช ้รักษาอาการตาอักเสบจากการติดเชื้อแบคทีเรียที่ ไวต่อยานี้</x:v>
      </x:c>
      <x:c r="G53" s="32" t="b">
        <x:v>0</x:v>
      </x:c>
      <x:c r="H53" s="37" t="str">
        <x:v>[{"type":"PIL","url":"https://drug.fda.moph.go.th/media.php?id=808240370726084608&amp;name=Chloramphenicol_ointmentOphthalmic_PIL.pdf","published_date":"19/3/2025"},{"type":"PIL","url":"https://drug.fda.moph.go.th/media.php?id=808240557032873984&amp;name=Chloramphenicol_ointmentTopical_PIL.pdf","published_date":"19/3/2025"},{"type":"PIL","url":"https://drug.fda.moph.go.th/media.php?id=842354236510576640&amp;name=Chloramphenicol_liquidOphthalmic_PIL.pdf","published_date":"19/3/2025"},{"type":"SMPC","url":"https://drug.fda.moph.go.th/media.php?id=809669704850481152&amp;name=SMPC_Chloramphenicol_Ear Drops.pdf","published_date":"27/11/2024"},{"type":"PIL","url":"https://drug.fda.moph.go.th/media.php?id=842354236795789312&amp;name=Chloramphenicol_liquidOtic_PIL.pdf","published_date":"19/3/2025"},{"type":"SMPC","url":"https://drug.fda.moph.go.th/media.php?id=809670185509330944&amp;name=SMPC_Chloramphenicol_Eye Drops.pdf","published_date":"27/11/2024"},{"type":"SMPC","url":"https://drug.fda.moph.go.th/media.php?id=809670694370680832&amp;name=SMPC_Chloramphenicol_Powders for solutions for injections or infusions.pdf","published_date":"27/11/2024"}]</x:v>
      </x:c>
      <x:c r="I53" s="31" t="str">
        <x:v>Draft</x:v>
      </x:c>
      <x:c r="J53" s="31"/>
      <x:c r="K53" s="37" t="str">
        <x:v>https://drug.fda.moph.go.th/media.php?id=808240370726084608&amp;name=Chloramphenicol_ointmentOphthalmic_PIL.pdf
https://drug.fda.moph.go.th/media.php?id=808240557032873984&amp;name=Chloramphenicol_ointmentTopical_PIL.pdf
https://drug.fda.moph.go.th/media.php?id=842354236510576640&amp;name=Chloramphenicol_liquidOphthalmic_PIL.pdf
https://drug.fda.moph.go.th/media.php?id=842354236795789312&amp;name=Chloramphenicol_liquidOtic_PIL.pdf</x:v>
      </x:c>
      <x:c r="L53" s="37" t="str">
        <x:v>https://drug.fda.moph.go.th/media.php?id=809669704850481152&amp;name=SMPC_Chloramphenicol_Ear Drops.pdf
https://drug.fda.moph.go.th/media.php?id=809670185509330944&amp;name=SMPC_Chloramphenicol_Eye Drops.pdf
https://drug.fda.moph.go.th/media.php?id=809670694370680832&amp;name=SMPC_Chloramphenicol_Powders for solutions for injections or infusions.pdf</x:v>
      </x:c>
      <x:c r="M53" s="31" t="str">
        <x:v>YES</x:v>
      </x:c>
      <x:c r="N53" s="37" t="str">
        <x:v>Clinical review required before Published</x:v>
      </x:c>
    </x:row>
    <x:row r="54">
      <x:c r="A54" s="31" t="str">
        <x:v>chlorhexidine</x:v>
      </x:c>
      <x:c r="B54" s="31" t="str">
        <x:v>Chlorhexidine gluconate</x:v>
      </x:c>
      <x:c r="C54" s="37" t="str">
        <x:v>รอตรวจสอบชื่อภาษาไทย</x:v>
      </x:c>
      <x:c r="D54" s="31" t="str">
        <x:v>รอตรวจสอบ</x:v>
      </x:c>
      <x:c r="E54" s="31" t="str">
        <x:v>[]</x:v>
      </x:c>
      <x:c r="F54" s="37" t="str">
        <x:v>ข้อมูลฉบับร่างจากเอกสารอ้างอิง อย. รอตรวจทานโดยผู้เชี่ยวชาญ</x:v>
      </x:c>
      <x:c r="G54" s="32" t="b">
        <x:v>0</x:v>
      </x:c>
      <x:c r="H54" s="37" t="str">
        <x:v>[{"type":"SMPC","url":"https://drug.fda.moph.go.th/media.php?id=809671981124427776&amp;name=SMPC_Chlorhexidine gluconate_cutaneous solution.pdf","published_date":"22/11/2024"},{"type":"SMPC","url":"https://drug.fda.moph.go.th/media.php?id=809672608319676416&amp;name=SMPC_Chlorhexidine gluconate_cream.pdf","published_date":"22/11/2024"}]</x:v>
      </x:c>
      <x:c r="I54" s="31" t="str">
        <x:v>Draft</x:v>
      </x:c>
      <x:c r="J54" s="31"/>
      <x:c r="K54" s="37"/>
      <x:c r="L54" s="37" t="str">
        <x:v>https://drug.fda.moph.go.th/media.php?id=809671981124427776&amp;name=SMPC_Chlorhexidine gluconate_cutaneous solution.pdf
https://drug.fda.moph.go.th/media.php?id=809672608319676416&amp;name=SMPC_Chlorhexidine gluconate_cream.pdf</x:v>
      </x:c>
      <x:c r="M54" s="31" t="str">
        <x:v>YES</x:v>
      </x:c>
      <x:c r="N54" s="37" t="str">
        <x:v>Clinical review required before Published</x:v>
      </x:c>
    </x:row>
    <x:row r="55">
      <x:c r="A55" s="31" t="str">
        <x:v>chlorhexidine_cetrimide</x:v>
      </x:c>
      <x:c r="B55" s="31" t="str">
        <x:v>Chlorhexidine acetate + Cetrimide</x:v>
      </x:c>
      <x:c r="C55" s="37" t="str">
        <x:v>รอตรวจสอบชื่อภาษาไทย</x:v>
      </x:c>
      <x:c r="D55" s="31" t="str">
        <x:v>รอตรวจสอบ</x:v>
      </x:c>
      <x:c r="E55" s="31" t="str">
        <x:v>[]</x:v>
      </x:c>
      <x:c r="F55" s="37" t="str">
        <x:v>ข้อมูลฉบับร่างจากเอกสารอ้างอิง อย. รอตรวจทานโดยผู้เชี่ยวชาญ</x:v>
      </x:c>
      <x:c r="G55" s="32" t="b">
        <x:v>0</x:v>
      </x:c>
      <x:c r="H55" s="37" t="str">
        <x:v>[{"type":"SMPC","url":"https://drug.fda.moph.go.th/media.php?id=809671385814278144&amp;name=SMPC_Chlorhexidine Acetate+Cetrimide_Irrigation Solution.pdf","published_date":"22/11/2024"}]</x:v>
      </x:c>
      <x:c r="I55" s="31" t="str">
        <x:v>Draft</x:v>
      </x:c>
      <x:c r="J55" s="31"/>
      <x:c r="K55" s="37"/>
      <x:c r="L55" s="37" t="str">
        <x:v>https://drug.fda.moph.go.th/media.php?id=809671385814278144&amp;name=SMPC_Chlorhexidine Acetate+Cetrimide_Irrigation Solution.pdf</x:v>
      </x:c>
      <x:c r="M55" s="31" t="str">
        <x:v>YES</x:v>
      </x:c>
      <x:c r="N55" s="37" t="str">
        <x:v>Clinical review required before Published</x:v>
      </x:c>
    </x:row>
    <x:row r="56">
      <x:c r="A56" s="31" t="str">
        <x:v>chlorobutanol_clove_oil</x:v>
      </x:c>
      <x:c r="B56" s="31" t="str">
        <x:v>Chlorobutanol + Clove oil</x:v>
      </x:c>
      <x:c r="C56" s="37" t="str">
        <x:v>รอตรวจสอบชื่อภาษาไทย</x:v>
      </x:c>
      <x:c r="D56" s="31" t="str">
        <x:v>รอตรวจสอบ</x:v>
      </x:c>
      <x:c r="E56" s="31" t="str">
        <x:v>[]</x:v>
      </x:c>
      <x:c r="F56" s="37" t="str">
        <x:v>ใช ้เพื่อบรรเทาอาการปวดฟันเนื่องจากฟันผุ</x:v>
      </x:c>
      <x:c r="G56" s="32" t="b">
        <x:v>0</x:v>
      </x:c>
      <x:c r="H56" s="37" t="str">
        <x:v>[{"type":"PIL","url":"https://drug.fda.moph.go.th/media.php?id=733954553325690880&amp;name=PIL ยาแก้ปวดฟัน Chlorobutanol + Clove oil (15032024).pdf","published_date":"15/3/2024"}]</x:v>
      </x:c>
      <x:c r="I56" s="31" t="str">
        <x:v>Draft</x:v>
      </x:c>
      <x:c r="J56" s="31"/>
      <x:c r="K56" s="37" t="str">
        <x:v>https://drug.fda.moph.go.th/media.php?id=733954553325690880&amp;name=PIL ยาแก้ปวดฟัน Chlorobutanol + Clove oil (15032024).pdf</x:v>
      </x:c>
      <x:c r="L56" s="37"/>
      <x:c r="M56" s="31" t="str">
        <x:v>YES</x:v>
      </x:c>
      <x:c r="N56" s="37" t="str">
        <x:v>Clinical review required before Published</x:v>
      </x:c>
    </x:row>
    <x:row r="57">
      <x:c r="A57" s="31" t="str">
        <x:v>chloroxylenol</x:v>
      </x:c>
      <x:c r="B57" s="31" t="str">
        <x:v>Chloroxylenol</x:v>
      </x:c>
      <x:c r="C57" s="37" t="str">
        <x:v>นํ้ายาฆ่าเชื้อโรค คลอโรไซลีนอล ชนิดนํ้า</x:v>
      </x:c>
      <x:c r="D57" s="31" t="str">
        <x:v>รอตรวจสอบ</x:v>
      </x:c>
      <x:c r="E57" s="31" t="str">
        <x:v>[]</x:v>
      </x:c>
      <x:c r="F57" s="37" t="str">
        <x:v>ใช ้ทําความสะอาดบาดแผล</x:v>
      </x:c>
      <x:c r="G57" s="32" t="b">
        <x:v>0</x:v>
      </x:c>
      <x:c r="H57" s="37" t="str">
        <x:v>[{"type":"SMPC","url":"https://drug.fda.moph.go.th/media.php?id=809673654496534528&amp;name=SMPC_Chloroxylenol_Concentrate for Cutaneous Solution.pdf","published_date":"27/11/2024"},{"type":"PIL","url":"https://drug.fda.moph.go.th/media.php?id=733954190996545536&amp;name=PIL น้ำยาฆ่าเชื้อโรค Chloroxylenol (15032024).pdf","published_date":"15/3/2024"}]</x:v>
      </x:c>
      <x:c r="I57" s="31" t="str">
        <x:v>Draft</x:v>
      </x:c>
      <x:c r="J57" s="31"/>
      <x:c r="K57" s="37" t="str">
        <x:v>https://drug.fda.moph.go.th/media.php?id=733954190996545536&amp;name=PIL น้ำยาฆ่าเชื้อโรค Chloroxylenol (15032024).pdf</x:v>
      </x:c>
      <x:c r="L57" s="37" t="str">
        <x:v>https://drug.fda.moph.go.th/media.php?id=809673654496534528&amp;name=SMPC_Chloroxylenol_Concentrate for Cutaneous Solution.pdf</x:v>
      </x:c>
      <x:c r="M57" s="31" t="str">
        <x:v>YES</x:v>
      </x:c>
      <x:c r="N57" s="37" t="str">
        <x:v>Clinical review required before Published</x:v>
      </x:c>
    </x:row>
    <x:row r="58">
      <x:c r="A58" s="31" t="str">
        <x:v>chlorpheniramine</x:v>
      </x:c>
      <x:c r="B58" s="31" t="str">
        <x:v>Chlorpheniramine</x:v>
      </x:c>
      <x:c r="C58" s="37" t="str">
        <x:v>คลอร์-เฟ-นิ-รา-มีน</x:v>
      </x:c>
      <x:c r="D58" s="31" t="str">
        <x:v>รอตรวจสอบ</x:v>
      </x:c>
      <x:c r="E58" s="31" t="str">
        <x:v>[]</x:v>
      </x:c>
      <x:c r="F58" s="37" t="str">
        <x:v>● ใช ้เพื่อบรรเทาอาการต่าง ๆ จากการแพ ้ เช่น น ้ามูกไหล คัดจมูก ตาแดง คันตา หรือ บรรเทาอาการแพ ้บริเวณผิวหนัง เช่น ลมพิษ</x:v>
      </x:c>
      <x:c r="G58" s="32" t="b">
        <x:v>0</x:v>
      </x:c>
      <x:c r="H58" s="37" t="str">
        <x:v>[{"type":"PIL","url":"https://drug.fda.moph.go.th/media.php?id=808242334797012992&amp;name=Chlorpheniramine_capsuleHardSugarCoatedTablelt_PIL.pdf","published_date":"15/8/2025"},{"type":"PIL","url":"https://drug.fda.moph.go.th/media.php?id=808244174758486016&amp;name=Chlorpheniramine_Syrup_PIL.pdf","published_date":"15/8/2025"},{"type":"PIL","url":"https://drug.fda.moph.go.th/media.php?id=733953854105853952&amp;name=PIL_ยาเม็ดแก้แพ้ลดน้ำมูก Chlorpheniramine (150324).pdf","published_date":"15/3/2024"}]</x:v>
      </x:c>
      <x:c r="I58" s="31" t="str">
        <x:v>Draft</x:v>
      </x:c>
      <x:c r="J58" s="31" t="str">
        <x:v>2 mg</x:v>
      </x:c>
      <x:c r="K58" s="37" t="str">
        <x:v>https://drug.fda.moph.go.th/media.php?id=808242334797012992&amp;name=Chlorpheniramine_capsuleHardSugarCoatedTablelt_PIL.pdf
https://drug.fda.moph.go.th/media.php?id=808244174758486016&amp;name=Chlorpheniramine_Syrup_PIL.pdf
https://drug.fda.moph.go.th/media.php?id=733953854105853952&amp;name=PIL_ยาเม็ดแก้แพ้ลดน้ำมูก Chlorpheniramine (150324).pdf</x:v>
      </x:c>
      <x:c r="L58" s="37"/>
      <x:c r="M58" s="31" t="str">
        <x:v>YES</x:v>
      </x:c>
      <x:c r="N58" s="37" t="str">
        <x:v>Clinical review required before Published</x:v>
      </x:c>
    </x:row>
    <x:row r="59">
      <x:c r="A59" s="31" t="str">
        <x:v>chlorpromazine</x:v>
      </x:c>
      <x:c r="B59" s="31" t="str">
        <x:v>Chlorpromazine hydrochloride</x:v>
      </x:c>
      <x:c r="C59" s="37" t="str">
        <x:v>คลอ-โพร-มา-ซีน</x:v>
      </x:c>
      <x:c r="D59" s="31" t="str">
        <x:v>รอตรวจสอบ</x:v>
      </x:c>
      <x:c r="E59" s="31" t="str">
        <x:v>[]</x:v>
      </x:c>
      <x:c r="F59" s="37" t="str">
        <x:v>ใช ้รักษาโรคจิตเภท และโรคทางจิตเวชอื่น ๆ ที่แพทย์ พิจารณาแล ้วว่าต ้องใช ้ยานี้ • ใช ้รักษาอาการสะอึกติดต่อกันเป ็ นเวลานาน • ใช ้ควบคุมอาการคลื่นไส ้อาเจียนที่แพทย์พิจารณาแล ้ วว่า ต ้องใช ้ยานี้</x:v>
      </x:c>
      <x:c r="G59" s="32" t="b">
        <x:v>0</x:v>
      </x:c>
      <x:c r="H59" s="37" t="str">
        <x:v>[{"type":"SMPC","url":"https://drug.fda.moph.go.th/media.php?id=809674435173949440&amp;name=SMPC_Chlorpromazine_Capsules.pdf","published_date":"27/11/2024"},{"type":"PIL","url":"https://drug.fda.moph.go.th/media.php?id=862918388090019840&amp;name=34. Chlorpromazine_tablet_PIL-final.pdf","published_date":"13/2/2026"}]</x:v>
      </x:c>
      <x:c r="I59" s="31" t="str">
        <x:v>Draft</x:v>
      </x:c>
      <x:c r="J59" s="31"/>
      <x:c r="K59" s="37" t="str">
        <x:v>https://drug.fda.moph.go.th/media.php?id=862918388090019840&amp;name=34. Chlorpromazine_tablet_PIL-final.pdf</x:v>
      </x:c>
      <x:c r="L59" s="37" t="str">
        <x:v>https://drug.fda.moph.go.th/media.php?id=809674435173949440&amp;name=SMPC_Chlorpromazine_Capsules.pdf</x:v>
      </x:c>
      <x:c r="M59" s="31" t="str">
        <x:v>YES</x:v>
      </x:c>
      <x:c r="N59" s="37" t="str">
        <x:v>Clinical review required before Published</x:v>
      </x:c>
    </x:row>
    <x:row r="60">
      <x:c r="A60" s="31" t="str">
        <x:v>cholestyramine</x:v>
      </x:c>
      <x:c r="B60" s="31" t="str">
        <x:v>Cholestyramine</x:v>
      </x:c>
      <x:c r="C60" s="37" t="str">
        <x:v>คอ-เลส-ไท-รา-มีน</x:v>
      </x:c>
      <x:c r="D60" s="31" t="str">
        <x:v>รอตรวจสอบ</x:v>
      </x:c>
      <x:c r="E60" s="31" t="str">
        <x:v>[]</x:v>
      </x:c>
      <x:c r="F60" s="37" t="str">
        <x:v>● ยานี้ใช ้ลดระดับไขมันคอเลสเตอรอลในเลือด ● รักษาอาการผื่นคันที่เกิดจากการคั่งของน ้าดี ● รักษาอาการท ้องเสียรุนแรง ที่เกิดจากความผิดปกติของทางเดินอาหาร ได ้ แก่ การผ่าตัดล าไส ้เล็ก โรคโครห์น ท ้องเสียจากการฉายรังสีหรือตามค าแนะน าของแพทย์</x:v>
      </x:c>
      <x:c r="G60" s="32" t="b">
        <x:v>0</x:v>
      </x:c>
      <x:c r="H60" s="37" t="str">
        <x:v>[{"type":"PIL","url":"https://drug.fda.moph.go.th/media.php?id=808244876427796480&amp;name=Cholestyramine_dry suspension_PIL.pdf","published_date":"19/3/2025"}]</x:v>
      </x:c>
      <x:c r="I60" s="31" t="str">
        <x:v>Draft</x:v>
      </x:c>
      <x:c r="J60" s="31"/>
      <x:c r="K60" s="37" t="str">
        <x:v>https://drug.fda.moph.go.th/media.php?id=808244876427796480&amp;name=Cholestyramine_dry suspension_PIL.pdf</x:v>
      </x:c>
      <x:c r="L60" s="37"/>
      <x:c r="M60" s="31" t="str">
        <x:v>YES</x:v>
      </x:c>
      <x:c r="N60" s="37" t="str">
        <x:v>Clinical review required before Published</x:v>
      </x:c>
    </x:row>
    <x:row r="61">
      <x:c r="A61" s="31" t="str">
        <x:v>cimetidine</x:v>
      </x:c>
      <x:c r="B61" s="31" t="str">
        <x:v>Cimetidine</x:v>
      </x:c>
      <x:c r="C61" s="37" t="str">
        <x:v>ไซ-เม-ทิ-ดีน</x:v>
      </x:c>
      <x:c r="D61" s="31" t="str">
        <x:v>รอตรวจสอบ</x:v>
      </x:c>
      <x:c r="E61" s="31" t="str">
        <x:v>[]</x:v>
      </x:c>
      <x:c r="F61" s="37" t="str">
        <x:v>● รักษาหรือป้องกันแผลในกระเพาะอาหารและล าไส ้เล็ก ● รักษาโรคกรดไหลย ้ อน ● รักษาภาวะที่กระเพาะอาหารสร้ างกรดจ านวนมากกว่าปกติ (กลุ่มอาการโซลลิงเจอร์-เอลลิสัน)</x:v>
      </x:c>
      <x:c r="G61" s="32" t="b">
        <x:v>0</x:v>
      </x:c>
      <x:c r="H61" s="37" t="str">
        <x:v>[{"type":"PIL","url":"https://drug.fda.moph.go.th/media.php?id=808245090517655552&amp;name=Cimetidine_compressedTabletFilmCoatedTabletCapsuleHard_PIL.pdf","published_date":"19/3/2025"},{"type":"SMPC","url":"https://drug.fda.moph.go.th/media.php?id=809675069696647168&amp;name=SMPC_Cimetidine_Tablets.pdf","published_date":"22/11/2024"}]</x:v>
      </x:c>
      <x:c r="I61" s="31" t="str">
        <x:v>Draft</x:v>
      </x:c>
      <x:c r="J61" s="31"/>
      <x:c r="K61" s="37" t="str">
        <x:v>https://drug.fda.moph.go.th/media.php?id=808245090517655552&amp;name=Cimetidine_compressedTabletFilmCoatedTabletCapsuleHard_PIL.pdf</x:v>
      </x:c>
      <x:c r="L61" s="37" t="str">
        <x:v>https://drug.fda.moph.go.th/media.php?id=809675069696647168&amp;name=SMPC_Cimetidine_Tablets.pdf</x:v>
      </x:c>
      <x:c r="M61" s="31" t="str">
        <x:v>YES</x:v>
      </x:c>
      <x:c r="N61" s="37" t="str">
        <x:v>Clinical review required before Published</x:v>
      </x:c>
    </x:row>
    <x:row r="62">
      <x:c r="A62" s="31" t="str">
        <x:v>cinnarizine</x:v>
      </x:c>
      <x:c r="B62" s="31" t="str">
        <x:v>Cinnarizine</x:v>
      </x:c>
      <x:c r="C62" s="37" t="str">
        <x:v>ซิน-นา-ริ-ซีน</x:v>
      </x:c>
      <x:c r="D62" s="31" t="str">
        <x:v>รอตรวจสอบ</x:v>
      </x:c>
      <x:c r="E62" s="31" t="str">
        <x:v>[]</x:v>
      </x:c>
      <x:c r="F62" s="37" t="str">
        <x:v>● ใช ้ป้องกันอาการเมารถ เมาเรือ และบรรเทาอาการเวียนศีรษะบ ้านหมุน (vertigo) ที่เกิดจากความผิดปกติของการควบคุมการทรงตัวของ ร่างกาย</x:v>
      </x:c>
      <x:c r="G62" s="32" t="b">
        <x:v>0</x:v>
      </x:c>
      <x:c r="H62" s="37" t="str">
        <x:v>[{"type":"PIL","url":"https://drug.fda.moph.go.th/media.php?id=904601735509712896&amp;name=13. Ref_PIL_Cinnarizine tab.pdf","published_date":"8/6/2026"}]</x:v>
      </x:c>
      <x:c r="I62" s="31" t="str">
        <x:v>Draft</x:v>
      </x:c>
      <x:c r="J62" s="31" t="str">
        <x:v>25 mg</x:v>
      </x:c>
      <x:c r="K62" s="37" t="str">
        <x:v>https://drug.fda.moph.go.th/media.php?id=904601735509712896&amp;name=13. Ref_PIL_Cinnarizine tab.pdf</x:v>
      </x:c>
      <x:c r="L62" s="37"/>
      <x:c r="M62" s="31" t="str">
        <x:v>YES</x:v>
      </x:c>
      <x:c r="N62" s="37" t="str">
        <x:v>Clinical review required before Published</x:v>
      </x:c>
    </x:row>
    <x:row r="63">
      <x:c r="A63" s="31" t="str">
        <x:v>ciprofloxacin</x:v>
      </x:c>
      <x:c r="B63" s="31" t="str">
        <x:v>Ciprofloxacin</x:v>
      </x:c>
      <x:c r="C63" s="37" t="str">
        <x:v>รอตรวจสอบชื่อภาษาไทย</x:v>
      </x:c>
      <x:c r="D63" s="31" t="str">
        <x:v>รอตรวจสอบ</x:v>
      </x:c>
      <x:c r="E63" s="31" t="str">
        <x:v>[]</x:v>
      </x:c>
      <x:c r="F63" s="37" t="str">
        <x:v>ข้อมูลฉบับร่างจากเอกสารอ้างอิง อย. รอตรวจทานโดยผู้เชี่ยวชาญ</x:v>
      </x:c>
      <x:c r="G63" s="32" t="b">
        <x:v>0</x:v>
      </x:c>
      <x:c r="H63" s="37" t="str">
        <x:v>[{"type":"SMPC","url":"https://drug.fda.moph.go.th/media.php?id=842359238230679552&amp;name=SmPC Ciprofloxacin film-coated tablets.pdf","published_date":"27/11/2024"},{"type":"SMPC","url":"https://drug.fda.moph.go.th/media.php?id=809677740591685632&amp;name=SMPC_Ciprofloxacin_Solution for infusion.pdf","published_date":"27/11/2024"},{"type":"SMPC","url":"https://drug.fda.moph.go.th/media.php?id=842360112483016704&amp;name=SmPC Ciprofloxacin hydrochloride tablet.pdf","published_date":"27/11/2024"}]</x:v>
      </x:c>
      <x:c r="I63" s="31" t="str">
        <x:v>Draft</x:v>
      </x:c>
      <x:c r="J63" s="31"/>
      <x:c r="K63" s="37"/>
      <x:c r="L63" s="37" t="str">
        <x:v>https://drug.fda.moph.go.th/media.php?id=842359238230679552&amp;name=SmPC Ciprofloxacin film-coated tablets.pdf
https://drug.fda.moph.go.th/media.php?id=809677740591685632&amp;name=SMPC_Ciprofloxacin_Solution for infusion.pdf
https://drug.fda.moph.go.th/media.php?id=842360112483016704&amp;name=SmPC Ciprofloxacin hydrochloride tablet.pdf</x:v>
      </x:c>
      <x:c r="M63" s="31" t="str">
        <x:v>YES</x:v>
      </x:c>
      <x:c r="N63" s="37" t="str">
        <x:v>Clinical review required before Published</x:v>
      </x:c>
    </x:row>
    <x:row r="64">
      <x:c r="A64" s="31" t="str">
        <x:v>citric_acid_sodium_bicarbonate_sodium_carbonate</x:v>
      </x:c>
      <x:c r="B64" s="31" t="str">
        <x:v>Citric acid + Sodium bicarbonate + Sodium carbonate</x:v>
      </x:c>
      <x:c r="C64" s="37" t="str">
        <x:v>รอตรวจสอบชื่อภาษาไทย</x:v>
      </x:c>
      <x:c r="D64" s="31" t="str">
        <x:v>รอตรวจสอบ</x:v>
      </x:c>
      <x:c r="E64" s="31" t="str">
        <x:v>[]</x:v>
      </x:c>
      <x:c r="F64" s="37" t="str">
        <x:v>ใช ้เพื่อลดกรด บรรเทาอาการท ้ องอืด ท ้ องเฟ้อ เนื่องจากมีกรดมากในกระเพาะอาหาร</x:v>
      </x:c>
      <x:c r="G64" s="32" t="b">
        <x:v>0</x:v>
      </x:c>
      <x:c r="H64" s="37" t="str">
        <x:v>[{"type":"PIL","url":"https://drug.fda.moph.go.th/media.php?id=733953466694770688&amp;name=PIL_Citric acid + Sodium bicarbonate + Sodium carbonate(15032024).pdf","published_date":"15/3/2024"}]</x:v>
      </x:c>
      <x:c r="I64" s="31" t="str">
        <x:v>Draft</x:v>
      </x:c>
      <x:c r="J64" s="31"/>
      <x:c r="K64" s="37" t="str">
        <x:v>https://drug.fda.moph.go.th/media.php?id=733953466694770688&amp;name=PIL_Citric acid + Sodium bicarbonate + Sodium carbonate(15032024).pdf</x:v>
      </x:c>
      <x:c r="L64" s="37"/>
      <x:c r="M64" s="31" t="str">
        <x:v>YES</x:v>
      </x:c>
      <x:c r="N64" s="37" t="str">
        <x:v>Clinical review required before Published</x:v>
      </x:c>
    </x:row>
    <x:row r="65">
      <x:c r="A65" s="31" t="str">
        <x:v>clarithromycin</x:v>
      </x:c>
      <x:c r="B65" s="31" t="str">
        <x:v>Clarithromycin</x:v>
      </x:c>
      <x:c r="C65" s="37" t="str">
        <x:v>คลา-ริ-โทร-ไม-ซิน</x:v>
      </x:c>
      <x:c r="D65" s="31" t="str">
        <x:v>รอตรวจสอบ</x:v>
      </x:c>
      <x:c r="E65" s="31" t="str">
        <x:v>[]</x:v>
      </x:c>
      <x:c r="F65" s="37" t="str">
        <x:v>ใช ้รักษาการติดเชื้อแบคทีเรียที่ไวต่อยานี้</x:v>
      </x:c>
      <x:c r="G65" s="32" t="b">
        <x:v>0</x:v>
      </x:c>
      <x:c r="H65" s="37" t="str">
        <x:v>[{"type":"SMPC","url":"https://drug.fda.moph.go.th/media.php?id=809678715939332096&amp;name=SMPC_Clarithromycin_Film-coated tablets.pdf","published_date":"21/11/2024"},{"type":"PIL","url":"https://drug.fda.moph.go.th/media.php?id=862918388824023040&amp;name=26.Clarithromycin_tablet_PIL_finaL.pdf","published_date":"13/2/2026"}]</x:v>
      </x:c>
      <x:c r="I65" s="31" t="str">
        <x:v>Draft</x:v>
      </x:c>
      <x:c r="J65" s="31" t="str">
        <x:v>500 mg</x:v>
      </x:c>
      <x:c r="K65" s="37" t="str">
        <x:v>https://drug.fda.moph.go.th/media.php?id=862918388824023040&amp;name=26.Clarithromycin_tablet_PIL_finaL.pdf</x:v>
      </x:c>
      <x:c r="L65" s="37" t="str">
        <x:v>https://drug.fda.moph.go.th/media.php?id=809678715939332096&amp;name=SMPC_Clarithromycin_Film-coated tablets.pdf</x:v>
      </x:c>
      <x:c r="M65" s="31" t="str">
        <x:v>YES</x:v>
      </x:c>
      <x:c r="N65" s="37" t="str">
        <x:v>Clinical review required before Published</x:v>
      </x:c>
    </x:row>
    <x:row r="66">
      <x:c r="A66" s="31" t="str">
        <x:v>clindamycin</x:v>
      </x:c>
      <x:c r="B66" s="31" t="str">
        <x:v>Clindamycin phosphate</x:v>
      </x:c>
      <x:c r="C66" s="37" t="str">
        <x:v>รอตรวจสอบชื่อภาษาไทย</x:v>
      </x:c>
      <x:c r="D66" s="31" t="str">
        <x:v>รอตรวจสอบ</x:v>
      </x:c>
      <x:c r="E66" s="31" t="str">
        <x:v>[]</x:v>
      </x:c>
      <x:c r="F66" s="37" t="str">
        <x:v>ข้อมูลฉบับร่างจากเอกสารอ้างอิง อย. รอตรวจทานโดยผู้เชี่ยวชาญ</x:v>
      </x:c>
      <x:c r="G66" s="32" t="b">
        <x:v>0</x:v>
      </x:c>
      <x:c r="H66" s="37" t="str">
        <x:v>[{"type":"SMPC","url":"https://drug.fda.moph.go.th/media.php?id=809679498764230656&amp;name=SMPC_clindamycin phosphate_solution for injection and infusion.pdf","published_date":"21/11/2024"},{"type":"SMPC","url":"https://drug.fda.moph.go.th/media.php?id=809680149330141184&amp;name=SMPC_Clindamycin_Topical lotion.pdf","published_date":"21/11/2024"}]</x:v>
      </x:c>
      <x:c r="I66" s="31" t="str">
        <x:v>Draft</x:v>
      </x:c>
      <x:c r="J66" s="31"/>
      <x:c r="K66" s="37"/>
      <x:c r="L66" s="37" t="str">
        <x:v>https://drug.fda.moph.go.th/media.php?id=809679498764230656&amp;name=SMPC_clindamycin phosphate_solution for injection and infusion.pdf
https://drug.fda.moph.go.th/media.php?id=809680149330141184&amp;name=SMPC_Clindamycin_Topical lotion.pdf</x:v>
      </x:c>
      <x:c r="M66" s="31" t="str">
        <x:v>YES</x:v>
      </x:c>
      <x:c r="N66" s="37" t="str">
        <x:v>Clinical review required before Published</x:v>
      </x:c>
    </x:row>
    <x:row r="67">
      <x:c r="A67" s="31" t="str">
        <x:v>clobetasol_propionate</x:v>
      </x:c>
      <x:c r="B67" s="31" t="str">
        <x:v>Clobetasol propionate</x:v>
      </x:c>
      <x:c r="C67" s="37" t="str">
        <x:v>คลอ-เบ-ทา-ซอล-โพร-พิ-โอ-เนต</x:v>
      </x:c>
      <x:c r="D67" s="31" t="str">
        <x:v>รอตรวจสอบ</x:v>
      </x:c>
      <x:c r="E67" s="31" t="str">
        <x:v>[]</x:v>
      </x:c>
      <x:c r="F67" s="37" t="str">
        <x:v>ใช ้เพื่อลดอาการ แดง คัน ที่เกิดจากการอักเสบบริเวณ ผิวหนัง</x:v>
      </x:c>
      <x:c r="G67" s="32" t="b">
        <x:v>0</x:v>
      </x:c>
      <x:c r="H67" s="37" t="str">
        <x:v>[{"type":"PIL","url":"https://drug.fda.moph.go.th/media.php?id=725942308205371392&amp;name=pil_Clobetasol propionate (CREAM).pdf","published_date":"9/11/2023"}]</x:v>
      </x:c>
      <x:c r="I67" s="31" t="str">
        <x:v>Draft</x:v>
      </x:c>
      <x:c r="J67" s="31"/>
      <x:c r="K67" s="37" t="str">
        <x:v>https://drug.fda.moph.go.th/media.php?id=725942308205371392&amp;name=pil_Clobetasol propionate (CREAM).pdf</x:v>
      </x:c>
      <x:c r="L67" s="37"/>
      <x:c r="M67" s="31" t="str">
        <x:v>YES</x:v>
      </x:c>
      <x:c r="N67" s="37" t="str">
        <x:v>Clinical review required before Published</x:v>
      </x:c>
    </x:row>
    <x:row r="68">
      <x:c r="A68" s="31" t="str">
        <x:v>clonidine</x:v>
      </x:c>
      <x:c r="B68" s="31" t="str">
        <x:v>Clonidine hydrochloride</x:v>
      </x:c>
      <x:c r="C68" s="37" t="str">
        <x:v>โคลนิดีน</x:v>
      </x:c>
      <x:c r="D68" s="31" t="str">
        <x:v>รอตรวจสอบ</x:v>
      </x:c>
      <x:c r="E68" s="31" t="str">
        <x:v>[]</x:v>
      </x:c>
      <x:c r="F68" s="37" t="str">
        <x:v>ใช ้รักษาโรคความดันโลหิตสูง</x:v>
      </x:c>
      <x:c r="G68" s="32" t="b">
        <x:v>0</x:v>
      </x:c>
      <x:c r="H68" s="37" t="str">
        <x:v>[{"type":"PIL","url":"https://drug.fda.moph.go.th/media.php?id=725640886955941888&amp;name=pil_Clonidine hydrochloride (tab;et 0.15 mg).pdf","published_date":"4/8/2023"},{"type":"SMPC","url":"https://drug.fda.moph.go.th/media.php?id=809689391965544448&amp;name=SMPC_Clonidine_tablets.pdf","published_date":"21/11/2024"}]</x:v>
      </x:c>
      <x:c r="I68" s="31" t="str">
        <x:v>Draft</x:v>
      </x:c>
      <x:c r="J68" s="31" t="str">
        <x:v>0.15 mg; 0.1 mg</x:v>
      </x:c>
      <x:c r="K68" s="37" t="str">
        <x:v>https://drug.fda.moph.go.th/media.php?id=725640886955941888&amp;name=pil_Clonidine hydrochloride (tab;et 0.15 mg).pdf</x:v>
      </x:c>
      <x:c r="L68" s="37" t="str">
        <x:v>https://drug.fda.moph.go.th/media.php?id=809689391965544448&amp;name=SMPC_Clonidine_tablets.pdf</x:v>
      </x:c>
      <x:c r="M68" s="31" t="str">
        <x:v>YES</x:v>
      </x:c>
      <x:c r="N68" s="37" t="str">
        <x:v>Clinical review required before Published</x:v>
      </x:c>
    </x:row>
    <x:row r="69">
      <x:c r="A69" s="31" t="str">
        <x:v>clotrimazole</x:v>
      </x:c>
      <x:c r="B69" s="31" t="str">
        <x:v>Clotrimazole</x:v>
      </x:c>
      <x:c r="C69" s="37" t="str">
        <x:v>โคล-ไตร-มา-โซล</x:v>
      </x:c>
      <x:c r="D69" s="31" t="str">
        <x:v>รอตรวจสอบ</x:v>
      </x:c>
      <x:c r="E69" s="31" t="str">
        <x:v>[]</x:v>
      </x:c>
      <x:c r="F69" s="37" t="str">
        <x:v>ใช ้เพื่อรักษาการติดเชื้อราในช่องปาก ที่ได ้ รับการวินิจฉัย ว่าต ้องใช ้ยานี้</x:v>
      </x:c>
      <x:c r="G69" s="32" t="b">
        <x:v>0</x:v>
      </x:c>
      <x:c r="H69" s="37" t="str">
        <x:v>[{"type":"PIL","url":"https://drug.fda.moph.go.th/media.php?id=725942369777754112&amp;name=pil_Clotrimazole (LOZENGE).pdf","published_date":"9/11/2023"},{"type":"PIL","url":"https://drug.fda.moph.go.th/media.php?id=808249374026113024&amp;name=Clotrimazole_cream_PIL.pdf","published_date":"19/3/2025"},{"type":"SMPC","url":"https://drug.fda.moph.go.th/media.php?id=809690021182447616&amp;name=SMPC_Clotrimazole_cream.pdf","published_date":"21/11/2024"},{"type":"PIL","url":"https://drug.fda.moph.go.th/media.php?id=808249562153230336&amp;name=Clotrimazole_vaginaltablet_PIL.pdf","published_date":"19/3/2025"},{"type":"SMPC","url":"https://drug.fda.moph.go.th/media.php?id=809690567477960704&amp;name=SMPC_Clotrimazole_vaginaltablet.pdf","published_date":"21/11/2024"},{"type":"SMPC","url":"https://drug.fda.moph.go.th/media.php?id=726814171727011840&amp;name=SMPC_Clotrimazole (SOLUTION) 1.0%wv.pdf","published_date":"21/11/2024"}]</x:v>
      </x:c>
      <x:c r="I69" s="31" t="str">
        <x:v>Draft</x:v>
      </x:c>
      <x:c r="J69" s="31" t="str">
        <x:v>1.0%w/v; 100 mg, 500 mg</x:v>
      </x:c>
      <x:c r="K69" s="37" t="str">
        <x:v>https://drug.fda.moph.go.th/media.php?id=725942369777754112&amp;name=pil_Clotrimazole (LOZENGE).pdf
https://drug.fda.moph.go.th/media.php?id=808249374026113024&amp;name=Clotrimazole_cream_PIL.pdf
https://drug.fda.moph.go.th/media.php?id=808249562153230336&amp;name=Clotrimazole_vaginaltablet_PIL.pdf</x:v>
      </x:c>
      <x:c r="L69" s="37" t="str">
        <x:v>https://drug.fda.moph.go.th/media.php?id=809690021182447616&amp;name=SMPC_Clotrimazole_cream.pdf
https://drug.fda.moph.go.th/media.php?id=809690567477960704&amp;name=SMPC_Clotrimazole_vaginaltablet.pdf
https://drug.fda.moph.go.th/media.php?id=726814171727011840&amp;name=SMPC_Clotrimazole (SOLUTION) 1.0%wv.pdf</x:v>
      </x:c>
      <x:c r="M69" s="31" t="str">
        <x:v>YES</x:v>
      </x:c>
      <x:c r="N69" s="37" t="str">
        <x:v>Clinical review required before Published</x:v>
      </x:c>
    </x:row>
    <x:row r="70">
      <x:c r="A70" s="31" t="str">
        <x:v>cloxacillin</x:v>
      </x:c>
      <x:c r="B70" s="31" t="str">
        <x:v>Cloxacillin</x:v>
      </x:c>
      <x:c r="C70" s="37" t="str">
        <x:v>คล็อก-ซา-ซิล-ลิน</x:v>
      </x:c>
      <x:c r="D70" s="31" t="str">
        <x:v>รอตรวจสอบ</x:v>
      </x:c>
      <x:c r="E70" s="31" t="str">
        <x:v>[]</x:v>
      </x:c>
      <x:c r="F70" s="37" t="str">
        <x:v>● ใช ้รักษาการติดเชื้อแบคทีเรียที่ไวต่อยานี้</x:v>
      </x:c>
      <x:c r="G70" s="32" t="b">
        <x:v>0</x:v>
      </x:c>
      <x:c r="H70" s="37" t="str">
        <x:v>[{"type":"PIL","url":"https://drug.fda.moph.go.th/media.php?id=808517407260942336&amp;name=Cloxacillin_drysyrup_PIL.pdf","published_date":"19/3/2025"}]</x:v>
      </x:c>
      <x:c r="I70" s="31" t="str">
        <x:v>Draft</x:v>
      </x:c>
      <x:c r="J70" s="31"/>
      <x:c r="K70" s="37" t="str">
        <x:v>https://drug.fda.moph.go.th/media.php?id=808517407260942336&amp;name=Cloxacillin_drysyrup_PIL.pdf</x:v>
      </x:c>
      <x:c r="L70" s="37"/>
      <x:c r="M70" s="31" t="str">
        <x:v>YES</x:v>
      </x:c>
      <x:c r="N70" s="37" t="str">
        <x:v>Clinical review required before Published</x:v>
      </x:c>
    </x:row>
    <x:row r="71">
      <x:c r="A71" s="31" t="str">
        <x:v>co_trimoxazole_trimethoprim_sulfamethoxazole</x:v>
      </x:c>
      <x:c r="B71" s="31" t="str">
        <x:v>Co-trimoxazole ( Trimethoprim + Sulfamethoxazole)</x:v>
      </x:c>
      <x:c r="C71" s="37" t="str">
        <x:v>รอตรวจสอบชื่อภาษาไทย</x:v>
      </x:c>
      <x:c r="D71" s="31" t="str">
        <x:v>รอตรวจสอบ</x:v>
      </x:c>
      <x:c r="E71" s="31" t="str">
        <x:v>[]</x:v>
      </x:c>
      <x:c r="F71" s="37" t="str">
        <x:v>● ยานี้ใช ้รักษาและป้องกันโรคติดเชื้อแบคทีเรีย บางชนิดที่ไวต่อยานี้ ● ยานี้ใช ้รักษาและป้องกันโรคติดเชื้อฉวยโอกาส บางชนิดในผู ้ ที่มีภูมิคุ ้ มกันต ่า</x:v>
      </x:c>
      <x:c r="G71" s="32" t="b">
        <x:v>0</x:v>
      </x:c>
      <x:c r="H71" s="37" t="str">
        <x:v>[{"type":"PIL","url":"https://drug.fda.moph.go.th/media.php?id=808517949823524864&amp;name=SulfamethoxazoleAndTrimethoprim_capsule_tablet_PIL.pdf","published_date":"19/3/2025"},{"type":"PIL","url":"https://drug.fda.moph.go.th/media.php?id=808518443686043648&amp;name=SulfamethoxazoleAndTrimethoprim_suspensionSyrup_PIL.pdf","published_date":"19/3/2025"}]</x:v>
      </x:c>
      <x:c r="I71" s="31" t="str">
        <x:v>Draft</x:v>
      </x:c>
      <x:c r="J71" s="31"/>
      <x:c r="K71" s="37" t="str">
        <x:v>https://drug.fda.moph.go.th/media.php?id=808517949823524864&amp;name=SulfamethoxazoleAndTrimethoprim_capsule_tablet_PIL.pdf
https://drug.fda.moph.go.th/media.php?id=808518443686043648&amp;name=SulfamethoxazoleAndTrimethoprim_suspensionSyrup_PIL.pdf</x:v>
      </x:c>
      <x:c r="L71" s="37"/>
      <x:c r="M71" s="31" t="str">
        <x:v>YES</x:v>
      </x:c>
      <x:c r="N71" s="37" t="str">
        <x:v>Clinical review required before Published</x:v>
      </x:c>
    </x:row>
    <x:row r="72">
      <x:c r="A72" s="31" t="str">
        <x:v>coal_tar</x:v>
      </x:c>
      <x:c r="B72" s="31" t="str">
        <x:v>Coal tar</x:v>
      </x:c>
      <x:c r="C72" s="37" t="str">
        <x:v>โคลทาร์</x:v>
      </x:c>
      <x:c r="D72" s="31" t="str">
        <x:v>รอตรวจสอบ</x:v>
      </x:c>
      <x:c r="E72" s="31" t="str">
        <x:v>[]</x:v>
      </x:c>
      <x:c r="F72" s="37" t="str">
        <x:v>ยานี้ใช ้เพื่อรักษาโรคผิวหนังเรื้อรัง เช่น เรื้อนกวาง ผิวหนังเป็นผื่นคัน</x:v>
      </x:c>
      <x:c r="G72" s="32" t="b">
        <x:v>0</x:v>
      </x:c>
      <x:c r="H72" s="37" t="str">
        <x:v>[{"type":"PIL","url":"https://drug.fda.moph.go.th/media.php?id=733953082332946432&amp;name=PIL ยารักษาโรคผิวหนังเรื้อรัง Coal tar (15032024).pdf","published_date":"15/3/2024"}]</x:v>
      </x:c>
      <x:c r="I72" s="31" t="str">
        <x:v>Draft</x:v>
      </x:c>
      <x:c r="J72" s="31"/>
      <x:c r="K72" s="37" t="str">
        <x:v>https://drug.fda.moph.go.th/media.php?id=733953082332946432&amp;name=PIL ยารักษาโรคผิวหนังเรื้อรัง Coal tar (15032024).pdf</x:v>
      </x:c>
      <x:c r="L72" s="37"/>
      <x:c r="M72" s="31" t="str">
        <x:v>YES</x:v>
      </x:c>
      <x:c r="N72" s="37" t="str">
        <x:v>Clinical review required before Published</x:v>
      </x:c>
    </x:row>
    <x:row r="73">
      <x:c r="A73" s="31" t="str">
        <x:v>colchicine</x:v>
      </x:c>
      <x:c r="B73" s="31" t="str">
        <x:v>Colchicine</x:v>
      </x:c>
      <x:c r="C73" s="37" t="str">
        <x:v>โคลชิซีน</x:v>
      </x:c>
      <x:c r="D73" s="31" t="str">
        <x:v>รอตรวจสอบ</x:v>
      </x:c>
      <x:c r="E73" s="31" t="str">
        <x:v>[]</x:v>
      </x:c>
      <x:c r="F73" s="37" t="str">
        <x:v>ใช ้เพื่อรักษาอาการปวดเฉียบพลันจากโรคเกาต์ • ใช ้ร่วมกับยาลดกรดยูริก เพื่อป้องกันการก าเริบของ โรคเกาต์</x:v>
      </x:c>
      <x:c r="G73" s="32" t="b">
        <x:v>0</x:v>
      </x:c>
      <x:c r="H73" s="37" t="str">
        <x:v>[{"type":"SMPC","url":"https://drug.fda.moph.go.th/media.php?id=809692129914920960&amp;name=SMPC_Colchicine_Tablets.pdf","published_date":"27/11/2024"},{"type":"PIL","url":"https://drug.fda.moph.go.th/media.php?id=862918387561537536&amp;name=35.Colchicine_Tablets_PIL-final.pdf","published_date":"13/2/2026"}]</x:v>
      </x:c>
      <x:c r="I73" s="31" t="str">
        <x:v>Draft</x:v>
      </x:c>
      <x:c r="J73" s="31"/>
      <x:c r="K73" s="37" t="str">
        <x:v>https://drug.fda.moph.go.th/media.php?id=862918387561537536&amp;name=35.Colchicine_Tablets_PIL-final.pdf</x:v>
      </x:c>
      <x:c r="L73" s="37" t="str">
        <x:v>https://drug.fda.moph.go.th/media.php?id=809692129914920960&amp;name=SMPC_Colchicine_Tablets.pdf</x:v>
      </x:c>
      <x:c r="M73" s="31" t="str">
        <x:v>YES</x:v>
      </x:c>
      <x:c r="N73" s="37" t="str">
        <x:v>Clinical review required before Published</x:v>
      </x:c>
    </x:row>
    <x:row r="74">
      <x:c r="A74" s="31" t="str">
        <x:v>cyanocobalamin</x:v>
      </x:c>
      <x:c r="B74" s="31" t="str">
        <x:v>Cyanocobalamin</x:v>
      </x:c>
      <x:c r="C74" s="37" t="str">
        <x:v>ไซ-ยา-โน-โค-บา-ลา-มิน</x:v>
      </x:c>
      <x:c r="D74" s="31" t="str">
        <x:v>รอตรวจสอบ</x:v>
      </x:c>
      <x:c r="E74" s="31" t="str">
        <x:v>[]</x:v>
      </x:c>
      <x:c r="F74" s="37" t="str">
        <x:v>ใช ้รักษาโรคโลหิตจางที่เกิดจากการขาดวิตามินบี 12 • ใช ้รักษาภาวะขาดวิตามินบี 12</x:v>
      </x:c>
      <x:c r="G74" s="32" t="b">
        <x:v>0</x:v>
      </x:c>
      <x:c r="H74" s="37" t="str">
        <x:v>[{"type":"PIL","url":"https://drug.fda.moph.go.th/media.php?id=725942611436773376&amp;name=pil_Cyanocobalamin (TABLET).pdf","published_date":"9/11/2023"},{"type":"SMPC","url":"https://drug.fda.moph.go.th/media.php?id=809692799212593152&amp;name=SMPC_Cyanocobalamin_Tablets.pdf","published_date":"21/11/2024"}]</x:v>
      </x:c>
      <x:c r="I74" s="31" t="str">
        <x:v>Draft</x:v>
      </x:c>
      <x:c r="J74" s="31"/>
      <x:c r="K74" s="37" t="str">
        <x:v>https://drug.fda.moph.go.th/media.php?id=725942611436773376&amp;name=pil_Cyanocobalamin (TABLET).pdf</x:v>
      </x:c>
      <x:c r="L74" s="37" t="str">
        <x:v>https://drug.fda.moph.go.th/media.php?id=809692799212593152&amp;name=SMPC_Cyanocobalamin_Tablets.pdf</x:v>
      </x:c>
      <x:c r="M74" s="31" t="str">
        <x:v>YES</x:v>
      </x:c>
      <x:c r="N74" s="37" t="str">
        <x:v>Clinical review required before Published</x:v>
      </x:c>
    </x:row>
    <x:row r="75">
      <x:c r="A75" s="31" t="str">
        <x:v>cyclophosphamide</x:v>
      </x:c>
      <x:c r="B75" s="31" t="str">
        <x:v>Cyclophosphamide</x:v>
      </x:c>
      <x:c r="C75" s="37" t="str">
        <x:v>ไซโคลฟอสฟาไมด์</x:v>
      </x:c>
      <x:c r="D75" s="31" t="str">
        <x:v>รอตรวจสอบ</x:v>
      </x:c>
      <x:c r="E75" s="31" t="str">
        <x:v>[]</x:v>
      </x:c>
      <x:c r="F75" s="37" t="str">
        <x:v>ใช ้รักษาโรคมะเร็งบางชนิด • ใช ้รักษาโรคต่อต ้ านภูมิคุ ้ มกันร่างกายตนเอง ซึ่ง แพทย์วินิจฉัยแล ้วว่าจ าเป็ นต ้องใช ้ยานี้</x:v>
      </x:c>
      <x:c r="G75" s="32" t="b">
        <x:v>0</x:v>
      </x:c>
      <x:c r="H75" s="37" t="str">
        <x:v>[{"type":"SMPC","url":"https://drug.fda.moph.go.th/media.php?id=809693226402455552&amp;name=SMPC_Cyclophosphamide_Powders for solutions for injections or infusions.pdf","published_date":"27/11/2024"},{"type":"PIL","url":"https://drug.fda.moph.go.th/media.php?id=862918391248330752&amp;name=11. Cyclophosphamide_inj_PIL_final.pdf","published_date":"13/2/2026"},{"type":"PIL","url":"https://drug.fda.moph.go.th/media.php?id=862918393693609984&amp;name=12.Cyclophosphamide_Tablets_PIL_final.pdf","published_date":"13/2/2026"}]</x:v>
      </x:c>
      <x:c r="I75" s="31" t="str">
        <x:v>Draft</x:v>
      </x:c>
      <x:c r="J75" s="31"/>
      <x:c r="K75" s="37" t="str">
        <x:v>https://drug.fda.moph.go.th/media.php?id=862918391248330752&amp;name=11. Cyclophosphamide_inj_PIL_final.pdf
https://drug.fda.moph.go.th/media.php?id=862918393693609984&amp;name=12.Cyclophosphamide_Tablets_PIL_final.pdf</x:v>
      </x:c>
      <x:c r="L75" s="37" t="str">
        <x:v>https://drug.fda.moph.go.th/media.php?id=809693226402455552&amp;name=SMPC_Cyclophosphamide_Powders for solutions for injections or infusions.pdf</x:v>
      </x:c>
      <x:c r="M75" s="31" t="str">
        <x:v>YES</x:v>
      </x:c>
      <x:c r="N75" s="37" t="str">
        <x:v>Clinical review required before Published</x:v>
      </x:c>
    </x:row>
    <x:row r="76">
      <x:c r="A76" s="31" t="str">
        <x:v>cyproheptadine</x:v>
      </x:c>
      <x:c r="B76" s="31" t="str">
        <x:v>Cyproheptadine</x:v>
      </x:c>
      <x:c r="C76" s="37" t="str">
        <x:v>ไซโพรเฮปทาดีน</x:v>
      </x:c>
      <x:c r="D76" s="31" t="str">
        <x:v>รอตรวจสอบ</x:v>
      </x:c>
      <x:c r="E76" s="31" t="str">
        <x:v>[]</x:v>
      </x:c>
      <x:c r="F76" s="37" t="str">
        <x:v>ข้อมูลฉบับร่างจากเอกสารอ้างอิง อย. รอตรวจทานโดยผู้เชี่ยวชาญ</x:v>
      </x:c>
      <x:c r="G76" s="32" t="b">
        <x:v>0</x:v>
      </x:c>
      <x:c r="H76" s="37" t="str">
        <x:v>[{"type":"PIL","url":"https://drug.fda.moph.go.th/media.php?id=808520288135421952&amp;name=Cyproheptadine_sugarCoatedTablet_PIL.pdf","published_date":"15/8/2025"},{"type":"PIL","url":"https://drug.fda.moph.go.th/media.php?id=808521488910131200&amp;name=Cyproheptadine_Syrup_PIL.pdf","published_date":"15/8/2025"},{"type":"SMPC","url":"https://drug.fda.moph.go.th/media.php?id=809699643461083136&amp;name=SMPC_Cyproheptadine_Tablets.pdf","published_date":"27/11/2024"}]</x:v>
      </x:c>
      <x:c r="I76" s="31" t="str">
        <x:v>Draft</x:v>
      </x:c>
      <x:c r="J76" s="31"/>
      <x:c r="K76" s="37" t="str">
        <x:v>https://drug.fda.moph.go.th/media.php?id=808520288135421952&amp;name=Cyproheptadine_sugarCoatedTablet_PIL.pdf
https://drug.fda.moph.go.th/media.php?id=808521488910131200&amp;name=Cyproheptadine_Syrup_PIL.pdf</x:v>
      </x:c>
      <x:c r="L76" s="37" t="str">
        <x:v>https://drug.fda.moph.go.th/media.php?id=809699643461083136&amp;name=SMPC_Cyproheptadine_Tablets.pdf</x:v>
      </x:c>
      <x:c r="M76" s="31" t="str">
        <x:v>YES</x:v>
      </x:c>
      <x:c r="N76" s="37" t="str">
        <x:v>Clinical review required before Published</x:v>
      </x:c>
    </x:row>
    <x:row r="77">
      <x:c r="A77" s="31" t="str">
        <x:v>dequalinium</x:v>
      </x:c>
      <x:c r="B77" s="31" t="str">
        <x:v>Dequalinium</x:v>
      </x:c>
      <x:c r="C77" s="37" t="str">
        <x:v>ดี-ควอ-ลิ-เนียม-คลอ-ไรด์</x:v>
      </x:c>
      <x:c r="D77" s="31" t="str">
        <x:v>รอตรวจสอบ</x:v>
      </x:c>
      <x:c r="E77" s="31" t="str">
        <x:v>[]</x:v>
      </x:c>
      <x:c r="F77" s="37" t="str">
        <x:v>ยานี้ใช ้ เพื่อรักษาอาการตกขาว ในช่องคลอดที่เกิด จากการติดเชื้อแบคทีเรีย</x:v>
      </x:c>
      <x:c r="G77" s="32" t="b">
        <x:v>0</x:v>
      </x:c>
      <x:c r="H77" s="37" t="str">
        <x:v>[{"type":"PIL","url":"https://drug.fda.moph.go.th/media.php?id=808522434977341440&amp;name=Dequalinium_vaginal tablet_PIL.pdf","published_date":"19/3/2025"}]</x:v>
      </x:c>
      <x:c r="I77" s="31" t="str">
        <x:v>Draft</x:v>
      </x:c>
      <x:c r="J77" s="31" t="str">
        <x:v>10 mg</x:v>
      </x:c>
      <x:c r="K77" s="37" t="str">
        <x:v>https://drug.fda.moph.go.th/media.php?id=808522434977341440&amp;name=Dequalinium_vaginal tablet_PIL.pdf</x:v>
      </x:c>
      <x:c r="L77" s="37"/>
      <x:c r="M77" s="31" t="str">
        <x:v>YES</x:v>
      </x:c>
      <x:c r="N77" s="37" t="str">
        <x:v>Clinical review required before Published</x:v>
      </x:c>
    </x:row>
    <x:row r="78">
      <x:c r="A78" s="31" t="str">
        <x:v>dexamethasone</x:v>
      </x:c>
      <x:c r="B78" s="31" t="str">
        <x:v>Dexamethasone</x:v>
      </x:c>
      <x:c r="C78" s="37" t="str">
        <x:v>ชนิดเม็ด</x:v>
      </x:c>
      <x:c r="D78" s="31" t="str">
        <x:v>รอตรวจสอบ</x:v>
      </x:c>
      <x:c r="E78" s="31" t="str">
        <x:v>[]</x:v>
      </x:c>
      <x:c r="F78" s="37" t="str">
        <x:v>เพื่อบรรเทาการแพ ้ หรือลดการอักเสบที่ รุนแรง และใช ้รักษาโรคบางชนิดที่เกิดจาก ภูมิคุ ้มกันผิดปกติซึ่งต ้องวินิจฉัยโดยแพทย์ 1.3 การใช้ยานี้อาจเกิดอ ันตรายรุนแรงได้ จึง ต้องส ั่งจ่ายโดยแพทย์เท่าน ั้น</x:v>
      </x:c>
      <x:c r="G78" s="32" t="b">
        <x:v>0</x:v>
      </x:c>
      <x:c r="H78" s="37" t="str">
        <x:v>[{"type":"PIL","url":"https://drug.fda.moph.go.th/media.php?id=730340041339052032&amp;name=pil_Dexamethasone (TABLET)0.25, 0.5, 4 mg.pdf","published_date":null},{"type":"SMPC","url":"https://drug.fda.moph.go.th/media.php?id=810062372298432512&amp;name=SMPC_Dexamethasone_Oral solution.pdf","published_date":"21/11/2024"},{"type":"SMPC","url":"https://drug.fda.moph.go.th/media.php?id=810066436012777472&amp;name=SMPC_Dexamethasone_syrup.pdf","published_date":"21/11/2024"}]</x:v>
      </x:c>
      <x:c r="I78" s="31" t="str">
        <x:v>Draft</x:v>
      </x:c>
      <x:c r="J78" s="31" t="str">
        <x:v>0.25, 0.5, 4 mg</x:v>
      </x:c>
      <x:c r="K78" s="37" t="str">
        <x:v>https://drug.fda.moph.go.th/media.php?id=730340041339052032&amp;name=pil_Dexamethasone (TABLET)0.25, 0.5, 4 mg.pdf</x:v>
      </x:c>
      <x:c r="L78" s="37" t="str">
        <x:v>https://drug.fda.moph.go.th/media.php?id=810062372298432512&amp;name=SMPC_Dexamethasone_Oral solution.pdf
https://drug.fda.moph.go.th/media.php?id=810066436012777472&amp;name=SMPC_Dexamethasone_syrup.pdf</x:v>
      </x:c>
      <x:c r="M78" s="31" t="str">
        <x:v>YES</x:v>
      </x:c>
      <x:c r="N78" s="37" t="str">
        <x:v>Clinical review required before Published</x:v>
      </x:c>
    </x:row>
    <x:row r="79">
      <x:c r="A79" s="31" t="str">
        <x:v>dextran</x:v>
      </x:c>
      <x:c r="B79" s="31" t="str">
        <x:v>Dextran</x:v>
      </x:c>
      <x:c r="C79" s="37" t="str">
        <x:v>รอตรวจสอบชื่อภาษาไทย</x:v>
      </x:c>
      <x:c r="D79" s="31" t="str">
        <x:v>รอตรวจสอบ</x:v>
      </x:c>
      <x:c r="E79" s="31" t="str">
        <x:v>[]</x:v>
      </x:c>
      <x:c r="F79" s="37" t="str">
        <x:v>ข้อมูลฉบับร่างจากเอกสารอ้างอิง อย. รอตรวจทานโดยผู้เชี่ยวชาญ</x:v>
      </x:c>
      <x:c r="G79" s="32" t="b">
        <x:v>0</x:v>
      </x:c>
      <x:c r="H79" s="37" t="str">
        <x:v>[{"type":"SMPC","url":"https://drug.fda.moph.go.th/media.php?id=810066913823694848&amp;name=SMPC_Dextran_solution for infusion.pdf","published_date":"21/11/2024"}]</x:v>
      </x:c>
      <x:c r="I79" s="31" t="str">
        <x:v>Draft</x:v>
      </x:c>
      <x:c r="J79" s="31"/>
      <x:c r="K79" s="37"/>
      <x:c r="L79" s="37" t="str">
        <x:v>https://drug.fda.moph.go.th/media.php?id=810066913823694848&amp;name=SMPC_Dextran_solution for infusion.pdf</x:v>
      </x:c>
      <x:c r="M79" s="31" t="str">
        <x:v>YES</x:v>
      </x:c>
      <x:c r="N79" s="37" t="str">
        <x:v>Clinical review required before Published</x:v>
      </x:c>
    </x:row>
    <x:row r="80">
      <x:c r="A80" s="31" t="str">
        <x:v>dextromethorphan_hydrobromide</x:v>
      </x:c>
      <x:c r="B80" s="31" t="str">
        <x:v>Dextromethorphan hydrobromide</x:v>
      </x:c>
      <x:c r="C80" s="37" t="str">
        <x:v>รอตรวจสอบชื่อภาษาไทย</x:v>
      </x:c>
      <x:c r="D80" s="31" t="str">
        <x:v>รอตรวจสอบ</x:v>
      </x:c>
      <x:c r="E80" s="31" t="str">
        <x:v>[]</x:v>
      </x:c>
      <x:c r="F80" s="37" t="str">
        <x:v>ข้อมูลฉบับร่างจากเอกสารอ้างอิง อย. รอตรวจทานโดยผู้เชี่ยวชาญ</x:v>
      </x:c>
      <x:c r="G80" s="32" t="b">
        <x:v>0</x:v>
      </x:c>
      <x:c r="H80" s="37" t="str">
        <x:v>[{"type":"SMPC","url":"https://drug.fda.moph.go.th/media.php?id=810067905235525632&amp;name=SMPC_Dextromethorphan_Lozenge.pdf","published_date":"21/11/2024"},{"type":"SMPC","url":"https://drug.fda.moph.go.th/media.php?id=810068299789508608&amp;name=SMPC_Dextromethorphan_Syrup.pdf","published_date":"21/11/2024"}]</x:v>
      </x:c>
      <x:c r="I80" s="31" t="str">
        <x:v>Draft</x:v>
      </x:c>
      <x:c r="J80" s="31"/>
      <x:c r="K80" s="37"/>
      <x:c r="L80" s="37" t="str">
        <x:v>https://drug.fda.moph.go.th/media.php?id=810067905235525632&amp;name=SMPC_Dextromethorphan_Lozenge.pdf
https://drug.fda.moph.go.th/media.php?id=810068299789508608&amp;name=SMPC_Dextromethorphan_Syrup.pdf</x:v>
      </x:c>
      <x:c r="M80" s="31" t="str">
        <x:v>YES</x:v>
      </x:c>
      <x:c r="N80" s="37" t="str">
        <x:v>Clinical review required before Published</x:v>
      </x:c>
    </x:row>
    <x:row r="81">
      <x:c r="A81" s="31" t="str">
        <x:v>diclofenac</x:v>
      </x:c>
      <x:c r="B81" s="31" t="str">
        <x:v>Diclofenac</x:v>
      </x:c>
      <x:c r="C81" s="37" t="str">
        <x:v>ได-โคล-ฟี-แน็ก</x:v>
      </x:c>
      <x:c r="D81" s="31" t="str">
        <x:v>รอตรวจสอบ</x:v>
      </x:c>
      <x:c r="E81" s="31" t="str">
        <x:v>[]</x:v>
      </x:c>
      <x:c r="F81" s="37" t="str">
        <x:v>ใช ้เพื่อบรรเทาอาการปวดเฉียบพลัน หรือลด การอักเสบ ที่เกิดขึ้นจากการเคล็ด ข ้ อแพลง เอ็น อักเสบ ฟกช ้า หรือ การบาดเจ็บที่เกิดจากแรงกระแทก</x:v>
      </x:c>
      <x:c r="G81" s="32" t="b">
        <x:v>0</x:v>
      </x:c>
      <x:c r="H81" s="37" t="str">
        <x:v>[{"type":"PIL","url":"https://drug.fda.moph.go.th/media.php?id=808522809746792448&amp;name=Diclofenac_Gel_PIL.pdf","published_date":"19/3/2025"},{"type":"SMPC","url":"https://drug.fda.moph.go.th/media.php?id=810068711242342400&amp;name=SMPC_Diclofenac_enteric-coated tables.pdf","published_date":"27/11/2024"},{"type":"SMPC","url":"https://drug.fda.moph.go.th/media.php?id=810069032811241472&amp;name=SMPC_Diclofenac_Prolonged-Release capsules.pdf","published_date":"27/11/2024"},{"type":"SMPC","url":"https://drug.fda.moph.go.th/media.php?id=810069388655992832&amp;name=SMPC_Diclofenac_Prolonged-Release tablets.pdf","published_date":"27/11/2024"}]</x:v>
      </x:c>
      <x:c r="I81" s="31" t="str">
        <x:v>Draft</x:v>
      </x:c>
      <x:c r="J81" s="31"/>
      <x:c r="K81" s="37" t="str">
        <x:v>https://drug.fda.moph.go.th/media.php?id=808522809746792448&amp;name=Diclofenac_Gel_PIL.pdf</x:v>
      </x:c>
      <x:c r="L81" s="37" t="str">
        <x:v>https://drug.fda.moph.go.th/media.php?id=810068711242342400&amp;name=SMPC_Diclofenac_enteric-coated tables.pdf
https://drug.fda.moph.go.th/media.php?id=810069032811241472&amp;name=SMPC_Diclofenac_Prolonged-Release capsules.pdf
https://drug.fda.moph.go.th/media.php?id=810069388655992832&amp;name=SMPC_Diclofenac_Prolonged-Release tablets.pdf</x:v>
      </x:c>
      <x:c r="M81" s="31" t="str">
        <x:v>YES</x:v>
      </x:c>
      <x:c r="N81" s="37" t="str">
        <x:v>Clinical review required before Published</x:v>
      </x:c>
    </x:row>
    <x:row r="82">
      <x:c r="A82" s="31" t="str">
        <x:v>dicloxacillin</x:v>
      </x:c>
      <x:c r="B82" s="31" t="str">
        <x:v>Dicloxacillin</x:v>
      </x:c>
      <x:c r="C82" s="37" t="str">
        <x:v>ได-คล็อก-ซา-ซิล-ลิน</x:v>
      </x:c>
      <x:c r="D82" s="31" t="str">
        <x:v>รอตรวจสอบ</x:v>
      </x:c>
      <x:c r="E82" s="31" t="str">
        <x:v>[]</x:v>
      </x:c>
      <x:c r="F82" s="37" t="str">
        <x:v>● ใช ้รักษาการติดเชื้อแบคทีเรียที่ไวต่อยานี้</x:v>
      </x:c>
      <x:c r="G82" s="32" t="b">
        <x:v>0</x:v>
      </x:c>
      <x:c r="H82" s="37" t="str">
        <x:v>[{"type":"PIL","url":"https://drug.fda.moph.go.th/media.php?id=808523777259479040&amp;name=Dicloxacillin_capsulehard_PIL.pdf","published_date":"19/3/2025"},{"type":"PIL","url":"https://drug.fda.moph.go.th/media.php?id=808538988444000256&amp;name=Dicloxacillin_drysyrup_PIL.pdf","published_date":"19/3/2025"}]</x:v>
      </x:c>
      <x:c r="I82" s="31" t="str">
        <x:v>Draft</x:v>
      </x:c>
      <x:c r="J82" s="31"/>
      <x:c r="K82" s="37" t="str">
        <x:v>https://drug.fda.moph.go.th/media.php?id=808523777259479040&amp;name=Dicloxacillin_capsulehard_PIL.pdf
https://drug.fda.moph.go.th/media.php?id=808538988444000256&amp;name=Dicloxacillin_drysyrup_PIL.pdf</x:v>
      </x:c>
      <x:c r="L82" s="37"/>
      <x:c r="M82" s="31" t="str">
        <x:v>YES</x:v>
      </x:c>
      <x:c r="N82" s="37" t="str">
        <x:v>Clinical review required before Published</x:v>
      </x:c>
    </x:row>
    <x:row r="83">
      <x:c r="A83" s="31" t="str">
        <x:v>dicycloverine</x:v>
      </x:c>
      <x:c r="B83" s="31" t="str">
        <x:v>Dicycloverine hydrochloride</x:v>
      </x:c>
      <x:c r="C83" s="37" t="str">
        <x:v>ไดไซโคลเวอรีน</x:v>
      </x:c>
      <x:c r="D83" s="31" t="str">
        <x:v>รอตรวจสอบ</x:v>
      </x:c>
      <x:c r="E83" s="31" t="str">
        <x:v>[]</x:v>
      </x:c>
      <x:c r="F83" s="37" t="str">
        <x:v>ใช ้บรรเทาอาการปวดเกร็งของกล ้ ามเนื้อเรียบ • ใช ้บรรเทาอาการปวดกระเพาะอาหารและล าไส ้ • ใช ้รักษาอาการผิดปกติของกระเพาะอาหารและล าไส ้ เช่น ภาวะล าไส ้แปรปรวน</x:v>
      </x:c>
      <x:c r="G83" s="32" t="b">
        <x:v>0</x:v>
      </x:c>
      <x:c r="H83" s="37" t="str">
        <x:v>[{"type":"PIL","url":"https://drug.fda.moph.go.th/media.php?id=730341737037438976&amp;name=pil_Dicycloverine hydrochloride (TABLET)10 mg, 20 mg.pdf","published_date":"4/8/2023"},{"type":"SMPC","url":"https://drug.fda.moph.go.th/media.php?id=810069763324780544&amp;name=SMPC_Dicycloverine_tablets.pdf","published_date":"21/11/2024"}]</x:v>
      </x:c>
      <x:c r="I83" s="31" t="str">
        <x:v>Draft</x:v>
      </x:c>
      <x:c r="J83" s="31" t="str">
        <x:v>10 mg, 20 mg</x:v>
      </x:c>
      <x:c r="K83" s="37" t="str">
        <x:v>https://drug.fda.moph.go.th/media.php?id=730341737037438976&amp;name=pil_Dicycloverine hydrochloride (TABLET)10 mg, 20 mg.pdf</x:v>
      </x:c>
      <x:c r="L83" s="37" t="str">
        <x:v>https://drug.fda.moph.go.th/media.php?id=810069763324780544&amp;name=SMPC_Dicycloverine_tablets.pdf</x:v>
      </x:c>
      <x:c r="M83" s="31" t="str">
        <x:v>YES</x:v>
      </x:c>
      <x:c r="N83" s="37" t="str">
        <x:v>Clinical review required before Published</x:v>
      </x:c>
    </x:row>
    <x:row r="84">
      <x:c r="A84" s="31" t="str">
        <x:v>digoxin</x:v>
      </x:c>
      <x:c r="B84" s="31" t="str">
        <x:v>Digoxin</x:v>
      </x:c>
      <x:c r="C84" s="37" t="str">
        <x:v>ดิจ็อกซิน</x:v>
      </x:c>
      <x:c r="D84" s="31" t="str">
        <x:v>รอตรวจสอบ</x:v>
      </x:c>
      <x:c r="E84" s="31" t="str">
        <x:v>[]</x:v>
      </x:c>
      <x:c r="F84" s="37" t="str">
        <x:v>ใช ้รักษาโรคหัวใจเต ้นผิดจังหวะ • ใช ้รักษาโรคหัวใจล ้ มเหลว</x:v>
      </x:c>
      <x:c r="G84" s="32" t="b">
        <x:v>0</x:v>
      </x:c>
      <x:c r="H84" s="37" t="str">
        <x:v>[{"type":"PIL","url":"https://drug.fda.moph.go.th/media.php?id=730342077547814912&amp;name=pil_Digoxin (TABLET 0.125 mg).pdf","published_date":"9/8/2023"},{"type":"SMPC","url":"https://drug.fda.moph.go.th/media.php?id=810070238065467392&amp;name=SMPC_Digoxin_Tablets.pdf","published_date":"20/11/2024"}]</x:v>
      </x:c>
      <x:c r="I84" s="31" t="str">
        <x:v>Draft</x:v>
      </x:c>
      <x:c r="J84" s="31" t="str">
        <x:v>0.125 mg</x:v>
      </x:c>
      <x:c r="K84" s="37" t="str">
        <x:v>https://drug.fda.moph.go.th/media.php?id=730342077547814912&amp;name=pil_Digoxin (TABLET 0.125 mg).pdf</x:v>
      </x:c>
      <x:c r="L84" s="37" t="str">
        <x:v>https://drug.fda.moph.go.th/media.php?id=810070238065467392&amp;name=SMPC_Digoxin_Tablets.pdf</x:v>
      </x:c>
      <x:c r="M84" s="31" t="str">
        <x:v>YES</x:v>
      </x:c>
      <x:c r="N84" s="37" t="str">
        <x:v>Clinical review required before Published</x:v>
      </x:c>
    </x:row>
    <x:row r="85">
      <x:c r="A85" s="31" t="str">
        <x:v>diltiazem</x:v>
      </x:c>
      <x:c r="B85" s="31" t="str">
        <x:v>Diltiazem hydrochloride</x:v>
      </x:c>
      <x:c r="C85" s="37" t="str">
        <x:v>ดิลไทอะเซม</x:v>
      </x:c>
      <x:c r="D85" s="31" t="str">
        <x:v>รอตรวจสอบ</x:v>
      </x:c>
      <x:c r="E85" s="31" t="str">
        <x:v>[]</x:v>
      </x:c>
      <x:c r="F85" s="37" t="str">
        <x:v>ใช ้รักษาและป้องกันอาการเจ็บเค ้นหน ้าอก</x:v>
      </x:c>
      <x:c r="G85" s="32" t="b">
        <x:v>0</x:v>
      </x:c>
      <x:c r="H85" s="37" t="str">
        <x:v>[{"type":"PIL","url":"https://drug.fda.moph.go.th/media.php?id=730342282607337472&amp;name=pil_Diltiazem hydrochloride (tablet 30 mg, 60 mg).pdf","published_date":"9/8/2023"}]</x:v>
      </x:c>
      <x:c r="I85" s="31" t="str">
        <x:v>Draft</x:v>
      </x:c>
      <x:c r="J85" s="31" t="str">
        <x:v>30 mg, 60 mg</x:v>
      </x:c>
      <x:c r="K85" s="37" t="str">
        <x:v>https://drug.fda.moph.go.th/media.php?id=730342282607337472&amp;name=pil_Diltiazem hydrochloride (tablet 30 mg, 60 mg).pdf</x:v>
      </x:c>
      <x:c r="L85" s="37"/>
      <x:c r="M85" s="31" t="str">
        <x:v>YES</x:v>
      </x:c>
      <x:c r="N85" s="37" t="str">
        <x:v>Clinical review required before Published</x:v>
      </x:c>
    </x:row>
    <x:row r="86">
      <x:c r="A86" s="31" t="str">
        <x:v>dimenhydrinate</x:v>
      </x:c>
      <x:c r="B86" s="31" t="str">
        <x:v>Dimenhydrinate</x:v>
      </x:c>
      <x:c r="C86" s="37" t="str">
        <x:v>ยาเม็ดแก้เมารถ เมาเรือ ไดเมนไฮดริเนท</x:v>
      </x:c>
      <x:c r="D86" s="31" t="str">
        <x:v>รอตรวจสอบ</x:v>
      </x:c>
      <x:c r="E86" s="31" t="str">
        <x:v>[]</x:v>
      </x:c>
      <x:c r="F86" s="37" t="str">
        <x:v>ใช ้เพื่อป้องกันอาการเมารถ เมาเรือ</x:v>
      </x:c>
      <x:c r="G86" s="32" t="b">
        <x:v>0</x:v>
      </x:c>
      <x:c r="H86" s="37" t="str">
        <x:v>[{"type":"SMPC","url":"https://drug.fda.moph.go.th/media.php?id=810072093092880384&amp;name=SMPC_Dimenhydrinate_Tablets.pdf","published_date":"27/11/2024"},{"type":"PIL","url":"https://drug.fda.moph.go.th/media.php?id=733952637929660416&amp;name=PIL Dimenhydrinate(15032024).pdf","published_date":"15/3/2024"}]</x:v>
      </x:c>
      <x:c r="I86" s="31" t="str">
        <x:v>Draft</x:v>
      </x:c>
      <x:c r="J86" s="31" t="str">
        <x:v>50 mg</x:v>
      </x:c>
      <x:c r="K86" s="37" t="str">
        <x:v>https://drug.fda.moph.go.th/media.php?id=733952637929660416&amp;name=PIL Dimenhydrinate(15032024).pdf</x:v>
      </x:c>
      <x:c r="L86" s="37" t="str">
        <x:v>https://drug.fda.moph.go.th/media.php?id=810072093092880384&amp;name=SMPC_Dimenhydrinate_Tablets.pdf</x:v>
      </x:c>
      <x:c r="M86" s="31" t="str">
        <x:v>YES</x:v>
      </x:c>
      <x:c r="N86" s="37" t="str">
        <x:v>Clinical review required before Published</x:v>
      </x:c>
    </x:row>
    <x:row r="87">
      <x:c r="A87" s="31" t="str">
        <x:v>diphenhydramine</x:v>
      </x:c>
      <x:c r="B87" s="31" t="str">
        <x:v>diphenhydramine</x:v>
      </x:c>
      <x:c r="C87" s="37" t="str">
        <x:v>ไดเฟนไฮดรามีน</x:v>
      </x:c>
      <x:c r="D87" s="31" t="str">
        <x:v>รอตรวจสอบ</x:v>
      </x:c>
      <x:c r="E87" s="31" t="str">
        <x:v>[]</x:v>
      </x:c>
      <x:c r="F87" s="37" t="str">
        <x:v>ใช ้เพื่อรักษาอาการต่าง ๆ จากการแพ ้ เช่น น ้ามูกไหล คัดจมูก คันตา อาการแพ ้ที่ผิวหนัง เช่น ลมพิษ • ใช ้ป้องกันและบรรเทาอาการเมารถ คลื่นไส ้ อาเจียน • ใช ้เพื่อช่วยให ้นอนหลับ</x:v>
      </x:c>
      <x:c r="G87" s="32" t="b">
        <x:v>0</x:v>
      </x:c>
      <x:c r="H87" s="37" t="str">
        <x:v>[{"type":"PIL","url":"https://drug.fda.moph.go.th/media.php?id=862918394234675200&amp;name=30. Diphenhydramine_tablet_PIL_Final.pdf","published_date":"13/2/2026"}]</x:v>
      </x:c>
      <x:c r="I87" s="31" t="str">
        <x:v>Draft</x:v>
      </x:c>
      <x:c r="J87" s="31"/>
      <x:c r="K87" s="37" t="str">
        <x:v>https://drug.fda.moph.go.th/media.php?id=862918394234675200&amp;name=30. Diphenhydramine_tablet_PIL_Final.pdf</x:v>
      </x:c>
      <x:c r="L87" s="37"/>
      <x:c r="M87" s="31" t="str">
        <x:v>YES</x:v>
      </x:c>
      <x:c r="N87" s="37" t="str">
        <x:v>Clinical review required before Published</x:v>
      </x:c>
    </x:row>
    <x:row r="88">
      <x:c r="A88" s="31" t="str">
        <x:v>dipotassium</x:v>
      </x:c>
      <x:c r="B88" s="31" t="str">
        <x:v>Dipotassium phosphate</x:v>
      </x:c>
      <x:c r="C88" s="37" t="str">
        <x:v>รอตรวจสอบชื่อภาษาไทย</x:v>
      </x:c>
      <x:c r="D88" s="31" t="str">
        <x:v>รอตรวจสอบ</x:v>
      </x:c>
      <x:c r="E88" s="31" t="str">
        <x:v>[]</x:v>
      </x:c>
      <x:c r="F88" s="37" t="str">
        <x:v>ข้อมูลฉบับร่างจากเอกสารอ้างอิง อย. รอตรวจทานโดยผู้เชี่ยวชาญ</x:v>
      </x:c>
      <x:c r="G88" s="32" t="b">
        <x:v>0</x:v>
      </x:c>
      <x:c r="H88" s="37" t="str">
        <x:v>[{"type":"SMPC","url":"https://drug.fda.moph.go.th/media.php?id=810072479354724352&amp;name=SMPC_Dipotassium phosphate_concentrate for solution for infusion.pdf","published_date":"22/11/2024"}]</x:v>
      </x:c>
      <x:c r="I88" s="31" t="str">
        <x:v>Draft</x:v>
      </x:c>
      <x:c r="J88" s="31"/>
      <x:c r="K88" s="37"/>
      <x:c r="L88" s="37" t="str">
        <x:v>https://drug.fda.moph.go.th/media.php?id=810072479354724352&amp;name=SMPC_Dipotassium phosphate_concentrate for solution for infusion.pdf</x:v>
      </x:c>
      <x:c r="M88" s="31" t="str">
        <x:v>YES</x:v>
      </x:c>
      <x:c r="N88" s="37" t="str">
        <x:v>Clinical review required before Published</x:v>
      </x:c>
    </x:row>
    <x:row r="89">
      <x:c r="A89" s="31" t="str">
        <x:v>disulfiram</x:v>
      </x:c>
      <x:c r="B89" s="31" t="str">
        <x:v>Disulfiram</x:v>
      </x:c>
      <x:c r="C89" s="37" t="str">
        <x:v>ไดซ ัลฟิ แรม</x:v>
      </x:c>
      <x:c r="D89" s="31" t="str">
        <x:v>รอตรวจสอบ</x:v>
      </x:c>
      <x:c r="E89" s="31" t="str">
        <x:v>[]</x:v>
      </x:c>
      <x:c r="F89" s="37" t="str">
        <x:v>ใช ้เพื่อรักษาอาการติดสุราเรื้อรัง</x:v>
      </x:c>
      <x:c r="G89" s="32" t="b">
        <x:v>0</x:v>
      </x:c>
      <x:c r="H89" s="37" t="str">
        <x:v>[{"type":"SMPC","url":"https://drug.fda.moph.go.th/media.php?id=810072772666597376&amp;name=SMPC_Disulfiram_Tablets.pdf","published_date":"26/11/2024"},{"type":"PIL","url":"https://drug.fda.moph.go.th/media.php?id=862918386374549504&amp;name=42.Disulfiram_Tablets_PIL.pdf","published_date":"13/2/2026"}]</x:v>
      </x:c>
      <x:c r="I89" s="31" t="str">
        <x:v>Draft</x:v>
      </x:c>
      <x:c r="J89" s="31"/>
      <x:c r="K89" s="37" t="str">
        <x:v>https://drug.fda.moph.go.th/media.php?id=862918386374549504&amp;name=42.Disulfiram_Tablets_PIL.pdf</x:v>
      </x:c>
      <x:c r="L89" s="37" t="str">
        <x:v>https://drug.fda.moph.go.th/media.php?id=810072772666597376&amp;name=SMPC_Disulfiram_Tablets.pdf</x:v>
      </x:c>
      <x:c r="M89" s="31" t="str">
        <x:v>YES</x:v>
      </x:c>
      <x:c r="N89" s="37" t="str">
        <x:v>Clinical review required before Published</x:v>
      </x:c>
    </x:row>
    <x:row r="90">
      <x:c r="A90" s="31" t="str">
        <x:v>dobutamine</x:v>
      </x:c>
      <x:c r="B90" s="31" t="str">
        <x:v>Dobutamine hydrochloride</x:v>
      </x:c>
      <x:c r="C90" s="37" t="str">
        <x:v>โดบูทามีนไฮโดรคลอดไรด์</x:v>
      </x:c>
      <x:c r="D90" s="31" t="str">
        <x:v>รอตรวจสอบ</x:v>
      </x:c>
      <x:c r="E90" s="31" t="str">
        <x:v>[]</x:v>
      </x:c>
      <x:c r="F90" s="37" t="str">
        <x:v>ข้อมูลฉบับร่างจากเอกสารอ้างอิง อย. รอตรวจทานโดยผู้เชี่ยวชาญ</x:v>
      </x:c>
      <x:c r="G90" s="32" t="b">
        <x:v>0</x:v>
      </x:c>
      <x:c r="H90" s="37" t="str">
        <x:v>[{"type":"PIL","url":"https://drug.fda.moph.go.th/media.php?id=904601732011663360&amp;name=2. Ref PIL_Dobutamine.pdf","published_date":"8/6/2026"},{"type":"SMPC","url":"https://drug.fda.moph.go.th/media.php?id=904966129582219264&amp;name=2. Ref SmPC_Dobutamine.pdf","published_date":"8/6/2026"}]</x:v>
      </x:c>
      <x:c r="I90" s="31" t="str">
        <x:v>Draft</x:v>
      </x:c>
      <x:c r="J90" s="31"/>
      <x:c r="K90" s="37" t="str">
        <x:v>https://drug.fda.moph.go.th/media.php?id=904601732011663360&amp;name=2. Ref PIL_Dobutamine.pdf</x:v>
      </x:c>
      <x:c r="L90" s="37" t="str">
        <x:v>https://drug.fda.moph.go.th/media.php?id=904966129582219264&amp;name=2. Ref SmPC_Dobutamine.pdf</x:v>
      </x:c>
      <x:c r="M90" s="31" t="str">
        <x:v>YES</x:v>
      </x:c>
      <x:c r="N90" s="37" t="str">
        <x:v>Clinical review required before Published</x:v>
      </x:c>
    </x:row>
    <x:row r="91">
      <x:c r="A91" s="31" t="str">
        <x:v>docusate</x:v>
      </x:c>
      <x:c r="B91" s="31" t="str">
        <x:v>Docusate sodium</x:v>
      </x:c>
      <x:c r="C91" s="37" t="str">
        <x:v>รอตรวจสอบชื่อภาษาไทย</x:v>
      </x:c>
      <x:c r="D91" s="31" t="str">
        <x:v>รอตรวจสอบ</x:v>
      </x:c>
      <x:c r="E91" s="31" t="str">
        <x:v>[]</x:v>
      </x:c>
      <x:c r="F91" s="37" t="str">
        <x:v>ข้อมูลฉบับร่างจากเอกสารอ้างอิง อย. รอตรวจทานโดยผู้เชี่ยวชาญ</x:v>
      </x:c>
      <x:c r="G91" s="32" t="b">
        <x:v>0</x:v>
      </x:c>
      <x:c r="H91" s="37" t="str">
        <x:v>[{"type":"SMPC","url":"https://drug.fda.moph.go.th/media.php?id=810073111226621952&amp;name=SMPC_Docusate sodium_Oral solution.pdf","published_date":"22/11/2024"}]</x:v>
      </x:c>
      <x:c r="I91" s="31" t="str">
        <x:v>Draft</x:v>
      </x:c>
      <x:c r="J91" s="31"/>
      <x:c r="K91" s="37"/>
      <x:c r="L91" s="37" t="str">
        <x:v>https://drug.fda.moph.go.th/media.php?id=810073111226621952&amp;name=SMPC_Docusate sodium_Oral solution.pdf</x:v>
      </x:c>
      <x:c r="M91" s="31" t="str">
        <x:v>YES</x:v>
      </x:c>
      <x:c r="N91" s="37" t="str">
        <x:v>Clinical review required before Published</x:v>
      </x:c>
    </x:row>
    <x:row r="92">
      <x:c r="A92" s="31" t="str">
        <x:v>domperidone</x:v>
      </x:c>
      <x:c r="B92" s="31" t="str">
        <x:v>Domperidone</x:v>
      </x:c>
      <x:c r="C92" s="37" t="str">
        <x:v>ดอม-เพอ-ริ-โดน</x:v>
      </x:c>
      <x:c r="D92" s="31" t="str">
        <x:v>รอตรวจสอบ</x:v>
      </x:c>
      <x:c r="E92" s="31" t="str">
        <x:v>[]</x:v>
      </x:c>
      <x:c r="F92" s="37" t="str">
        <x:v>● ใช ้เพื่อรักษาอาการคลื่นไส ้ อาเจียน</x:v>
      </x:c>
      <x:c r="G92" s="32" t="b">
        <x:v>0</x:v>
      </x:c>
      <x:c r="H92" s="37" t="str">
        <x:v>[{"type":"PIL","url":"https://drug.fda.moph.go.th/media.php?id=808539868891324416&amp;name=Domperidone_Suspension_PIL.pdf","published_date":"19/3/2025"},{"type":"SMPC","url":"https://drug.fda.moph.go.th/media.php?id=810073662739849216&amp;name=SMPC_Domperidone_oral suspension.pdf","published_date":"22/11/2024"},{"type":"SMPC","url":"https://drug.fda.moph.go.th/media.php?id=810074048620011520&amp;name=SMPC_Domperidone_Film-coated Tablets.pdf","published_date":"22/11/2024"},{"type":"SMPC","url":"https://drug.fda.moph.go.th/media.php?id=810074487256129536&amp;name=SMPC_Domperidone_Tablets.pdf","published_date":"22/11/2024"}]</x:v>
      </x:c>
      <x:c r="I92" s="31" t="str">
        <x:v>Draft</x:v>
      </x:c>
      <x:c r="J92" s="31" t="str">
        <x:v>1 mg/1 ml</x:v>
      </x:c>
      <x:c r="K92" s="37" t="str">
        <x:v>https://drug.fda.moph.go.th/media.php?id=808539868891324416&amp;name=Domperidone_Suspension_PIL.pdf</x:v>
      </x:c>
      <x:c r="L92" s="37" t="str">
        <x:v>https://drug.fda.moph.go.th/media.php?id=810073662739849216&amp;name=SMPC_Domperidone_oral suspension.pdf
https://drug.fda.moph.go.th/media.php?id=810074048620011520&amp;name=SMPC_Domperidone_Film-coated Tablets.pdf
https://drug.fda.moph.go.th/media.php?id=810074487256129536&amp;name=SMPC_Domperidone_Tablets.pdf</x:v>
      </x:c>
      <x:c r="M92" s="31" t="str">
        <x:v>YES</x:v>
      </x:c>
      <x:c r="N92" s="37" t="str">
        <x:v>Clinical review required before Published</x:v>
      </x:c>
    </x:row>
    <x:row r="93">
      <x:c r="A93" s="31" t="str">
        <x:v>doxorubicin</x:v>
      </x:c>
      <x:c r="B93" s="31" t="str">
        <x:v>doxorubicin</x:v>
      </x:c>
      <x:c r="C93" s="37" t="str">
        <x:v>ด็อกโซรูบิซิน</x:v>
      </x:c>
      <x:c r="D93" s="31" t="str">
        <x:v>รอตรวจสอบ</x:v>
      </x:c>
      <x:c r="E93" s="31" t="str">
        <x:v>[]</x:v>
      </x:c>
      <x:c r="F93" s="37" t="str">
        <x:v>ใช ้รักษาโรคมะเร็งต่าง ๆ เช่น มะเร็งปอด มะเร็งเต ้านม มะเร็งเม็ดเลือดขาว มะเร็งต่อมน ้าเหลือง โดยแพทย์ วินิจฉัยแล ้วว่าจ าเป็ นต ้องใช ้ยานี้</x:v>
      </x:c>
      <x:c r="G93" s="32" t="b">
        <x:v>0</x:v>
      </x:c>
      <x:c r="H93" s="37" t="str">
        <x:v>[{"type":"PIL","url":"https://drug.fda.moph.go.th/media.php?id=862918390954729472&amp;name=13.Doxorubicin  HCl_inj_PIL_final.pdf","published_date":"13/2/2026"}]</x:v>
      </x:c>
      <x:c r="I93" s="31" t="str">
        <x:v>Draft</x:v>
      </x:c>
      <x:c r="J93" s="31"/>
      <x:c r="K93" s="37" t="str">
        <x:v>https://drug.fda.moph.go.th/media.php?id=862918390954729472&amp;name=13.Doxorubicin  HCl_inj_PIL_final.pdf</x:v>
      </x:c>
      <x:c r="L93" s="37"/>
      <x:c r="M93" s="31" t="str">
        <x:v>YES</x:v>
      </x:c>
      <x:c r="N93" s="37" t="str">
        <x:v>Clinical review required before Published</x:v>
      </x:c>
    </x:row>
    <x:row r="94">
      <x:c r="A94" s="31" t="str">
        <x:v>doxycycline_hyclate</x:v>
      </x:c>
      <x:c r="B94" s="31" t="str">
        <x:v>Doxycycline hyclate</x:v>
      </x:c>
      <x:c r="C94" s="37" t="str">
        <x:v>ด็อก-ซี-ไซ-คลิน-ไฮ-เคลต</x:v>
      </x:c>
      <x:c r="D94" s="31" t="str">
        <x:v>รอตรวจสอบ</x:v>
      </x:c>
      <x:c r="E94" s="31" t="str">
        <x:v>[]</x:v>
      </x:c>
      <x:c r="F94" s="37" t="str">
        <x:v>ใช ้เพื่อรักษาการติดเชื้อแบคทีเรีย ที่ได ้ รับการวินิจฉัยว่า ต ้องใช ้ยานี้</x:v>
      </x:c>
      <x:c r="G94" s="32" t="b">
        <x:v>0</x:v>
      </x:c>
      <x:c r="H94" s="37" t="str">
        <x:v>[{"type":"PIL","url":"https://drug.fda.moph.go.th/media.php?id=725943662810374144&amp;name=pil_Doxycycline hyclate (CAPSULE, HARD - TABLET - ENTERIC COATED TABLET).pdf","published_date":"9/11/2023"},{"type":"SMPC","url":"https://drug.fda.moph.go.th/media.php?id=810074802814590976&amp;name=SMPC_Doxycycline_Tablet.pdf","published_date":"26/11/2024"}]</x:v>
      </x:c>
      <x:c r="I94" s="31" t="str">
        <x:v>Draft</x:v>
      </x:c>
      <x:c r="J94" s="31"/>
      <x:c r="K94" s="37" t="str">
        <x:v>https://drug.fda.moph.go.th/media.php?id=725943662810374144&amp;name=pil_Doxycycline hyclate (CAPSULE, HARD - TABLET - ENTERIC COATED TABLET).pdf</x:v>
      </x:c>
      <x:c r="L94" s="37" t="str">
        <x:v>https://drug.fda.moph.go.th/media.php?id=810074802814590976&amp;name=SMPC_Doxycycline_Tablet.pdf</x:v>
      </x:c>
      <x:c r="M94" s="31" t="str">
        <x:v>YES</x:v>
      </x:c>
      <x:c r="N94" s="37" t="str">
        <x:v>Clinical review required before Published</x:v>
      </x:c>
    </x:row>
    <x:row r="95">
      <x:c r="A95" s="31" t="str">
        <x:v>drug_0b25ab6d64</x:v>
      </x:c>
      <x:c r="B95" s="31" t="str">
        <x:v>ยาทาระเหยบรรเทาอาการคัดจมูก</x:v>
      </x:c>
      <x:c r="C95" s="37" t="str">
        <x:v>รอตรวจสอบชื่อภาษาไทย</x:v>
      </x:c>
      <x:c r="D95" s="31" t="str">
        <x:v>รอตรวจสอบ</x:v>
      </x:c>
      <x:c r="E95" s="31" t="str">
        <x:v>[]</x:v>
      </x:c>
      <x:c r="F95" s="37" t="str">
        <x:v>ยานี้ใช ้เพื่อบรรเทาอาการคัดจมูก และลดอาการจากหวัด</x:v>
      </x:c>
      <x:c r="G95" s="32" t="b">
        <x:v>0</x:v>
      </x:c>
      <x:c r="H95" s="37" t="str">
        <x:v>[{"type":"PIL","url":"https://drug.fda.moph.go.th/media.php?id=733929511644700672&amp;name=PIL ยาทาระเหยบรรเทาอาการคัดจมูกชนิดขี้ผึ้ง (15032024).pdf","published_date":"15/3/2024"}]</x:v>
      </x:c>
      <x:c r="I95" s="31" t="str">
        <x:v>Draft</x:v>
      </x:c>
      <x:c r="J95" s="31"/>
      <x:c r="K95" s="37" t="str">
        <x:v>https://drug.fda.moph.go.th/media.php?id=733929511644700672&amp;name=PIL ยาทาระเหยบรรเทาอาการคัดจมูกชนิดขี้ผึ้ง (15032024).pdf</x:v>
      </x:c>
      <x:c r="L95" s="37"/>
      <x:c r="M95" s="31" t="str">
        <x:v>NO</x:v>
      </x:c>
      <x:c r="N95" s="37" t="str">
        <x:v>Not included in SQL: missing reliable English generic code/name or reference</x:v>
      </x:c>
    </x:row>
    <x:row r="96">
      <x:c r="A96" s="31" t="str">
        <x:v>drug_0ec240fe15</x:v>
      </x:c>
      <x:c r="B96" s="31" t="str">
        <x:v>ยาขับลม</x:v>
      </x:c>
      <x:c r="C96" s="37" t="str">
        <x:v>ยาข ับลม ชนิดนํ้า</x:v>
      </x:c>
      <x:c r="D96" s="31" t="str">
        <x:v>รอตรวจสอบ</x:v>
      </x:c>
      <x:c r="E96" s="31" t="str">
        <x:v>[]</x:v>
      </x:c>
      <x:c r="F96" s="37" t="str">
        <x:v>ใช ้เพื่อบรรเทาอาการท ้ องขึ้น ท ้ องอืด ท ้ องเฟ้อ และขับลมในกระเพาะอาหาร</x:v>
      </x:c>
      <x:c r="G96" s="32" t="b">
        <x:v>0</x:v>
      </x:c>
      <x:c r="H96" s="37" t="str">
        <x:v>[{"type":"PIL","url":"https://drug.fda.moph.go.th/media.php?id=733930253092790272&amp;name=PIL ยาขับลม (15032024).pdf","published_date":"15/3/2024"}]</x:v>
      </x:c>
      <x:c r="I96" s="31" t="str">
        <x:v>Draft</x:v>
      </x:c>
      <x:c r="J96" s="31"/>
      <x:c r="K96" s="37" t="str">
        <x:v>https://drug.fda.moph.go.th/media.php?id=733930253092790272&amp;name=PIL ยาขับลม (15032024).pdf</x:v>
      </x:c>
      <x:c r="L96" s="37"/>
      <x:c r="M96" s="31" t="str">
        <x:v>NO</x:v>
      </x:c>
      <x:c r="N96" s="37" t="str">
        <x:v>Not included in SQL: missing reliable English generic code/name or reference</x:v>
      </x:c>
    </x:row>
    <x:row r="97">
      <x:c r="A97" s="31" t="str">
        <x:v>drug_22863faecb</x:v>
      </x:c>
      <x:c r="B97" s="31" t="str">
        <x:v>ยาดมแก้วิงเวียน แก้คัดจมูก</x:v>
      </x:c>
      <x:c r="C97" s="37" t="str">
        <x:v>รอตรวจสอบชื่อภาษาไทย</x:v>
      </x:c>
      <x:c r="D97" s="31" t="str">
        <x:v>รอตรวจสอบ</x:v>
      </x:c>
      <x:c r="E97" s="31" t="str">
        <x:v>[]</x:v>
      </x:c>
      <x:c r="F97" s="37" t="str">
        <x:v>ยานี้ใช ้เพื่อบรรเทาอาการคัดจมูก หายใจไม่ออก และ บรรเทาอาการวิงเวียนศีรษะ</x:v>
      </x:c>
      <x:c r="G97" s="32" t="b">
        <x:v>0</x:v>
      </x:c>
      <x:c r="H97" s="37" t="str">
        <x:v>[{"type":"PIL","url":"https://drug.fda.moph.go.th/media.php?id=733929961076957184&amp;name=PIL ยาดมแก้วิงเวียนแก้คัดจมูก (15032024).pdf","published_date":"15/3/2024"}]</x:v>
      </x:c>
      <x:c r="I97" s="31" t="str">
        <x:v>Draft</x:v>
      </x:c>
      <x:c r="J97" s="31"/>
      <x:c r="K97" s="37" t="str">
        <x:v>https://drug.fda.moph.go.th/media.php?id=733929961076957184&amp;name=PIL ยาดมแก้วิงเวียนแก้คัดจมูก (15032024).pdf</x:v>
      </x:c>
      <x:c r="L97" s="37"/>
      <x:c r="M97" s="31" t="str">
        <x:v>NO</x:v>
      </x:c>
      <x:c r="N97" s="37" t="str">
        <x:v>Not included in SQL: missing reliable English generic code/name or reference</x:v>
      </x:c>
    </x:row>
    <x:row r="98">
      <x:c r="A98" s="31" t="str">
        <x:v>drug_27c03b94af</x:v>
      </x:c>
      <x:c r="B98" s="31" t="str">
        <x:v>พลาสเตอร์บรรเทาปวด</x:v>
      </x:c>
      <x:c r="C98" s="37" t="str">
        <x:v>รอตรวจสอบชื่อภาษาไทย</x:v>
      </x:c>
      <x:c r="D98" s="31" t="str">
        <x:v>รอตรวจสอบ</x:v>
      </x:c>
      <x:c r="E98" s="31" t="str">
        <x:v>[]</x:v>
      </x:c>
      <x:c r="F98" s="37" t="str">
        <x:v>ยานี้ใช ้เพื่อบรรเทาอาการปวดกล ้ ามเนื้อ</x:v>
      </x:c>
      <x:c r="G98" s="32" t="b">
        <x:v>0</x:v>
      </x:c>
      <x:c r="H98" s="37" t="str">
        <x:v>[{"type":"PIL","url":"https://drug.fda.moph.go.th/media.php?id=733932929000022016&amp;name=PIL พลาสเตอร์บรรเทาปวด (15032024).pdf","published_date":"15/3/2024"}]</x:v>
      </x:c>
      <x:c r="I98" s="31" t="str">
        <x:v>Draft</x:v>
      </x:c>
      <x:c r="J98" s="31"/>
      <x:c r="K98" s="37" t="str">
        <x:v>https://drug.fda.moph.go.th/media.php?id=733932929000022016&amp;name=PIL พลาสเตอร์บรรเทาปวด (15032024).pdf</x:v>
      </x:c>
      <x:c r="L98" s="37"/>
      <x:c r="M98" s="31" t="str">
        <x:v>NO</x:v>
      </x:c>
      <x:c r="N98" s="37" t="str">
        <x:v>Not included in SQL: missing reliable English generic code/name or reference</x:v>
      </x:c>
    </x:row>
    <x:row r="99">
      <x:c r="A99" s="31" t="str">
        <x:v>drug_3ed2c8244f</x:v>
      </x:c>
      <x:c r="B99" s="31" t="str">
        <x:v>ยาแก้ไอขับเสมหะ สำหรับเด็ก</x:v>
      </x:c>
      <x:c r="C99" s="37" t="str">
        <x:v>หากท่านมีภาวะต่อไปนี้</x:v>
      </x:c>
      <x:c r="D99" s="31" t="str">
        <x:v>รอตรวจสอบ</x:v>
      </x:c>
      <x:c r="E99" s="31" t="str">
        <x:v>[]</x:v>
      </x:c>
      <x:c r="F99" s="37" t="str">
        <x:v>ใช ้บรรเทาอาการไอ ขับเสมหะ ในเด็กอายุ 1-12 ปี</x:v>
      </x:c>
      <x:c r="G99" s="32" t="b">
        <x:v>0</x:v>
      </x:c>
      <x:c r="H99" s="37" t="str">
        <x:v>[{"type":"PIL","url":"https://drug.fda.moph.go.th/media.php?id=733932148049977344&amp;name=PIL ยาแก้ไอขับเสมหะสำหรับเด็ก (15032024).pdf","published_date":"15/3/2024"}]</x:v>
      </x:c>
      <x:c r="I99" s="31" t="str">
        <x:v>Draft</x:v>
      </x:c>
      <x:c r="J99" s="31"/>
      <x:c r="K99" s="37" t="str">
        <x:v>https://drug.fda.moph.go.th/media.php?id=733932148049977344&amp;name=PIL ยาแก้ไอขับเสมหะสำหรับเด็ก (15032024).pdf</x:v>
      </x:c>
      <x:c r="L99" s="37"/>
      <x:c r="M99" s="31" t="str">
        <x:v>NO</x:v>
      </x:c>
      <x:c r="N99" s="37" t="str">
        <x:v>Not included in SQL: missing reliable English generic code/name or reference</x:v>
      </x:c>
    </x:row>
    <x:row r="100">
      <x:c r="A100" s="31" t="str">
        <x:v>drug_81f7f5bc2d</x:v>
      </x:c>
      <x:c r="B100" s="31" t="str">
        <x:v>ยากวาดคอ</x:v>
      </x:c>
      <x:c r="C100" s="37" t="str">
        <x:v>ยากวาดคอ ชนิดนํ้า</x:v>
      </x:c>
      <x:c r="D100" s="31" t="str">
        <x:v>รอตรวจสอบ</x:v>
      </x:c>
      <x:c r="E100" s="31" t="str">
        <x:v>[]</x:v>
      </x:c>
      <x:c r="F100" s="37" t="str">
        <x:v>ใช ้เพื่อบรรเทาอาการอักเสบ และเจ็บในลําคอ</x:v>
      </x:c>
      <x:c r="G100" s="32" t="b">
        <x:v>0</x:v>
      </x:c>
      <x:c r="H100" s="37" t="str">
        <x:v>[{"type":"PIL","url":"https://drug.fda.moph.go.th/media.php?id=733932669158694912&amp;name=PIL ยากวาดคอ (150320204).pdf","published_date":"15/3/2024"}]</x:v>
      </x:c>
      <x:c r="I100" s="31" t="str">
        <x:v>Draft</x:v>
      </x:c>
      <x:c r="J100" s="31"/>
      <x:c r="K100" s="37" t="str">
        <x:v>https://drug.fda.moph.go.th/media.php?id=733932669158694912&amp;name=PIL ยากวาดคอ (150320204).pdf</x:v>
      </x:c>
      <x:c r="L100" s="37"/>
      <x:c r="M100" s="31" t="str">
        <x:v>NO</x:v>
      </x:c>
      <x:c r="N100" s="37" t="str">
        <x:v>Not included in SQL: missing reliable English generic code/name or reference</x:v>
      </x:c>
    </x:row>
    <x:row r="101">
      <x:c r="A101" s="31" t="str">
        <x:v>drug_9d2a2ed6b2</x:v>
      </x:c>
      <x:c r="B101" s="31" t="str">
        <x:v>ยาแก้ไอน้ำดำ</x:v>
      </x:c>
      <x:c r="C101" s="37" t="str">
        <x:v>หากท่านมีภาวะต่อไปนี้</x:v>
      </x:c>
      <x:c r="D101" s="31" t="str">
        <x:v>รอตรวจสอบ</x:v>
      </x:c>
      <x:c r="E101" s="31" t="str">
        <x:v>[]</x:v>
      </x:c>
      <x:c r="F101" s="37" t="str">
        <x:v>ใช ้บรรเทาอาการไอ ขับเสมหะ</x:v>
      </x:c>
      <x:c r="G101" s="32" t="b">
        <x:v>0</x:v>
      </x:c>
      <x:c r="H101" s="37" t="str">
        <x:v>[{"type":"PIL","url":"https://drug.fda.moph.go.th/media.php?id=733931981942956032&amp;name=PIL ยาแก้ไอน้ำดำ (15032024).pdf","published_date":"15/3/2024"}]</x:v>
      </x:c>
      <x:c r="I101" s="31" t="str">
        <x:v>Draft</x:v>
      </x:c>
      <x:c r="J101" s="31"/>
      <x:c r="K101" s="37" t="str">
        <x:v>https://drug.fda.moph.go.th/media.php?id=733931981942956032&amp;name=PIL ยาแก้ไอน้ำดำ (15032024).pdf</x:v>
      </x:c>
      <x:c r="L101" s="37"/>
      <x:c r="M101" s="31" t="str">
        <x:v>NO</x:v>
      </x:c>
      <x:c r="N101" s="37" t="str">
        <x:v>Not included in SQL: missing reliable English generic code/name or reference</x:v>
      </x:c>
    </x:row>
    <x:row r="102">
      <x:c r="A102" s="31" t="str">
        <x:v>drug_a56a456d37</x:v>
      </x:c>
      <x:c r="B102" s="31" t="str">
        <x:v>น้ำมันตับปลา</x:v>
      </x:c>
      <x:c r="C102" s="37" t="str">
        <x:v>หากท่านมีภาวะต่อไปนี้</x:v>
      </x:c>
      <x:c r="D102" s="31" t="str">
        <x:v>รอตรวจสอบ</x:v>
      </x:c>
      <x:c r="E102" s="31" t="str">
        <x:v>[]</x:v>
      </x:c>
      <x:c r="F102" s="37" t="str">
        <x:v>ใช ้ป้องกันการขาดวิตามินเอ และ วิตามินดี ในผู้ใหญ่</x:v>
      </x:c>
      <x:c r="G102" s="32" t="b">
        <x:v>0</x:v>
      </x:c>
      <x:c r="H102" s="37" t="str">
        <x:v>[{"type":"PIL","url":"https://drug.fda.moph.go.th/media.php?id=733933046130155520&amp;name=PIL น้ำมันตับปลาชนิดแคปซูล (15032024).pdf","published_date":"15/3/2024"},{"type":"PIL","url":"https://drug.fda.moph.go.th/media.php?id=733933217782046720&amp;name=PIL_น้ำมันตับปลาชนิดน้ำ (15032024).pdf","published_date":"15/3/2024"}]</x:v>
      </x:c>
      <x:c r="I102" s="31" t="str">
        <x:v>Draft</x:v>
      </x:c>
      <x:c r="J102" s="31"/>
      <x:c r="K102" s="37" t="str">
        <x:v>https://drug.fda.moph.go.th/media.php?id=733933046130155520&amp;name=PIL น้ำมันตับปลาชนิดแคปซูล (15032024).pdf
https://drug.fda.moph.go.th/media.php?id=733933217782046720&amp;name=PIL_น้ำมันตับปลาชนิดน้ำ (15032024).pdf</x:v>
      </x:c>
      <x:c r="L102" s="37"/>
      <x:c r="M102" s="31" t="str">
        <x:v>NO</x:v>
      </x:c>
      <x:c r="N102" s="37" t="str">
        <x:v>Not included in SQL: missing reliable English generic code/name or reference</x:v>
      </x:c>
    </x:row>
    <x:row r="103">
      <x:c r="A103" s="31" t="str">
        <x:v>drug_a6f4c03545</x:v>
      </x:c>
      <x:c r="B103" s="31" t="str">
        <x:v>ยาใส่แผลทิงเจอร์ไอโอดีน</x:v>
      </x:c>
      <x:c r="C103" s="37" t="str">
        <x:v>ยาใส่แผล ทิงเจอร์ไอโอดีน ชนิดนํ้า</x:v>
      </x:c>
      <x:c r="D103" s="31" t="str">
        <x:v>รอตรวจสอบ</x:v>
      </x:c>
      <x:c r="E103" s="31" t="str">
        <x:v>[]</x:v>
      </x:c>
      <x:c r="F103" s="37" t="str">
        <x:v>ใช ้รักษาแผลสด</x:v>
      </x:c>
      <x:c r="G103" s="32" t="b">
        <x:v>0</x:v>
      </x:c>
      <x:c r="H103" s="37" t="str">
        <x:v>[{"type":"PIL","url":"https://drug.fda.moph.go.th/media.php?id=733929159822286848&amp;name=PIL ยาใส่แผลทิงเจอร์ไอโอดีน (17102024).pdf","published_date":"17/10/2024"}]</x:v>
      </x:c>
      <x:c r="I103" s="31" t="str">
        <x:v>Draft</x:v>
      </x:c>
      <x:c r="J103" s="31"/>
      <x:c r="K103" s="37" t="str">
        <x:v>https://drug.fda.moph.go.th/media.php?id=733929159822286848&amp;name=PIL ยาใส่แผลทิงเจอร์ไอโอดีน (17102024).pdf</x:v>
      </x:c>
      <x:c r="L103" s="37"/>
      <x:c r="M103" s="31" t="str">
        <x:v>NO</x:v>
      </x:c>
      <x:c r="N103" s="37" t="str">
        <x:v>Not included in SQL: missing reliable English generic code/name or reference</x:v>
      </x:c>
    </x:row>
    <x:row r="104">
      <x:c r="A104" s="31" t="str">
        <x:v>drug_a96b7e501e</x:v>
      </x:c>
      <x:c r="B104" s="31" t="str">
        <x:v>ยาหม่องชนิดขี้ผึ้ง</x:v>
      </x:c>
      <x:c r="C104" s="37" t="str">
        <x:v>รอตรวจสอบชื่อภาษาไทย</x:v>
      </x:c>
      <x:c r="D104" s="31" t="str">
        <x:v>รอตรวจสอบ</x:v>
      </x:c>
      <x:c r="E104" s="31" t="str">
        <x:v>[]</x:v>
      </x:c>
      <x:c r="F104" s="37" t="str">
        <x:v>ยานี้ใช ้เพื่อบรรเทาอาการปวด บวม อักเสบ จากแมลงกัด ต่อย หรือปวดเมื่อยกล ้ ามเนื้อ</x:v>
      </x:c>
      <x:c r="G104" s="32" t="b">
        <x:v>0</x:v>
      </x:c>
      <x:c r="H104" s="37" t="str">
        <x:v>[{"type":"PIL","url":"https://drug.fda.moph.go.th/media.php?id=733925199526895616&amp;name=PIL ยาหม่องชนิดขี้ผึ้ง (15032024).pdf","published_date":"15/3/2024"}]</x:v>
      </x:c>
      <x:c r="I104" s="31" t="str">
        <x:v>Draft</x:v>
      </x:c>
      <x:c r="J104" s="31"/>
      <x:c r="K104" s="37" t="str">
        <x:v>https://drug.fda.moph.go.th/media.php?id=733925199526895616&amp;name=PIL ยาหม่องชนิดขี้ผึ้ง (15032024).pdf</x:v>
      </x:c>
      <x:c r="L104" s="37"/>
      <x:c r="M104" s="31" t="str">
        <x:v>NO</x:v>
      </x:c>
      <x:c r="N104" s="37" t="str">
        <x:v>Not included in SQL: missing reliable English generic code/name or reference</x:v>
      </x:c>
    </x:row>
    <x:row r="105">
      <x:c r="A105" s="31" t="str">
        <x:v>drug_b4b2b3db2d</x:v>
      </x:c>
      <x:c r="B105" s="31" t="str">
        <x:v>ยาดมแก้วิงเวียน เหล้าแอมโมเนียหอม</x:v>
      </x:c>
      <x:c r="C105" s="37" t="str">
        <x:v>หรือถูกพืชมีพิษ</x:v>
      </x:c>
      <x:c r="D105" s="31" t="str">
        <x:v>รอตรวจสอบ</x:v>
      </x:c>
      <x:c r="E105" s="31" t="str">
        <x:v>[]</x:v>
      </x:c>
      <x:c r="F105" s="37" t="str">
        <x:v>ใช ้ดมเพื่อบรรเทาอาการวิงเวียน หน ้ ามืด • ใช ้ทาผิวหนัง เพื่อบรรเทาอาการจากพิษแมลงกัด ต่อย หรือถูกพืชมีพิษ</x:v>
      </x:c>
      <x:c r="G105" s="32" t="b">
        <x:v>0</x:v>
      </x:c>
      <x:c r="H105" s="37" t="str">
        <x:v>[{"type":"PIL","url":"https://drug.fda.moph.go.th/media.php?id=733929846647955456&amp;name=PIL ยาดมแก้วิงเวียนเหล้าแอมโมเนียหอม (15032024).pdf","published_date":"15/3/2024"}]</x:v>
      </x:c>
      <x:c r="I105" s="31" t="str">
        <x:v>Draft</x:v>
      </x:c>
      <x:c r="J105" s="31"/>
      <x:c r="K105" s="37" t="str">
        <x:v>https://drug.fda.moph.go.th/media.php?id=733929846647955456&amp;name=PIL ยาดมแก้วิงเวียนเหล้าแอมโมเนียหอม (15032024).pdf</x:v>
      </x:c>
      <x:c r="L105" s="37"/>
      <x:c r="M105" s="31" t="str">
        <x:v>NO</x:v>
      </x:c>
      <x:c r="N105" s="37" t="str">
        <x:v>Not included in SQL: missing reliable English generic code/name or reference</x:v>
      </x:c>
    </x:row>
    <x:row r="106">
      <x:c r="A106" s="31" t="str">
        <x:v>drug_cdacb08fe5</x:v>
      </x:c>
      <x:c r="B106" s="31" t="str">
        <x:v>ทิงเจอร์มหาหิงคุ์</x:v>
      </x:c>
      <x:c r="C106" s="37" t="str">
        <x:v>ยาทาแก ้ท้องอืด ท้องเฟ ้ อ ท ิงเจอร ์มหาห ิงคุ ์ ชนิดนํ้า</x:v>
      </x:c>
      <x:c r="D106" s="31" t="str">
        <x:v>รอตรวจสอบ</x:v>
      </x:c>
      <x:c r="E106" s="31" t="str">
        <x:v>[]</x:v>
      </x:c>
      <x:c r="F106" s="37" t="str">
        <x:v>ใช ้เพื่อบรรเทาอาการท ้อ งอืด ท ้ องเฟ้อ ปวดท ้ องในเด็ก</x:v>
      </x:c>
      <x:c r="G106" s="32" t="b">
        <x:v>0</x:v>
      </x:c>
      <x:c r="H106" s="37" t="str">
        <x:v>[{"type":"PIL","url":"https://drug.fda.moph.go.th/media.php?id=733928051582312448&amp;name=PIL asafetida tincture_ทิงเจอร์มหาหิงคุ์ (15032024).pdf","published_date":"15/3/2024"}]</x:v>
      </x:c>
      <x:c r="I106" s="31" t="str">
        <x:v>Draft</x:v>
      </x:c>
      <x:c r="J106" s="31"/>
      <x:c r="K106" s="37" t="str">
        <x:v>https://drug.fda.moph.go.th/media.php?id=733928051582312448&amp;name=PIL asafetida tincture_ทิงเจอร์มหาหิงคุ์ (15032024).pdf</x:v>
      </x:c>
      <x:c r="L106" s="37"/>
      <x:c r="M106" s="31" t="str">
        <x:v>NO</x:v>
      </x:c>
      <x:c r="N106" s="37" t="str">
        <x:v>Not included in SQL: missing reliable English generic code/name or reference</x:v>
      </x:c>
    </x:row>
    <x:row r="107">
      <x:c r="A107" s="31" t="str">
        <x:v>drug_cdf20ba583</x:v>
      </x:c>
      <x:c r="B107" s="31" t="str">
        <x:v>ยาอมบรรเทาอาการระคายคอ ชนิดเม็ด</x:v>
      </x:c>
      <x:c r="C107" s="37" t="str">
        <x:v>ยาอม บรรเทาอาการระคายคอ ชนิดเม็ด</x:v>
      </x:c>
      <x:c r="D107" s="31" t="str">
        <x:v>รอตรวจสอบ</x:v>
      </x:c>
      <x:c r="E107" s="31" t="str">
        <x:v>[]</x:v>
      </x:c>
      <x:c r="F107" s="37" t="str">
        <x:v>ใช ้เพื่อบรรเทาอาการระคายคอ ทําให ้ ชุ่มคอ</x:v>
      </x:c>
      <x:c r="G107" s="32" t="b">
        <x:v>0</x:v>
      </x:c>
      <x:c r="H107" s="37" t="str">
        <x:v>[{"type":"PIL","url":"https://drug.fda.moph.go.th/media.php?id=733928650512146432&amp;name=PIL ยาอมบรรเทาอาการระคายคอ (15032024).pdf","published_date":"15/3/2024"}]</x:v>
      </x:c>
      <x:c r="I107" s="31" t="str">
        <x:v>Draft</x:v>
      </x:c>
      <x:c r="J107" s="31"/>
      <x:c r="K107" s="37" t="str">
        <x:v>https://drug.fda.moph.go.th/media.php?id=733928650512146432&amp;name=PIL ยาอมบรรเทาอาการระคายคอ (15032024).pdf</x:v>
      </x:c>
      <x:c r="L107" s="37"/>
      <x:c r="M107" s="31" t="str">
        <x:v>NO</x:v>
      </x:c>
      <x:c r="N107" s="37" t="str">
        <x:v>Not included in SQL: missing reliable English generic code/name or reference</x:v>
      </x:c>
    </x:row>
    <x:row r="108">
      <x:c r="A108" s="31" t="str">
        <x:v>drug_d49a89ee4c</x:v>
      </x:c>
      <x:c r="B108" s="31" t="str">
        <x:v>ยาระบาย มะขามแขก</x:v>
      </x:c>
      <x:c r="C108" s="37" t="str">
        <x:v>แล ะ ผ ู ้ใ หญ ่</x:v>
      </x:c>
      <x:c r="D108" s="31" t="str">
        <x:v>รอตรวจสอบ</x:v>
      </x:c>
      <x:c r="E108" s="31" t="str">
        <x:v>[]</x:v>
      </x:c>
      <x:c r="F108" s="37" t="str">
        <x:v>ใช ้บรรเทาอาการท ้ องผูก ในเด็กอายุมากกว่า 6 ปี แล ะ ผ ู ้ใ หญ ่</x:v>
      </x:c>
      <x:c r="G108" s="32" t="b">
        <x:v>0</x:v>
      </x:c>
      <x:c r="H108" s="37" t="str">
        <x:v>[{"type":"PIL","url":"https://drug.fda.moph.go.th/media.php?id=733929359777341440&amp;name=PIL ยาระบายมะขามแขก (15032024).pdf","published_date":"15/3/2024"}]</x:v>
      </x:c>
      <x:c r="I108" s="31" t="str">
        <x:v>Draft</x:v>
      </x:c>
      <x:c r="J108" s="31"/>
      <x:c r="K108" s="37" t="str">
        <x:v>https://drug.fda.moph.go.th/media.php?id=733929359777341440&amp;name=PIL ยาระบายมะขามแขก (15032024).pdf</x:v>
      </x:c>
      <x:c r="L108" s="37"/>
      <x:c r="M108" s="31" t="str">
        <x:v>NO</x:v>
      </x:c>
      <x:c r="N108" s="37" t="str">
        <x:v>Not included in SQL: missing reliable English generic code/name or reference</x:v>
      </x:c>
    </x:row>
    <x:row r="109">
      <x:c r="A109" s="31" t="str">
        <x:v>drug_e5698924be</x:v>
      </x:c>
      <x:c r="B109" s="31" t="str">
        <x:v>ยาแก้ท้องอืด ท้องเฟ้อ ยาธาตุน้ำแดง</x:v>
      </x:c>
      <x:c r="C109" s="37" t="str">
        <x:v>ยาแก ้ท้องอืด ท้องเฟ ้ อ ยาธาตุนํ้าแดง ชนิดนํ้า</x:v>
      </x:c>
      <x:c r="D109" s="31" t="str">
        <x:v>รอตรวจสอบ</x:v>
      </x:c>
      <x:c r="E109" s="31" t="str">
        <x:v>[]</x:v>
      </x:c>
      <x:c r="F109" s="37" t="str">
        <x:v>ใช ้เพื่อบรรเทาอาการปวดท ้อ งเนื่องจากจุกเสียด ท ้อ งขึ้น ท ้ องเฟ้อ</x:v>
      </x:c>
      <x:c r="G109" s="32" t="b">
        <x:v>0</x:v>
      </x:c>
      <x:c r="H109" s="37" t="str">
        <x:v>[{"type":"PIL","url":"https://drug.fda.moph.go.th/media.php?id=733932285426016256&amp;name=PIL_ยาธาตุน้ำแดง_update (15032024).pdf","published_date":"15/3/2024"}]</x:v>
      </x:c>
      <x:c r="I109" s="31" t="str">
        <x:v>Draft</x:v>
      </x:c>
      <x:c r="J109" s="31"/>
      <x:c r="K109" s="37" t="str">
        <x:v>https://drug.fda.moph.go.th/media.php?id=733932285426016256&amp;name=PIL_ยาธาตุน้ำแดง_update (15032024).pdf</x:v>
      </x:c>
      <x:c r="L109" s="37"/>
      <x:c r="M109" s="31" t="str">
        <x:v>NO</x:v>
      </x:c>
      <x:c r="N109" s="37" t="str">
        <x:v>Not included in SQL: missing reliable English generic code/name or reference</x:v>
      </x:c>
    </x:row>
    <x:row r="110">
      <x:c r="A110" s="31" t="str">
        <x:v>econazole</x:v>
      </x:c>
      <x:c r="B110" s="31" t="str">
        <x:v>Econazole</x:v>
      </x:c>
      <x:c r="C110" s="37" t="str">
        <x:v>รอตรวจสอบชื่อภาษาไทย</x:v>
      </x:c>
      <x:c r="D110" s="31" t="str">
        <x:v>รอตรวจสอบ</x:v>
      </x:c>
      <x:c r="E110" s="31" t="str">
        <x:v>[]</x:v>
      </x:c>
      <x:c r="F110" s="37" t="str">
        <x:v>ข้อมูลฉบับร่างจากเอกสารอ้างอิง อย. รอตรวจทานโดยผู้เชี่ยวชาญ</x:v>
      </x:c>
      <x:c r="G110" s="32" t="b">
        <x:v>0</x:v>
      </x:c>
      <x:c r="H110" s="37" t="str">
        <x:v>[{"type":"SMPC","url":"https://drug.fda.moph.go.th/media.php?id=810075199797075968&amp;name=SMPC_Econazole_Cream.pdf","published_date":"22/11/2024"},{"type":"SMPC","url":"https://drug.fda.moph.go.th/media.php?id=810075506014822400&amp;name=SMPC_Econazole_Vaginal cream.pdf","published_date":"22/11/2024"}]</x:v>
      </x:c>
      <x:c r="I110" s="31" t="str">
        <x:v>Draft</x:v>
      </x:c>
      <x:c r="J110" s="31"/>
      <x:c r="K110" s="37"/>
      <x:c r="L110" s="37" t="str">
        <x:v>https://drug.fda.moph.go.th/media.php?id=810075199797075968&amp;name=SMPC_Econazole_Cream.pdf
https://drug.fda.moph.go.th/media.php?id=810075506014822400&amp;name=SMPC_Econazole_Vaginal cream.pdf</x:v>
      </x:c>
      <x:c r="M110" s="31" t="str">
        <x:v>YES</x:v>
      </x:c>
      <x:c r="N110" s="37" t="str">
        <x:v>Clinical review required before Published</x:v>
      </x:c>
    </x:row>
    <x:row r="111">
      <x:c r="A111" s="31" t="str">
        <x:v>enalapril</x:v>
      </x:c>
      <x:c r="B111" s="31" t="str">
        <x:v>Enalapril maleate</x:v>
      </x:c>
      <x:c r="C111" s="37" t="str">
        <x:v>รอตรวจสอบชื่อภาษาไทย</x:v>
      </x:c>
      <x:c r="D111" s="31" t="str">
        <x:v>รอตรวจสอบ</x:v>
      </x:c>
      <x:c r="E111" s="31" t="str">
        <x:v>[]</x:v>
      </x:c>
      <x:c r="F111" s="37" t="str">
        <x:v>ข้อมูลฉบับร่างจากเอกสารอ้างอิง อย. รอตรวจทานโดยผู้เชี่ยวชาญ</x:v>
      </x:c>
      <x:c r="G111" s="32" t="b">
        <x:v>0</x:v>
      </x:c>
      <x:c r="H111" s="37" t="str">
        <x:v>[{"type":"SMPC","url":"https://drug.fda.moph.go.th/media.php?id=810075899746721792&amp;name=SMPC_Enalapril_Tablets.pdf","published_date":"22/11/2024"}]</x:v>
      </x:c>
      <x:c r="I111" s="31" t="str">
        <x:v>Draft</x:v>
      </x:c>
      <x:c r="J111" s="31"/>
      <x:c r="K111" s="37"/>
      <x:c r="L111" s="37" t="str">
        <x:v>https://drug.fda.moph.go.th/media.php?id=810075899746721792&amp;name=SMPC_Enalapril_Tablets.pdf</x:v>
      </x:c>
      <x:c r="M111" s="31" t="str">
        <x:v>YES</x:v>
      </x:c>
      <x:c r="N111" s="37" t="str">
        <x:v>Clinical review required before Published</x:v>
      </x:c>
    </x:row>
    <x:row r="112">
      <x:c r="A112" s="31" t="str">
        <x:v>ergocalciferol</x:v>
      </x:c>
      <x:c r="B112" s="31" t="str">
        <x:v>Ergocalciferol</x:v>
      </x:c>
      <x:c r="C112" s="37" t="str">
        <x:v>เออร์-โก-แคล-ซิ-เฟอ-รอล</x:v>
      </x:c>
      <x:c r="D112" s="31" t="str">
        <x:v>รอตรวจสอบ</x:v>
      </x:c>
      <x:c r="E112" s="31" t="str">
        <x:v>[]</x:v>
      </x:c>
      <x:c r="F112" s="37" t="str">
        <x:v>ใช ้เพื่อรักษาภาวะร่างกายขาดวิตามินดี • ใช ้ร่วมกับแคลเซียม เพื่อรักษาภาวะฮอร์โมนพารา ไทรอยด์ต ่า</x:v>
      </x:c>
      <x:c r="G112" s="32" t="b">
        <x:v>0</x:v>
      </x:c>
      <x:c r="H112" s="37" t="str">
        <x:v>[{"type":"PIL","url":"https://drug.fda.moph.go.th/media.php?id=725943692476686336&amp;name=pil_Ergocalciferol (CAPSULE, HARD).pdf","published_date":"9/11/2023"}]</x:v>
      </x:c>
      <x:c r="I112" s="31" t="str">
        <x:v>Draft</x:v>
      </x:c>
      <x:c r="J112" s="31"/>
      <x:c r="K112" s="37" t="str">
        <x:v>https://drug.fda.moph.go.th/media.php?id=725943692476686336&amp;name=pil_Ergocalciferol (CAPSULE, HARD).pdf</x:v>
      </x:c>
      <x:c r="L112" s="37"/>
      <x:c r="M112" s="31" t="str">
        <x:v>YES</x:v>
      </x:c>
      <x:c r="N112" s="37" t="str">
        <x:v>Clinical review required before Published</x:v>
      </x:c>
    </x:row>
    <x:row r="113">
      <x:c r="A113" s="31" t="str">
        <x:v>erythromycin</x:v>
      </x:c>
      <x:c r="B113" s="31" t="str">
        <x:v>Erythromycin</x:v>
      </x:c>
      <x:c r="C113" s="37" t="str">
        <x:v>ให้ปรึกษาแพทย์หรือเภส ัชกรในกรณีต่อไปนี้</x:v>
      </x:c>
      <x:c r="D113" s="31" t="str">
        <x:v>รอตรวจสอบ</x:v>
      </x:c>
      <x:c r="E113" s="31" t="str">
        <x:v>[]</x:v>
      </x:c>
      <x:c r="F113" s="37" t="str">
        <x:v>● ใช ้รักษาการติดเชื้อแบคทีเรียที่ไวต่อยานี้</x:v>
      </x:c>
      <x:c r="G113" s="32" t="b">
        <x:v>0</x:v>
      </x:c>
      <x:c r="H113" s="37" t="str">
        <x:v>[{"type":"PIL","url":"https://drug.fda.moph.go.th/media.php?id=808540497957232640&amp;name=Erythromycin_capsulehard_PIL.pdf","published_date":"19/3/2025"},{"type":"PIL","url":"https://drug.fda.moph.go.th/media.php?id=808540764433948672&amp;name=Erythromycin_drysyrupSuspension_PIL.pdf","published_date":"19/3/2025"},{"type":"SMPC","url":"https://drug.fda.moph.go.th/media.php?id=810076416409477120&amp;name=SMPC_Erythromycin_Gastro-resistant tablets.pdf","published_date":"22/11/2024"},{"type":"SMPC","url":"https://drug.fda.moph.go.th/media.php?id=810076760694726656&amp;name=SMPC_Erythromycin_film-coated tablets.pdf","published_date":"22/11/2024"}]</x:v>
      </x:c>
      <x:c r="I113" s="31" t="str">
        <x:v>Draft</x:v>
      </x:c>
      <x:c r="J113" s="31"/>
      <x:c r="K113" s="37" t="str">
        <x:v>https://drug.fda.moph.go.th/media.php?id=808540497957232640&amp;name=Erythromycin_capsulehard_PIL.pdf
https://drug.fda.moph.go.th/media.php?id=808540764433948672&amp;name=Erythromycin_drysyrupSuspension_PIL.pdf</x:v>
      </x:c>
      <x:c r="L113" s="37" t="str">
        <x:v>https://drug.fda.moph.go.th/media.php?id=810076416409477120&amp;name=SMPC_Erythromycin_Gastro-resistant tablets.pdf
https://drug.fda.moph.go.th/media.php?id=810076760694726656&amp;name=SMPC_Erythromycin_film-coated tablets.pdf</x:v>
      </x:c>
      <x:c r="M113" s="31" t="str">
        <x:v>YES</x:v>
      </x:c>
      <x:c r="N113" s="37" t="str">
        <x:v>Clinical review required before Published</x:v>
      </x:c>
    </x:row>
    <x:row r="114">
      <x:c r="A114" s="31" t="str">
        <x:v>estradiol</x:v>
      </x:c>
      <x:c r="B114" s="31" t="str">
        <x:v>Estradiol</x:v>
      </x:c>
      <x:c r="C114" s="37" t="str">
        <x:v>รอตรวจสอบชื่อภาษาไทย</x:v>
      </x:c>
      <x:c r="D114" s="31" t="str">
        <x:v>รอตรวจสอบ</x:v>
      </x:c>
      <x:c r="E114" s="31" t="str">
        <x:v>[]</x:v>
      </x:c>
      <x:c r="F114" s="37" t="str">
        <x:v>ข้อมูลฉบับร่างจากเอกสารอ้างอิง อย. รอตรวจทานโดยผู้เชี่ยวชาญ</x:v>
      </x:c>
      <x:c r="G114" s="32" t="b">
        <x:v>0</x:v>
      </x:c>
      <x:c r="H114" s="37" t="str">
        <x:v>[{"type":"SMPC","url":"https://drug.fda.moph.go.th/media.php?id=810077151993929728&amp;name=SMPC_Estradiol_Tablets.pdf","published_date":"27/11/2024"}]</x:v>
      </x:c>
      <x:c r="I114" s="31" t="str">
        <x:v>Draft</x:v>
      </x:c>
      <x:c r="J114" s="31"/>
      <x:c r="K114" s="37"/>
      <x:c r="L114" s="37" t="str">
        <x:v>https://drug.fda.moph.go.th/media.php?id=810077151993929728&amp;name=SMPC_Estradiol_Tablets.pdf</x:v>
      </x:c>
      <x:c r="M114" s="31" t="str">
        <x:v>YES</x:v>
      </x:c>
      <x:c r="N114" s="37" t="str">
        <x:v>Clinical review required before Published</x:v>
      </x:c>
    </x:row>
    <x:row r="115">
      <x:c r="A115" s="31" t="str">
        <x:v>ethinylestradiol_chlormadinone</x:v>
      </x:c>
      <x:c r="B115" s="31" t="str">
        <x:v>Ethinylestradiol + Chlormadinone</x:v>
      </x:c>
      <x:c r="C115" s="37" t="str">
        <x:v>รอตรวจสอบชื่อภาษาไทย</x:v>
      </x:c>
      <x:c r="D115" s="31" t="str">
        <x:v>รอตรวจสอบ</x:v>
      </x:c>
      <x:c r="E115" s="31" t="str">
        <x:v>[]</x:v>
      </x:c>
      <x:c r="F115" s="37" t="str">
        <x:v>ข้อมูลฉบับร่างจากเอกสารอ้างอิง อย. รอตรวจทานโดยผู้เชี่ยวชาญ</x:v>
      </x:c>
      <x:c r="G115" s="32" t="b">
        <x:v>0</x:v>
      </x:c>
      <x:c r="H115" s="37" t="str">
        <x:v>[{"type":"PIL","url":"https://drug.fda.moph.go.th/media.php?id=725941136048398336&amp;name=pil_Ethinylestradiol + Chlormadinone (TABLET).pdf","published_date":"7/10/2019"}]</x:v>
      </x:c>
      <x:c r="I115" s="31" t="str">
        <x:v>Draft</x:v>
      </x:c>
      <x:c r="J115" s="31" t="str">
        <x:v>0.03 mg + 2 mg</x:v>
      </x:c>
      <x:c r="K115" s="37" t="str">
        <x:v>https://drug.fda.moph.go.th/media.php?id=725941136048398336&amp;name=pil_Ethinylestradiol + Chlormadinone (TABLET).pdf</x:v>
      </x:c>
      <x:c r="L115" s="37"/>
      <x:c r="M115" s="31" t="str">
        <x:v>YES</x:v>
      </x:c>
      <x:c r="N115" s="37" t="str">
        <x:v>Clinical review required before Published</x:v>
      </x:c>
    </x:row>
    <x:row r="116">
      <x:c r="A116" s="31" t="str">
        <x:v>ethinylestradiol_cyproterone</x:v>
      </x:c>
      <x:c r="B116" s="31" t="str">
        <x:v>Ethinylestradiol + Cyproterone</x:v>
      </x:c>
      <x:c r="C116" s="37" t="str">
        <x:v>รอตรวจสอบชื่อภาษาไทย</x:v>
      </x:c>
      <x:c r="D116" s="31" t="str">
        <x:v>รอตรวจสอบ</x:v>
      </x:c>
      <x:c r="E116" s="31" t="str">
        <x:v>[]</x:v>
      </x:c>
      <x:c r="F116" s="37" t="str">
        <x:v>ข้อมูลฉบับร่างจากเอกสารอ้างอิง อย. รอตรวจทานโดยผู้เชี่ยวชาญ</x:v>
      </x:c>
      <x:c r="G116" s="32" t="b">
        <x:v>0</x:v>
      </x:c>
      <x:c r="H116" s="37" t="str">
        <x:v>[{"type":"PIL","url":"https://drug.fda.moph.go.th/media.php?id=725940717846929408&amp;name=pil_Ethinylestradiol + Cyproterone (TABLET).pdf","published_date":"6/10/2019"}]</x:v>
      </x:c>
      <x:c r="I116" s="31" t="str">
        <x:v>Draft</x:v>
      </x:c>
      <x:c r="J116" s="31" t="str">
        <x:v>0.035 mg + 2 mg</x:v>
      </x:c>
      <x:c r="K116" s="37" t="str">
        <x:v>https://drug.fda.moph.go.th/media.php?id=725940717846929408&amp;name=pil_Ethinylestradiol + Cyproterone (TABLET).pdf</x:v>
      </x:c>
      <x:c r="L116" s="37"/>
      <x:c r="M116" s="31" t="str">
        <x:v>YES</x:v>
      </x:c>
      <x:c r="N116" s="37" t="str">
        <x:v>Clinical review required before Published</x:v>
      </x:c>
    </x:row>
    <x:row r="117">
      <x:c r="A117" s="31" t="str">
        <x:v>ethinylestradiol_d_norgestrel</x:v>
      </x:c>
      <x:c r="B117" s="31" t="str">
        <x:v>Ethinylestradiol + D-Norgestrel</x:v>
      </x:c>
      <x:c r="C117" s="37" t="str">
        <x:v>รอตรวจสอบชื่อภาษาไทย</x:v>
      </x:c>
      <x:c r="D117" s="31" t="str">
        <x:v>รอตรวจสอบ</x:v>
      </x:c>
      <x:c r="E117" s="31" t="str">
        <x:v>[]</x:v>
      </x:c>
      <x:c r="F117" s="37" t="str">
        <x:v>ข้อมูลฉบับร่างจากเอกสารอ้างอิง อย. รอตรวจทานโดยผู้เชี่ยวชาญ</x:v>
      </x:c>
      <x:c r="G117" s="32" t="b">
        <x:v>0</x:v>
      </x:c>
      <x:c r="H117" s="37" t="str">
        <x:v>[{"type":"PIL","url":"https://drug.fda.moph.go.th/media.php?id=725940972185329664&amp;name=pil_Ethinylestradiol + D-Norgestrel (TABLET).pdf","published_date":"6/10/2019"}]</x:v>
      </x:c>
      <x:c r="I117" s="31" t="str">
        <x:v>Draft</x:v>
      </x:c>
      <x:c r="J117" s="31" t="str">
        <x:v>0.03 mg + 0.15 mg</x:v>
      </x:c>
      <x:c r="K117" s="37" t="str">
        <x:v>https://drug.fda.moph.go.th/media.php?id=725940972185329664&amp;name=pil_Ethinylestradiol + D-Norgestrel (TABLET).pdf</x:v>
      </x:c>
      <x:c r="L117" s="37"/>
      <x:c r="M117" s="31" t="str">
        <x:v>YES</x:v>
      </x:c>
      <x:c r="N117" s="37" t="str">
        <x:v>Clinical review required before Published</x:v>
      </x:c>
    </x:row>
    <x:row r="118">
      <x:c r="A118" s="31" t="str">
        <x:v>ethinylestradiol_desogestrel</x:v>
      </x:c>
      <x:c r="B118" s="31" t="str">
        <x:v>Ethinylestradiol + Desogestrel</x:v>
      </x:c>
      <x:c r="C118" s="37" t="str">
        <x:v>รอตรวจสอบชื่อภาษาไทย</x:v>
      </x:c>
      <x:c r="D118" s="31" t="str">
        <x:v>รอตรวจสอบ</x:v>
      </x:c>
      <x:c r="E118" s="31" t="str">
        <x:v>[]</x:v>
      </x:c>
      <x:c r="F118" s="37" t="str">
        <x:v>ข้อมูลฉบับร่างจากเอกสารอ้างอิง อย. รอตรวจทานโดยผู้เชี่ยวชาญ</x:v>
      </x:c>
      <x:c r="G118" s="32" t="b">
        <x:v>0</x:v>
      </x:c>
      <x:c r="H118" s="37" t="str">
        <x:v>[{"type":"PIL","url":"https://drug.fda.moph.go.th/media.php?id=725941454819696640&amp;name=pil_Ethinylestradiol + Desogestrel (TABLET).pdf","published_date":"4/10/2019"}]</x:v>
      </x:c>
      <x:c r="I118" s="31" t="str">
        <x:v>Draft</x:v>
      </x:c>
      <x:c r="J118" s="31" t="str">
        <x:v>0.03 mg + 0.15 mg, 0.02 mg + 0.15 mg</x:v>
      </x:c>
      <x:c r="K118" s="37" t="str">
        <x:v>https://drug.fda.moph.go.th/media.php?id=725941454819696640&amp;name=pil_Ethinylestradiol + Desogestrel (TABLET).pdf</x:v>
      </x:c>
      <x:c r="L118" s="37"/>
      <x:c r="M118" s="31" t="str">
        <x:v>YES</x:v>
      </x:c>
      <x:c r="N118" s="37" t="str">
        <x:v>Clinical review required before Published</x:v>
      </x:c>
    </x:row>
    <x:row r="119">
      <x:c r="A119" s="31" t="str">
        <x:v>ethinylestradiol_drospirenone</x:v>
      </x:c>
      <x:c r="B119" s="31" t="str">
        <x:v>Ethinylestradiol + Drospirenone</x:v>
      </x:c>
      <x:c r="C119" s="37" t="str">
        <x:v>รอตรวจสอบชื่อภาษาไทย</x:v>
      </x:c>
      <x:c r="D119" s="31" t="str">
        <x:v>รอตรวจสอบ</x:v>
      </x:c>
      <x:c r="E119" s="31" t="str">
        <x:v>[]</x:v>
      </x:c>
      <x:c r="F119" s="37" t="str">
        <x:v>ข้อมูลฉบับร่างจากเอกสารอ้างอิง อย. รอตรวจทานโดยผู้เชี่ยวชาญ</x:v>
      </x:c>
      <x:c r="G119" s="32" t="b">
        <x:v>0</x:v>
      </x:c>
      <x:c r="H119" s="37" t="str">
        <x:v>[{"type":"PIL","url":"https://drug.fda.moph.go.th/media.php?id=725941258706624512&amp;name=pil_Ethinylestradiol + Drospirenone (TABLET).pdf","published_date":"7/10/2019"}]</x:v>
      </x:c>
      <x:c r="I119" s="31" t="str">
        <x:v>Draft</x:v>
      </x:c>
      <x:c r="J119" s="31" t="str">
        <x:v>0.03 mg + 0.3 mg, 0.02 mg + 0.3 mg</x:v>
      </x:c>
      <x:c r="K119" s="37" t="str">
        <x:v>https://drug.fda.moph.go.th/media.php?id=725941258706624512&amp;name=pil_Ethinylestradiol + Drospirenone (TABLET).pdf</x:v>
      </x:c>
      <x:c r="L119" s="37"/>
      <x:c r="M119" s="31" t="str">
        <x:v>YES</x:v>
      </x:c>
      <x:c r="N119" s="37" t="str">
        <x:v>Clinical review required before Published</x:v>
      </x:c>
    </x:row>
    <x:row r="120">
      <x:c r="A120" s="31" t="str">
        <x:v>ethinylestradiol_gestodene</x:v>
      </x:c>
      <x:c r="B120" s="31" t="str">
        <x:v>Ethinylestradiol + Gestodene</x:v>
      </x:c>
      <x:c r="C120" s="37" t="str">
        <x:v>รอตรวจสอบชื่อภาษาไทย</x:v>
      </x:c>
      <x:c r="D120" s="31" t="str">
        <x:v>รอตรวจสอบ</x:v>
      </x:c>
      <x:c r="E120" s="31" t="str">
        <x:v>[]</x:v>
      </x:c>
      <x:c r="F120" s="37" t="str">
        <x:v>ข้อมูลฉบับร่างจากเอกสารอ้างอิง อย. รอตรวจทานโดยผู้เชี่ยวชาญ</x:v>
      </x:c>
      <x:c r="G120" s="32" t="b">
        <x:v>0</x:v>
      </x:c>
      <x:c r="H120" s="37" t="str">
        <x:v>[{"type":"PIL","url":"https://drug.fda.moph.go.th/media.php?id=725940579837550592&amp;name=pil_Ethinylestradiol + Gestodene (TABLET).pdf","published_date":"6/10/2019"}]</x:v>
      </x:c>
      <x:c r="I120" s="31" t="str">
        <x:v>Draft</x:v>
      </x:c>
      <x:c r="J120" s="31" t="str">
        <x:v>0.03 mg, 0.02 mg, 0.015 mg + 0.075 mg, 0.06 mg</x:v>
      </x:c>
      <x:c r="K120" s="37" t="str">
        <x:v>https://drug.fda.moph.go.th/media.php?id=725940579837550592&amp;name=pil_Ethinylestradiol + Gestodene (TABLET).pdf</x:v>
      </x:c>
      <x:c r="L120" s="37"/>
      <x:c r="M120" s="31" t="str">
        <x:v>YES</x:v>
      </x:c>
      <x:c r="N120" s="37" t="str">
        <x:v>Clinical review required before Published</x:v>
      </x:c>
    </x:row>
    <x:row r="121">
      <x:c r="A121" s="31" t="str">
        <x:v>ethinylestradiol_levonorgestrel</x:v>
      </x:c>
      <x:c r="B121" s="31" t="str">
        <x:v>Ethinylestradiol + Levonorgestrel</x:v>
      </x:c>
      <x:c r="C121" s="37" t="str">
        <x:v>รอตรวจสอบชื่อภาษาไทย</x:v>
      </x:c>
      <x:c r="D121" s="31" t="str">
        <x:v>รอตรวจสอบ</x:v>
      </x:c>
      <x:c r="E121" s="31" t="str">
        <x:v>[]</x:v>
      </x:c>
      <x:c r="F121" s="37" t="str">
        <x:v>ข้อมูลฉบับร่างจากเอกสารอ้างอิง อย. รอตรวจทานโดยผู้เชี่ยวชาญ</x:v>
      </x:c>
      <x:c r="G121" s="32" t="b">
        <x:v>0</x:v>
      </x:c>
      <x:c r="H121" s="37" t="str">
        <x:v>[{"type":"PIL","url":"https://drug.fda.moph.go.th/media.php?id=725940848201703424&amp;name=pil_Ethinylestradiol + Levonorgestrel (TABLET).pdf","published_date":"6/10/2019"}]</x:v>
      </x:c>
      <x:c r="I121" s="31" t="str">
        <x:v>Draft</x:v>
      </x:c>
      <x:c r="J121" s="31" t="str">
        <x:v>0.03 mg + 0.15 mg</x:v>
      </x:c>
      <x:c r="K121" s="37" t="str">
        <x:v>https://drug.fda.moph.go.th/media.php?id=725940848201703424&amp;name=pil_Ethinylestradiol + Levonorgestrel (TABLET).pdf</x:v>
      </x:c>
      <x:c r="L121" s="37"/>
      <x:c r="M121" s="31" t="str">
        <x:v>YES</x:v>
      </x:c>
      <x:c r="N121" s="37" t="str">
        <x:v>Clinical review required before Published</x:v>
      </x:c>
    </x:row>
    <x:row r="122">
      <x:c r="A122" s="31" t="str">
        <x:v>ethyl_alcohol</x:v>
      </x:c>
      <x:c r="B122" s="31" t="str">
        <x:v>Ethyl alcohol</x:v>
      </x:c>
      <x:c r="C122" s="37" t="str">
        <x:v>ยาเอท ิลแอลกอฮอล์ ชนิดนํ้า</x:v>
      </x:c>
      <x:c r="D122" s="31" t="str">
        <x:v>รอตรวจสอบ</x:v>
      </x:c>
      <x:c r="E122" s="31" t="str">
        <x:v>[]</x:v>
      </x:c>
      <x:c r="F122" s="37" t="str">
        <x:v>ใช ้ทําความสะอาดบาดแผล</x:v>
      </x:c>
      <x:c r="G122" s="32" t="b">
        <x:v>0</x:v>
      </x:c>
      <x:c r="H122" s="37" t="str">
        <x:v>[{"type":"PIL","url":"https://drug.fda.moph.go.th/media.php?id=733927459329810432&amp;name=PIL _ethyl alcohol_ยาเอทิล แอลกอฮอล์ (15032024).pdf","published_date":"15/3/2024"}]</x:v>
      </x:c>
      <x:c r="I122" s="31" t="str">
        <x:v>Draft</x:v>
      </x:c>
      <x:c r="J122" s="31"/>
      <x:c r="K122" s="37" t="str">
        <x:v>https://drug.fda.moph.go.th/media.php?id=733927459329810432&amp;name=PIL _ethyl alcohol_ยาเอทิล แอลกอฮอล์ (15032024).pdf</x:v>
      </x:c>
      <x:c r="L122" s="37"/>
      <x:c r="M122" s="31" t="str">
        <x:v>YES</x:v>
      </x:c>
      <x:c r="N122" s="37" t="str">
        <x:v>Clinical review required before Published</x:v>
      </x:c>
    </x:row>
    <x:row r="123">
      <x:c r="A123" s="31" t="str">
        <x:v>ethyl_ester_of_iodinated_fatty_acids_of_poppy_seed_oil</x:v>
      </x:c>
      <x:c r="B123" s="31" t="str">
        <x:v>Ethyl Ester of Iodinated Fatty Acids of Poppy Seed Oil</x:v>
      </x:c>
      <x:c r="C123" s="37" t="str">
        <x:v>รอตรวจสอบชื่อภาษาไทย</x:v>
      </x:c>
      <x:c r="D123" s="31" t="str">
        <x:v>รอตรวจสอบ</x:v>
      </x:c>
      <x:c r="E123" s="31" t="str">
        <x:v>[]</x:v>
      </x:c>
      <x:c r="F123" s="37" t="str">
        <x:v>ข้อมูลฉบับร่างจากเอกสารอ้างอิง อย. รอตรวจทานโดยผู้เชี่ยวชาญ</x:v>
      </x:c>
      <x:c r="G123" s="32" t="b">
        <x:v>0</x:v>
      </x:c>
      <x:c r="H123" s="37" t="str">
        <x:v>[{"type":"SMPC","url":"https://drug.fda.moph.go.th/media.php?id=810077645797728256&amp;name=SMPC_Ethyl Ester of Iodinated Fatty Acids of Poppy Seed Oil_Solution for Injection.pdf","published_date":"27/11/2024"}]</x:v>
      </x:c>
      <x:c r="I123" s="31" t="str">
        <x:v>Draft</x:v>
      </x:c>
      <x:c r="J123" s="31"/>
      <x:c r="K123" s="37"/>
      <x:c r="L123" s="37" t="str">
        <x:v>https://drug.fda.moph.go.th/media.php?id=810077645797728256&amp;name=SMPC_Ethyl Ester of Iodinated Fatty Acids of Poppy Seed Oil_Solution for Injection.pdf</x:v>
      </x:c>
      <x:c r="M123" s="31" t="str">
        <x:v>YES</x:v>
      </x:c>
      <x:c r="N123" s="37" t="str">
        <x:v>Clinical review required before Published</x:v>
      </x:c>
    </x:row>
    <x:row r="124">
      <x:c r="A124" s="31" t="str">
        <x:v>etoricoxib</x:v>
      </x:c>
      <x:c r="B124" s="31" t="str">
        <x:v>Etoricoxib</x:v>
      </x:c>
      <x:c r="C124" s="37" t="str">
        <x:v>เอ-ทอ-ริ-คอก-สิบ</x:v>
      </x:c>
      <x:c r="D124" s="31" t="str">
        <x:v>รอตรวจสอบ</x:v>
      </x:c>
      <x:c r="E124" s="31" t="str">
        <x:v>[]</x:v>
      </x:c>
      <x:c r="F124" s="37" t="str">
        <x:v>ใช ้บรรเทาอาการปวดหรือลดการอักเสบ ที่เกิดขึ้นจาก โรคหรืออาการต่อไปนี้ เช่น o โรคข ้ ออักเสบรูมาตอยด์ โรคข ้อเสื่อม และ โรคเกาต์ o อาการปวดช่วงมีประจ าเดือน o อาการปวดที่เกิดจากการผ่าตัดช่องปากหรือท าฟัน</x:v>
      </x:c>
      <x:c r="G124" s="32" t="b">
        <x:v>0</x:v>
      </x:c>
      <x:c r="H124" s="37" t="str">
        <x:v>[{"type":"PIL","url":"https://drug.fda.moph.go.th/media.php?id=808541933805903872&amp;name=Etoricoxib_film-coated tablet_PIL.pdf","published_date":"19/3/2025"}]</x:v>
      </x:c>
      <x:c r="I124" s="31" t="str">
        <x:v>Draft</x:v>
      </x:c>
      <x:c r="J124" s="31"/>
      <x:c r="K124" s="37" t="str">
        <x:v>https://drug.fda.moph.go.th/media.php?id=808541933805903872&amp;name=Etoricoxib_film-coated tablet_PIL.pdf</x:v>
      </x:c>
      <x:c r="L124" s="37"/>
      <x:c r="M124" s="31" t="str">
        <x:v>YES</x:v>
      </x:c>
      <x:c r="N124" s="37" t="str">
        <x:v>Clinical review required before Published</x:v>
      </x:c>
    </x:row>
    <x:row r="125">
      <x:c r="A125" s="31" t="str">
        <x:v>eucalyptus_oil</x:v>
      </x:c>
      <x:c r="B125" s="31" t="str">
        <x:v>Eucalyptus oil</x:v>
      </x:c>
      <x:c r="C125" s="37" t="str">
        <x:v>รอตรวจสอบชื่อภาษาไทย</x:v>
      </x:c>
      <x:c r="D125" s="31" t="str">
        <x:v>รอตรวจสอบ</x:v>
      </x:c>
      <x:c r="E125" s="31" t="str">
        <x:v>[]</x:v>
      </x:c>
      <x:c r="F125" s="37" t="str">
        <x:v>ข้อมูลฉบับร่างจากเอกสารอ้างอิง อย. รอตรวจทานโดยผู้เชี่ยวชาญ</x:v>
      </x:c>
      <x:c r="G125" s="32" t="b">
        <x:v>0</x:v>
      </x:c>
      <x:c r="H125" s="37" t="str">
        <x:v>[{"type":"SMPC","url":"https://drug.fda.moph.go.th/media.php?id=810078101643075584&amp;name=SMPC_Eucalyptus oil_essential oil.pdf","published_date":"27/11/2024"}]</x:v>
      </x:c>
      <x:c r="I125" s="31" t="str">
        <x:v>Draft</x:v>
      </x:c>
      <x:c r="J125" s="31"/>
      <x:c r="K125" s="37"/>
      <x:c r="L125" s="37" t="str">
        <x:v>https://drug.fda.moph.go.th/media.php?id=810078101643075584&amp;name=SMPC_Eucalyptus oil_essential oil.pdf</x:v>
      </x:c>
      <x:c r="M125" s="31" t="str">
        <x:v>YES</x:v>
      </x:c>
      <x:c r="N125" s="37" t="str">
        <x:v>Clinical review required before Published</x:v>
      </x:c>
    </x:row>
    <x:row r="126">
      <x:c r="A126" s="31" t="str">
        <x:v>famotidine</x:v>
      </x:c>
      <x:c r="B126" s="31" t="str">
        <x:v>Famotidine</x:v>
      </x:c>
      <x:c r="C126" s="37" t="str">
        <x:v>ฟาโมทิดีน</x:v>
      </x:c>
      <x:c r="D126" s="31" t="str">
        <x:v>รอตรวจสอบ</x:v>
      </x:c>
      <x:c r="E126" s="31" t="str">
        <x:v>[]</x:v>
      </x:c>
      <x:c r="F126" s="37" t="str">
        <x:v>รักษาแผลในกระเพาะอาหาร/ล าไส ้เล็กส่วนต ้น • รักษาโรคกรดไหลย ้ อนที่อาการเล็กน ้ อยถึงปานกลาง • รักษาภาวะที่กระเพาะอาหารสร ้ างกรดจ านวนมากกว่า ปกติ (กลุ่มอาการโซลลิงเจอร์-เอลลิสัน)</x:v>
      </x:c>
      <x:c r="G126" s="32" t="b">
        <x:v>0</x:v>
      </x:c>
      <x:c r="H126" s="37" t="str">
        <x:v>[{"type":"PIL","url":"https://drug.fda.moph.go.th/media.php?id=730344683175288832&amp;name=pil_Famotidine (Tablet 20 mg, 40 mg).pdf","published_date":"9/8/2023"}]</x:v>
      </x:c>
      <x:c r="I126" s="31" t="str">
        <x:v>Draft</x:v>
      </x:c>
      <x:c r="J126" s="31" t="str">
        <x:v>20 mg, 40 mg</x:v>
      </x:c>
      <x:c r="K126" s="37" t="str">
        <x:v>https://drug.fda.moph.go.th/media.php?id=730344683175288832&amp;name=pil_Famotidine (Tablet 20 mg, 40 mg).pdf</x:v>
      </x:c>
      <x:c r="L126" s="37"/>
      <x:c r="M126" s="31" t="str">
        <x:v>YES</x:v>
      </x:c>
      <x:c r="N126" s="37" t="str">
        <x:v>Clinical review required before Published</x:v>
      </x:c>
    </x:row>
    <x:row r="127">
      <x:c r="A127" s="31" t="str">
        <x:v>felodipine</x:v>
      </x:c>
      <x:c r="B127" s="31" t="str">
        <x:v>Felodipine</x:v>
      </x:c>
      <x:c r="C127" s="37" t="str">
        <x:v>รอตรวจสอบชื่อภาษาไทย</x:v>
      </x:c>
      <x:c r="D127" s="31" t="str">
        <x:v>รอตรวจสอบ</x:v>
      </x:c>
      <x:c r="E127" s="31" t="str">
        <x:v>[]</x:v>
      </x:c>
      <x:c r="F127" s="37" t="str">
        <x:v>ข้อมูลฉบับร่างจากเอกสารอ้างอิง อย. รอตรวจทานโดยผู้เชี่ยวชาญ</x:v>
      </x:c>
      <x:c r="G127" s="32" t="b">
        <x:v>0</x:v>
      </x:c>
      <x:c r="H127" s="37" t="str">
        <x:v>[{"type":"SMPC","url":"https://drug.fda.moph.go.th/media.php?id=810078823658954752&amp;name=SMPC_Felodipine_prolonged release tablets.pdf","published_date":"22/11/2024"}]</x:v>
      </x:c>
      <x:c r="I127" s="31" t="str">
        <x:v>Draft</x:v>
      </x:c>
      <x:c r="J127" s="31"/>
      <x:c r="K127" s="37"/>
      <x:c r="L127" s="37" t="str">
        <x:v>https://drug.fda.moph.go.th/media.php?id=810078823658954752&amp;name=SMPC_Felodipine_prolonged release tablets.pdf</x:v>
      </x:c>
      <x:c r="M127" s="31" t="str">
        <x:v>YES</x:v>
      </x:c>
      <x:c r="N127" s="37" t="str">
        <x:v>Clinical review required before Published</x:v>
      </x:c>
    </x:row>
    <x:row r="128">
      <x:c r="A128" s="31" t="str">
        <x:v>fenofibrate</x:v>
      </x:c>
      <x:c r="B128" s="31" t="str">
        <x:v>Fenofibrate</x:v>
      </x:c>
      <x:c r="C128" s="37" t="str">
        <x:v>เฟ-โน-ไฟ-เบรต</x:v>
      </x:c>
      <x:c r="D128" s="31" t="str">
        <x:v>รอตรวจสอบ</x:v>
      </x:c>
      <x:c r="E128" s="31" t="str">
        <x:v>[]</x:v>
      </x:c>
      <x:c r="F128" s="37" t="str">
        <x:v>ใช ้เพื่อรักษาภาวะไขมันชนิดไตรกลีเซอไรด์ในเลือดสูง</x:v>
      </x:c>
      <x:c r="G128" s="32" t="b">
        <x:v>0</x:v>
      </x:c>
      <x:c r="H128" s="37" t="str">
        <x:v>[{"type":"PIL","url":"https://drug.fda.moph.go.th/media.php?id=808542706069544960&amp;name=Fenofibrate_capsule, tablet_PIL.pdf","published_date":"19/3/2025"}]</x:v>
      </x:c>
      <x:c r="I128" s="31" t="str">
        <x:v>Draft</x:v>
      </x:c>
      <x:c r="J128" s="31"/>
      <x:c r="K128" s="37" t="str">
        <x:v>https://drug.fda.moph.go.th/media.php?id=808542706069544960&amp;name=Fenofibrate_capsule, tablet_PIL.pdf</x:v>
      </x:c>
      <x:c r="L128" s="37"/>
      <x:c r="M128" s="31" t="str">
        <x:v>YES</x:v>
      </x:c>
      <x:c r="N128" s="37" t="str">
        <x:v>Clinical review required before Published</x:v>
      </x:c>
    </x:row>
    <x:row r="129">
      <x:c r="A129" s="31" t="str">
        <x:v>ferrous</x:v>
      </x:c>
      <x:c r="B129" s="31" t="str">
        <x:v>Ferrous fumarate</x:v>
      </x:c>
      <x:c r="C129" s="37" t="str">
        <x:v>รอตรวจสอบชื่อภาษาไทย</x:v>
      </x:c>
      <x:c r="D129" s="31" t="str">
        <x:v>รอตรวจสอบ</x:v>
      </x:c>
      <x:c r="E129" s="31" t="str">
        <x:v>[]</x:v>
      </x:c>
      <x:c r="F129" s="37" t="str">
        <x:v>ใช ้รักษาโรคโลหิตจางที่เกิดจากการขาดธาตุเหล็กใน ผ ู ้ใ หญ ่</x:v>
      </x:c>
      <x:c r="G129" s="32" t="b">
        <x:v>0</x:v>
      </x:c>
      <x:c r="H129" s="37" t="str">
        <x:v>[{"type":"SMPC","url":"https://drug.fda.moph.go.th/media.php?id=810079316368039936&amp;name=SMPC_Ferrous fumarate_Tablets.pdf","published_date":"22/11/2024"},{"type":"SMPC","url":"https://drug.fda.moph.go.th/media.php?id=810079681742249984&amp;name=SMPC_Ferrous fumarate_ syrup.pdf","published_date":"22/11/2024"},{"type":"SMPC","url":"https://drug.fda.moph.go.th/media.php?id=810081060158316544&amp;name=SMPC_Ferrous sulfate_film-coated tablets.pdf","published_date":"22/11/2024"},{"type":"PIL","url":"https://drug.fda.moph.go.th/media.php?id=733948183713030144&amp;name=PIL ยาเม็ดบำรุงโลหิต Ferrous sulfate (15032024).pdf","published_date":"15/3/2024"}]</x:v>
      </x:c>
      <x:c r="I129" s="31" t="str">
        <x:v>Draft</x:v>
      </x:c>
      <x:c r="J129" s="31"/>
      <x:c r="K129" s="37" t="str">
        <x:v>https://drug.fda.moph.go.th/media.php?id=733948183713030144&amp;name=PIL ยาเม็ดบำรุงโลหิต Ferrous sulfate (15032024).pdf</x:v>
      </x:c>
      <x:c r="L129" s="37" t="str">
        <x:v>https://drug.fda.moph.go.th/media.php?id=810079316368039936&amp;name=SMPC_Ferrous fumarate_Tablets.pdf
https://drug.fda.moph.go.th/media.php?id=810079681742249984&amp;name=SMPC_Ferrous fumarate_ syrup.pdf
https://drug.fda.moph.go.th/media.php?id=810081060158316544&amp;name=SMPC_Ferrous sulfate_film-coated tablets.pdf</x:v>
      </x:c>
      <x:c r="M129" s="31" t="str">
        <x:v>YES</x:v>
      </x:c>
      <x:c r="N129" s="37" t="str">
        <x:v>Clinical review required before Published</x:v>
      </x:c>
    </x:row>
    <x:row r="130">
      <x:c r="A130" s="31" t="str">
        <x:v>flavoxate</x:v>
      </x:c>
      <x:c r="B130" s="31" t="str">
        <x:v>Flavoxate hydrochloride</x:v>
      </x:c>
      <x:c r="C130" s="37" t="str">
        <x:v>ฟลาว็อกเซตไฮโดรคลอไรด์</x:v>
      </x:c>
      <x:c r="D130" s="31" t="str">
        <x:v>รอตรวจสอบ</x:v>
      </x:c>
      <x:c r="E130" s="31" t="str">
        <x:v>[]</x:v>
      </x:c>
      <x:c r="F130" s="37" t="str">
        <x:v>● ใช ้เพื่อบรรเทาอาการปัสสาวะล าบาก, ปวดปัสสาวะแบบกลั้นไม่อยู่, ปัสสาวะบ่อยตอนกลางคืน, ปวดเหนือบริเวณหัวหน่าว</x:v>
      </x:c>
      <x:c r="G130" s="32" t="b">
        <x:v>0</x:v>
      </x:c>
      <x:c r="H130" s="37" t="str">
        <x:v>[{"type":"PIL","url":"https://drug.fda.moph.go.th/media.php?id=904601734129786880&amp;name=11. ref PIL_Flavoxate.pdf","published_date":"8/6/2026"},{"type":"SMPC","url":"https://drug.fda.moph.go.th/media.php?id=904966129817100288&amp;name=11. Ref SmPC_Flavoxate.pdf","published_date":"8/6/2026"}]</x:v>
      </x:c>
      <x:c r="I130" s="31" t="str">
        <x:v>Draft</x:v>
      </x:c>
      <x:c r="J130" s="31"/>
      <x:c r="K130" s="37" t="str">
        <x:v>https://drug.fda.moph.go.th/media.php?id=904601734129786880&amp;name=11. ref PIL_Flavoxate.pdf</x:v>
      </x:c>
      <x:c r="L130" s="37" t="str">
        <x:v>https://drug.fda.moph.go.th/media.php?id=904966129817100288&amp;name=11. Ref SmPC_Flavoxate.pdf</x:v>
      </x:c>
      <x:c r="M130" s="31" t="str">
        <x:v>YES</x:v>
      </x:c>
      <x:c r="N130" s="37" t="str">
        <x:v>Clinical review required before Published</x:v>
      </x:c>
    </x:row>
    <x:row r="131">
      <x:c r="A131" s="31" t="str">
        <x:v>fluocinolone_acetonide</x:v>
      </x:c>
      <x:c r="B131" s="31" t="str">
        <x:v>Fluocinolone acetonide</x:v>
      </x:c>
      <x:c r="C131" s="37" t="str">
        <x:v>รอตรวจสอบชื่อภาษาไทย</x:v>
      </x:c>
      <x:c r="D131" s="31" t="str">
        <x:v>รอตรวจสอบ</x:v>
      </x:c>
      <x:c r="E131" s="31" t="str">
        <x:v>[]</x:v>
      </x:c>
      <x:c r="F131" s="37" t="str">
        <x:v>ข้อมูลฉบับร่างจากเอกสารอ้างอิง อย. รอตรวจทานโดยผู้เชี่ยวชาญ</x:v>
      </x:c>
      <x:c r="G131" s="32" t="b">
        <x:v>0</x:v>
      </x:c>
      <x:c r="H131" s="37" t="str">
        <x:v>[{"type":"SMPC","url":"https://drug.fda.moph.go.th/media.php?id=810172555817263104&amp;name=SMPC_Fluocinolone acetonide_cream.pdf","published_date":"22/11/2024"}]</x:v>
      </x:c>
      <x:c r="I131" s="31" t="str">
        <x:v>Draft</x:v>
      </x:c>
      <x:c r="J131" s="31"/>
      <x:c r="K131" s="37"/>
      <x:c r="L131" s="37" t="str">
        <x:v>https://drug.fda.moph.go.th/media.php?id=810172555817263104&amp;name=SMPC_Fluocinolone acetonide_cream.pdf</x:v>
      </x:c>
      <x:c r="M131" s="31" t="str">
        <x:v>YES</x:v>
      </x:c>
      <x:c r="N131" s="37" t="str">
        <x:v>Clinical review required before Published</x:v>
      </x:c>
    </x:row>
    <x:row r="132">
      <x:c r="A132" s="31" t="str">
        <x:v>fluorouracil</x:v>
      </x:c>
      <x:c r="B132" s="31" t="str">
        <x:v>Fluorouracil</x:v>
      </x:c>
      <x:c r="C132" s="37" t="str">
        <x:v>ฟลูออโรยูราซิล</x:v>
      </x:c>
      <x:c r="D132" s="31" t="str">
        <x:v>รอตรวจสอบ</x:v>
      </x:c>
      <x:c r="E132" s="31" t="str">
        <x:v>[]</x:v>
      </x:c>
      <x:c r="F132" s="37" t="str">
        <x:v>ใช ้รักษาโรคมะเร็งชนิดต่าง ๆ เช่น มะเร็งล าไส ้ใหญ่ มะเร็งเต ้ านม โดยแพทย์วินิจฉัยแล ้วว่าจ าเป็ นต ้องใช ้ ยานี้</x:v>
      </x:c>
      <x:c r="G132" s="32" t="b">
        <x:v>0</x:v>
      </x:c>
      <x:c r="H132" s="37" t="str">
        <x:v>[{"type":"SMPC","url":"https://drug.fda.moph.go.th/media.php?id=810172919505362944&amp;name=SMPC_Fluorouracil_Solution for Injection or Infusion.pdf","published_date":"26/11/2024"},{"type":"PIL","url":"https://drug.fda.moph.go.th/media.php?id=862918390296223744&amp;name=14.Fluorouracil_inj_PIL_final.pdf","published_date":"13/2/2026"}]</x:v>
      </x:c>
      <x:c r="I132" s="31" t="str">
        <x:v>Draft</x:v>
      </x:c>
      <x:c r="J132" s="31" t="str">
        <x:v>50 mg/ml</x:v>
      </x:c>
      <x:c r="K132" s="37" t="str">
        <x:v>https://drug.fda.moph.go.th/media.php?id=862918390296223744&amp;name=14.Fluorouracil_inj_PIL_final.pdf</x:v>
      </x:c>
      <x:c r="L132" s="37" t="str">
        <x:v>https://drug.fda.moph.go.th/media.php?id=810172919505362944&amp;name=SMPC_Fluorouracil_Solution for Injection or Infusion.pdf</x:v>
      </x:c>
      <x:c r="M132" s="31" t="str">
        <x:v>YES</x:v>
      </x:c>
      <x:c r="N132" s="37" t="str">
        <x:v>Clinical review required before Published</x:v>
      </x:c>
    </x:row>
    <x:row r="133">
      <x:c r="A133" s="31" t="str">
        <x:v>fluoxetine</x:v>
      </x:c>
      <x:c r="B133" s="31" t="str">
        <x:v>Fluoxetine hydrochloride</x:v>
      </x:c>
      <x:c r="C133" s="37" t="str">
        <x:v>รอตรวจสอบชื่อภาษาไทย</x:v>
      </x:c>
      <x:c r="D133" s="31" t="str">
        <x:v>รอตรวจสอบ</x:v>
      </x:c>
      <x:c r="E133" s="31" t="str">
        <x:v>[]</x:v>
      </x:c>
      <x:c r="F133" s="37" t="str">
        <x:v>ข้อมูลฉบับร่างจากเอกสารอ้างอิง อย. รอตรวจทานโดยผู้เชี่ยวชาญ</x:v>
      </x:c>
      <x:c r="G133" s="32" t="b">
        <x:v>0</x:v>
      </x:c>
      <x:c r="H133" s="37" t="str">
        <x:v>[{"type":"SMPC","url":"https://drug.fda.moph.go.th/media.php?id=810173242932338688&amp;name=SMPC_Fluoxetine_Capsules.pdf","published_date":"26/11/2024"}]</x:v>
      </x:c>
      <x:c r="I133" s="31" t="str">
        <x:v>Draft</x:v>
      </x:c>
      <x:c r="J133" s="31"/>
      <x:c r="K133" s="37"/>
      <x:c r="L133" s="37" t="str">
        <x:v>https://drug.fda.moph.go.th/media.php?id=810173242932338688&amp;name=SMPC_Fluoxetine_Capsules.pdf</x:v>
      </x:c>
      <x:c r="M133" s="31" t="str">
        <x:v>YES</x:v>
      </x:c>
      <x:c r="N133" s="37" t="str">
        <x:v>Clinical review required before Published</x:v>
      </x:c>
    </x:row>
    <x:row r="134">
      <x:c r="A134" s="31" t="str">
        <x:v>flupentixol_melitracen</x:v>
      </x:c>
      <x:c r="B134" s="31" t="str">
        <x:v>Flupentixol + Melitracen</x:v>
      </x:c>
      <x:c r="C134" s="37" t="str">
        <x:v>รอตรวจสอบชื่อภาษาไทย</x:v>
      </x:c>
      <x:c r="D134" s="31" t="str">
        <x:v>รอตรวจสอบ</x:v>
      </x:c>
      <x:c r="E134" s="31" t="str">
        <x:v>[]</x:v>
      </x:c>
      <x:c r="F134" s="37" t="str">
        <x:v>ข้อมูลฉบับร่างจากเอกสารอ้างอิง อย. รอตรวจทานโดยผู้เชี่ยวชาญ</x:v>
      </x:c>
      <x:c r="G134" s="32" t="b">
        <x:v>0</x:v>
      </x:c>
      <x:c r="H134" s="37" t="str">
        <x:v>[{"type":"PIL","url":"https://drug.fda.moph.go.th/media.php?id=904601734746349568&amp;name=12. Ref PIL_MelitracenFlupentixol.pdf","published_date":"8/6/2026"}]</x:v>
      </x:c>
      <x:c r="I134" s="31" t="str">
        <x:v>Draft</x:v>
      </x:c>
      <x:c r="J134" s="31" t="str">
        <x:v>0.5 mg/10 mg</x:v>
      </x:c>
      <x:c r="K134" s="37" t="str">
        <x:v>https://drug.fda.moph.go.th/media.php?id=904601734746349568&amp;name=12. Ref PIL_MelitracenFlupentixol.pdf</x:v>
      </x:c>
      <x:c r="L134" s="37"/>
      <x:c r="M134" s="31" t="str">
        <x:v>YES</x:v>
      </x:c>
      <x:c r="N134" s="37" t="str">
        <x:v>Clinical review required before Published</x:v>
      </x:c>
    </x:row>
    <x:row r="135">
      <x:c r="A135" s="31" t="str">
        <x:v>folic_acid</x:v>
      </x:c>
      <x:c r="B135" s="31" t="str">
        <x:v>Folic acid</x:v>
      </x:c>
      <x:c r="C135" s="37" t="str">
        <x:v>กรด-โฟ-ลิก</x:v>
      </x:c>
      <x:c r="D135" s="31" t="str">
        <x:v>รอตรวจสอบ</x:v>
      </x:c>
      <x:c r="E135" s="31" t="str">
        <x:v>[]</x:v>
      </x:c>
      <x:c r="F135" s="37" t="str">
        <x:v>ใช ้เพื่อป้องกันและรักษาโรคเลือดจางที่เกิดจากการขาด กรดโฟลิก • ใช ้เพื่อป้องกันภาวะท่อประสาทของทารกในครรภ์ บกพร่อง</x:v>
      </x:c>
      <x:c r="G135" s="32" t="b">
        <x:v>0</x:v>
      </x:c>
      <x:c r="H135" s="37" t="str">
        <x:v>[{"type":"PIL","url":"https://drug.fda.moph.go.th/media.php?id=730358561472913408&amp;name=pil_Folic acid (TABLET).pdf","published_date":"9/11/2023"}]</x:v>
      </x:c>
      <x:c r="I135" s="31" t="str">
        <x:v>Draft</x:v>
      </x:c>
      <x:c r="J135" s="31"/>
      <x:c r="K135" s="37" t="str">
        <x:v>https://drug.fda.moph.go.th/media.php?id=730358561472913408&amp;name=pil_Folic acid (TABLET).pdf</x:v>
      </x:c>
      <x:c r="L135" s="37"/>
      <x:c r="M135" s="31" t="str">
        <x:v>YES</x:v>
      </x:c>
      <x:c r="N135" s="37" t="str">
        <x:v>Clinical review required before Published</x:v>
      </x:c>
    </x:row>
    <x:row r="136">
      <x:c r="A136" s="31" t="str">
        <x:v>follitropin_alfa</x:v>
      </x:c>
      <x:c r="B136" s="31" t="str">
        <x:v>Follitropin alfa</x:v>
      </x:c>
      <x:c r="C136" s="37" t="str">
        <x:v>รอตรวจสอบชื่อภาษาไทย</x:v>
      </x:c>
      <x:c r="D136" s="31" t="str">
        <x:v>รอตรวจสอบ</x:v>
      </x:c>
      <x:c r="E136" s="31" t="str">
        <x:v>[]</x:v>
      </x:c>
      <x:c r="F136" s="37" t="str">
        <x:v>ข้อมูลฉบับร่างจากเอกสารอ้างอิง อย. รอตรวจทานโดยผู้เชี่ยวชาญ</x:v>
      </x:c>
      <x:c r="G136" s="32" t="b">
        <x:v>0</x:v>
      </x:c>
      <x:c r="H136" s="37" t="str">
        <x:v>[{"type":"SMPC","url":"https://drug.fda.moph.go.th/media.php?id=810173725403127808&amp;name=SMPC_Follitropin alfa_solution for infusion.pdf","published_date":"27/11/2024"}]</x:v>
      </x:c>
      <x:c r="I136" s="31" t="str">
        <x:v>Draft</x:v>
      </x:c>
      <x:c r="J136" s="31"/>
      <x:c r="K136" s="37"/>
      <x:c r="L136" s="37" t="str">
        <x:v>https://drug.fda.moph.go.th/media.php?id=810173725403127808&amp;name=SMPC_Follitropin alfa_solution for infusion.pdf</x:v>
      </x:c>
      <x:c r="M136" s="31" t="str">
        <x:v>YES</x:v>
      </x:c>
      <x:c r="N136" s="37" t="str">
        <x:v>Clinical review required before Published</x:v>
      </x:c>
    </x:row>
    <x:row r="137">
      <x:c r="A137" s="31" t="str">
        <x:v>furosemide</x:v>
      </x:c>
      <x:c r="B137" s="31" t="str">
        <x:v>Furosemide</x:v>
      </x:c>
      <x:c r="C137" s="37" t="str">
        <x:v>ฟูโรซีไมด์</x:v>
      </x:c>
      <x:c r="D137" s="31" t="str">
        <x:v>รอตรวจสอบ</x:v>
      </x:c>
      <x:c r="E137" s="31" t="str">
        <x:v>[]</x:v>
      </x:c>
      <x:c r="F137" s="37" t="str">
        <x:v>ใช ้รักษาโรคความดันโลหิตสูง • ใช ้รักษาภาวะบวมน ้าในร่างกาย</x:v>
      </x:c>
      <x:c r="G137" s="32" t="b">
        <x:v>0</x:v>
      </x:c>
      <x:c r="H137" s="37" t="str">
        <x:v>[{"type":"PIL","url":"https://drug.fda.moph.go.th/media.php?id=730358697620021248&amp;name=pil_Furosemide (TABLET 40 mg, 500 mg).pdf","published_date":"4/8/2023"}]</x:v>
      </x:c>
      <x:c r="I137" s="31" t="str">
        <x:v>Draft</x:v>
      </x:c>
      <x:c r="J137" s="31" t="str">
        <x:v>40 mg, 500 mg</x:v>
      </x:c>
      <x:c r="K137" s="37" t="str">
        <x:v>https://drug.fda.moph.go.th/media.php?id=730358697620021248&amp;name=pil_Furosemide (TABLET 40 mg, 500 mg).pdf</x:v>
      </x:c>
      <x:c r="L137" s="37"/>
      <x:c r="M137" s="31" t="str">
        <x:v>YES</x:v>
      </x:c>
      <x:c r="N137" s="37" t="str">
        <x:v>Clinical review required before Published</x:v>
      </x:c>
    </x:row>
    <x:row r="138">
      <x:c r="A138" s="31" t="str">
        <x:v>gemfibrozil</x:v>
      </x:c>
      <x:c r="B138" s="31" t="str">
        <x:v>Gemfibrozil</x:v>
      </x:c>
      <x:c r="C138" s="37" t="str">
        <x:v>เจมไฟโบรซิล</x:v>
      </x:c>
      <x:c r="D138" s="31" t="str">
        <x:v>รอตรวจสอบ</x:v>
      </x:c>
      <x:c r="E138" s="31" t="str">
        <x:v>[]</x:v>
      </x:c>
      <x:c r="F138" s="37" t="str">
        <x:v>ใช ้รักษาโรคไขมันในเลือดสูง • ใช ้รักษาในผู ้ที่มีระดับไขมันไตรกลีเซอไรด์ในเลือดสูง มากและมีความเสี่ยงต่อการเกิดตับอ่อนอักเสบ • ใช ้ป้องกันโรคหัวใจจากไขมันในเลือดสูงในผู ้ ชาย</x:v>
      </x:c>
      <x:c r="G138" s="32" t="b">
        <x:v>0</x:v>
      </x:c>
      <x:c r="H138" s="37" t="str">
        <x:v>[{"type":"PIL","url":"https://drug.fda.moph.go.th/media.php?id=730359193718104064&amp;name=pil_Gemfibrozil (CAPSULE, HARD 300 mg, 600 mg).pdf","published_date":"9/8/2023"},{"type":"SMPC","url":"https://drug.fda.moph.go.th/media.php?id=810174072020410368&amp;name=SMPC_Gemfibrozil_hard capsule.pdf","published_date":"21/11/2024"},{"type":"PIL","url":"https://drug.fda.moph.go.th/media.php?id=730358921935593472&amp;name=pil_Gemfibrozil (TABLET 300 mg, 600 mg).pdf","published_date":"9/8/2023"}]</x:v>
      </x:c>
      <x:c r="I138" s="31" t="str">
        <x:v>Draft</x:v>
      </x:c>
      <x:c r="J138" s="31" t="str">
        <x:v>300 mg, 600 mg</x:v>
      </x:c>
      <x:c r="K138" s="37" t="str">
        <x:v>https://drug.fda.moph.go.th/media.php?id=730359193718104064&amp;name=pil_Gemfibrozil (CAPSULE, HARD 300 mg, 600 mg).pdf
https://drug.fda.moph.go.th/media.php?id=730358921935593472&amp;name=pil_Gemfibrozil (TABLET 300 mg, 600 mg).pdf</x:v>
      </x:c>
      <x:c r="L138" s="37" t="str">
        <x:v>https://drug.fda.moph.go.th/media.php?id=810174072020410368&amp;name=SMPC_Gemfibrozil_hard capsule.pdf</x:v>
      </x:c>
      <x:c r="M138" s="31" t="str">
        <x:v>YES</x:v>
      </x:c>
      <x:c r="N138" s="37" t="str">
        <x:v>Clinical review required before Published</x:v>
      </x:c>
    </x:row>
    <x:row r="139">
      <x:c r="A139" s="31" t="str">
        <x:v>gentamicin</x:v>
      </x:c>
      <x:c r="B139" s="31" t="str">
        <x:v>Gentamicin</x:v>
      </x:c>
      <x:c r="C139" s="37" t="str">
        <x:v>เจน-ทา-ไม-ซิน</x:v>
      </x:c>
      <x:c r="D139" s="31" t="str">
        <x:v>รอตรวจสอบ</x:v>
      </x:c>
      <x:c r="E139" s="31" t="str">
        <x:v>[]</x:v>
      </x:c>
      <x:c r="F139" s="37" t="str">
        <x:v>● ใช ้รักษาการติดเชื้อแบคทีเรียที่ผิวหนังที่ไวต่อยานี้</x:v>
      </x:c>
      <x:c r="G139" s="32" t="b">
        <x:v>0</x:v>
      </x:c>
      <x:c r="H139" s="37" t="str">
        <x:v>[{"type":"PIL","url":"https://drug.fda.moph.go.th/media.php?id=808544511717416960&amp;name=Gentamicin_cream_PIL.pdf","published_date":"19/3/2025"},{"type":"PIL","url":"https://drug.fda.moph.go.th/media.php?id=808544703330000896&amp;name=Gentamicin_liquidOphthalmic_PIL.pdf","published_date":"19/3/2025"},{"type":"SMPC","url":"https://drug.fda.moph.go.th/media.php?id=810174409145982976&amp;name=SMPC_Gentamicin_Eye Drops, Solution.pdf","published_date":"26/11/2024"}]</x:v>
      </x:c>
      <x:c r="I139" s="31" t="str">
        <x:v>Draft</x:v>
      </x:c>
      <x:c r="J139" s="31"/>
      <x:c r="K139" s="37" t="str">
        <x:v>https://drug.fda.moph.go.th/media.php?id=808544511717416960&amp;name=Gentamicin_cream_PIL.pdf
https://drug.fda.moph.go.th/media.php?id=808544703330000896&amp;name=Gentamicin_liquidOphthalmic_PIL.pdf</x:v>
      </x:c>
      <x:c r="L139" s="37" t="str">
        <x:v>https://drug.fda.moph.go.th/media.php?id=810174409145982976&amp;name=SMPC_Gentamicin_Eye Drops, Solution.pdf</x:v>
      </x:c>
      <x:c r="M139" s="31" t="str">
        <x:v>YES</x:v>
      </x:c>
      <x:c r="N139" s="37" t="str">
        <x:v>Clinical review required before Published</x:v>
      </x:c>
    </x:row>
    <x:row r="140">
      <x:c r="A140" s="31" t="str">
        <x:v>gentamicin_betamethasone_dipropionate</x:v>
      </x:c>
      <x:c r="B140" s="31" t="str">
        <x:v>Gentamicin sulfate + Betamethasone dipropionate</x:v>
      </x:c>
      <x:c r="C140" s="37" t="str">
        <x:v>รอตรวจสอบชื่อภาษาไทย</x:v>
      </x:c>
      <x:c r="D140" s="31" t="str">
        <x:v>รอตรวจสอบ</x:v>
      </x:c>
      <x:c r="E140" s="31" t="str">
        <x:v>[]</x:v>
      </x:c>
      <x:c r="F140" s="37" t="str">
        <x:v>ข้อมูลฉบับร่างจากเอกสารอ้างอิง อย. รอตรวจทานโดยผู้เชี่ยวชาญ</x:v>
      </x:c>
      <x:c r="G140" s="32" t="b">
        <x:v>0</x:v>
      </x:c>
      <x:c r="H140" s="37" t="str">
        <x:v>[{"type":"SMPC","url":"https://drug.fda.moph.go.th/media.php?id=810174762931331072&amp;name=SMPC_Gentamicin sulfate+betamethasone dipropionate_cream.pdf","published_date":"22/11/2024"}]</x:v>
      </x:c>
      <x:c r="I140" s="31" t="str">
        <x:v>Draft</x:v>
      </x:c>
      <x:c r="J140" s="31"/>
      <x:c r="K140" s="37"/>
      <x:c r="L140" s="37" t="str">
        <x:v>https://drug.fda.moph.go.th/media.php?id=810174762931331072&amp;name=SMPC_Gentamicin sulfate+betamethasone dipropionate_cream.pdf</x:v>
      </x:c>
      <x:c r="M140" s="31" t="str">
        <x:v>YES</x:v>
      </x:c>
      <x:c r="N140" s="37" t="str">
        <x:v>Clinical review required before Published</x:v>
      </x:c>
    </x:row>
    <x:row r="141">
      <x:c r="A141" s="31" t="str">
        <x:v>gentian_violet</x:v>
      </x:c>
      <x:c r="B141" s="31" t="str">
        <x:v>Gentian violet</x:v>
      </x:c>
      <x:c r="C141" s="37" t="str">
        <x:v>ยาเยนเชี่ยนไวโอเลต ชนิดนํ้า</x:v>
      </x:c>
      <x:c r="D141" s="31" t="str">
        <x:v>รอตรวจสอบ</x:v>
      </x:c>
      <x:c r="E141" s="31" t="str">
        <x:v>[]</x:v>
      </x:c>
      <x:c r="F141" s="37" t="str">
        <x:v>ใช ้ทาแผลภายนอกที่เกิดจากเชื้อรา หรือใช ้ รักษาการติดเชื้อราที่ลิ้นและกระพุ ้ งแก ้ มในระยะสั้น</x:v>
      </x:c>
      <x:c r="G141" s="32" t="b">
        <x:v>0</x:v>
      </x:c>
      <x:c r="H141" s="37" t="str">
        <x:v>[{"type":"PIL","url":"https://drug.fda.moph.go.th/media.php?id=733947717088321536&amp;name=PIL_ยา Gentian violet เยนเชี่ยนไวโอเลต_update (15032024).pdf","published_date":"15/3/2024"}]</x:v>
      </x:c>
      <x:c r="I141" s="31" t="str">
        <x:v>Draft</x:v>
      </x:c>
      <x:c r="J141" s="31"/>
      <x:c r="K141" s="37" t="str">
        <x:v>https://drug.fda.moph.go.th/media.php?id=733947717088321536&amp;name=PIL_ยา Gentian violet เยนเชี่ยนไวโอเลต_update (15032024).pdf</x:v>
      </x:c>
      <x:c r="L141" s="37"/>
      <x:c r="M141" s="31" t="str">
        <x:v>YES</x:v>
      </x:c>
      <x:c r="N141" s="37" t="str">
        <x:v>Clinical review required before Published</x:v>
      </x:c>
    </x:row>
    <x:row r="142">
      <x:c r="A142" s="31" t="str">
        <x:v>gliclazide</x:v>
      </x:c>
      <x:c r="B142" s="31" t="str">
        <x:v>Gliclazide</x:v>
      </x:c>
      <x:c r="C142" s="37" t="str">
        <x:v>รอตรวจสอบชื่อภาษาไทย</x:v>
      </x:c>
      <x:c r="D142" s="31" t="str">
        <x:v>รอตรวจสอบ</x:v>
      </x:c>
      <x:c r="E142" s="31" t="str">
        <x:v>[]</x:v>
      </x:c>
      <x:c r="F142" s="37" t="str">
        <x:v>ข้อมูลฉบับร่างจากเอกสารอ้างอิง อย. รอตรวจทานโดยผู้เชี่ยวชาญ</x:v>
      </x:c>
      <x:c r="G142" s="32" t="b">
        <x:v>0</x:v>
      </x:c>
      <x:c r="H142" s="37" t="str">
        <x:v>[{"type":"SMPC","url":"https://drug.fda.moph.go.th/media.php?id=810175347420176384&amp;name=SMPC_Gliclazide_Modified-release Tablets.pdf","published_date":"26/11/2024"},{"type":"SMPC","url":"https://drug.fda.moph.go.th/media.php?id=810175662185914368&amp;name=SMPC_Gliclazide_Tablets.pdf","published_date":"22/11/2024"}]</x:v>
      </x:c>
      <x:c r="I142" s="31" t="str">
        <x:v>Draft</x:v>
      </x:c>
      <x:c r="J142" s="31" t="str">
        <x:v>100 mg/1 ml pre-filled syringe</x:v>
      </x:c>
      <x:c r="K142" s="37"/>
      <x:c r="L142" s="37" t="str">
        <x:v>https://drug.fda.moph.go.th/media.php?id=810175347420176384&amp;name=SMPC_Gliclazide_Modified-release Tablets.pdf
https://drug.fda.moph.go.th/media.php?id=810175662185914368&amp;name=SMPC_Gliclazide_Tablets.pdf</x:v>
      </x:c>
      <x:c r="M142" s="31" t="str">
        <x:v>YES</x:v>
      </x:c>
      <x:c r="N142" s="37" t="str">
        <x:v>Clinical review required before Published</x:v>
      </x:c>
    </x:row>
    <x:row r="143">
      <x:c r="A143" s="31" t="str">
        <x:v>glipizide</x:v>
      </x:c>
      <x:c r="B143" s="31" t="str">
        <x:v>Glipizide</x:v>
      </x:c>
      <x:c r="C143" s="37" t="str">
        <x:v>กลิพิไซด์</x:v>
      </x:c>
      <x:c r="D143" s="31" t="str">
        <x:v>รอตรวจสอบ</x:v>
      </x:c>
      <x:c r="E143" s="31" t="str">
        <x:v>[]</x:v>
      </x:c>
      <x:c r="F143" s="37" t="str">
        <x:v>ใช ้รักษาโรคเบาหวานชนิดที่ 2</x:v>
      </x:c>
      <x:c r="G143" s="32" t="b">
        <x:v>0</x:v>
      </x:c>
      <x:c r="H143" s="37" t="str">
        <x:v>[{"type":"PIL","url":"https://drug.fda.moph.go.th/media.php?id=730360834919899136&amp;name=pil_Glipizide (TABLET 5 mg).pdf","published_date":"9/8/2023"},{"type":"SMPC","url":"https://drug.fda.moph.go.th/media.php?id=810176024078852096&amp;name=SMPC_Glipizide_Tablets.pdf","published_date":"21/11/2024"}]</x:v>
      </x:c>
      <x:c r="I143" s="31" t="str">
        <x:v>Draft</x:v>
      </x:c>
      <x:c r="J143" s="31" t="str">
        <x:v>5 mg</x:v>
      </x:c>
      <x:c r="K143" s="37" t="str">
        <x:v>https://drug.fda.moph.go.th/media.php?id=730360834919899136&amp;name=pil_Glipizide (TABLET 5 mg).pdf</x:v>
      </x:c>
      <x:c r="L143" s="37" t="str">
        <x:v>https://drug.fda.moph.go.th/media.php?id=810176024078852096&amp;name=SMPC_Glipizide_Tablets.pdf</x:v>
      </x:c>
      <x:c r="M143" s="31" t="str">
        <x:v>YES</x:v>
      </x:c>
      <x:c r="N143" s="37" t="str">
        <x:v>Clinical review required before Published</x:v>
      </x:c>
    </x:row>
    <x:row r="144">
      <x:c r="A144" s="31" t="str">
        <x:v>glucose</x:v>
      </x:c>
      <x:c r="B144" s="31" t="str">
        <x:v>Glucose</x:v>
      </x:c>
      <x:c r="C144" s="37" t="str">
        <x:v>รอตรวจสอบชื่อภาษาไทย</x:v>
      </x:c>
      <x:c r="D144" s="31" t="str">
        <x:v>รอตรวจสอบ</x:v>
      </x:c>
      <x:c r="E144" s="31" t="str">
        <x:v>[]</x:v>
      </x:c>
      <x:c r="F144" s="37" t="str">
        <x:v>ข้อมูลฉบับร่างจากเอกสารอ้างอิง อย. รอตรวจทานโดยผู้เชี่ยวชาญ</x:v>
      </x:c>
      <x:c r="G144" s="32" t="b">
        <x:v>0</x:v>
      </x:c>
      <x:c r="H144" s="37" t="str">
        <x:v>[{"type":"SMPC","url":"https://drug.fda.moph.go.th/media.php?id=810178026569605120&amp;name=SMPC_Glucose_5_Solution for Infusion.pdf","published_date":"22/11/2024"},{"type":"SMPC","url":"https://drug.fda.moph.go.th/media.php?id=810178343201808384&amp;name=SMPC_Glucose_10_Solution for Infusion.pdf","published_date":"22/11/2024"},{"type":"SMPC","url":"https://drug.fda.moph.go.th/media.php?id=810178680155414528&amp;name=SMPC_Glucose_Solution for Infusion.pdf","published_date":"22/11/2024"}]</x:v>
      </x:c>
      <x:c r="I144" s="31" t="str">
        <x:v>Draft</x:v>
      </x:c>
      <x:c r="J144" s="31" t="str">
        <x:v>5% w/v; 10% w/v</x:v>
      </x:c>
      <x:c r="K144" s="37"/>
      <x:c r="L144" s="37" t="str">
        <x:v>https://drug.fda.moph.go.th/media.php?id=810178026569605120&amp;name=SMPC_Glucose_5_Solution for Infusion.pdf
https://drug.fda.moph.go.th/media.php?id=810178343201808384&amp;name=SMPC_Glucose_10_Solution for Infusion.pdf
https://drug.fda.moph.go.th/media.php?id=810178680155414528&amp;name=SMPC_Glucose_Solution for Infusion.pdf</x:v>
      </x:c>
      <x:c r="M144" s="31" t="str">
        <x:v>YES</x:v>
      </x:c>
      <x:c r="N144" s="37" t="str">
        <x:v>Clinical review required before Published</x:v>
      </x:c>
    </x:row>
    <x:row r="145">
      <x:c r="A145" s="31" t="str">
        <x:v>glucose_monohydrate_and</x:v>
      </x:c>
      <x:c r="B145" s="31" t="str">
        <x:v>Glucose monohydrate and Sodium chloride</x:v>
      </x:c>
      <x:c r="C145" s="37" t="str">
        <x:v>รอตรวจสอบชื่อภาษาไทย</x:v>
      </x:c>
      <x:c r="D145" s="31" t="str">
        <x:v>รอตรวจสอบ</x:v>
      </x:c>
      <x:c r="E145" s="31" t="str">
        <x:v>[]</x:v>
      </x:c>
      <x:c r="F145" s="37" t="str">
        <x:v>ข้อมูลฉบับร่างจากเอกสารอ้างอิง อย. รอตรวจทานโดยผู้เชี่ยวชาญ</x:v>
      </x:c>
      <x:c r="G145" s="32" t="b">
        <x:v>0</x:v>
      </x:c>
      <x:c r="H145" s="37" t="str">
        <x:v>[{"type":"SMPC","url":"https://drug.fda.moph.go.th/media.php?id=810179446651887616&amp;name=SMPC_Glucose monohydrate+Sodium chloride_Intravenous Fluid.pdf","published_date":"22/11/2024"}]</x:v>
      </x:c>
      <x:c r="I145" s="31" t="str">
        <x:v>Draft</x:v>
      </x:c>
      <x:c r="J145" s="31"/>
      <x:c r="K145" s="37"/>
      <x:c r="L145" s="37" t="str">
        <x:v>https://drug.fda.moph.go.th/media.php?id=810179446651887616&amp;name=SMPC_Glucose monohydrate+Sodium chloride_Intravenous Fluid.pdf</x:v>
      </x:c>
      <x:c r="M145" s="31" t="str">
        <x:v>YES</x:v>
      </x:c>
      <x:c r="N145" s="37" t="str">
        <x:v>Clinical review required before Published</x:v>
      </x:c>
    </x:row>
    <x:row r="146">
      <x:c r="A146" s="31" t="str">
        <x:v>glycerin</x:v>
      </x:c>
      <x:c r="B146" s="31" t="str">
        <x:v>Glycerin</x:v>
      </x:c>
      <x:c r="C146" s="37" t="str">
        <x:v>แพทย์หากท่านมีภาวะต่อไปนี้</x:v>
      </x:c>
      <x:c r="D146" s="31" t="str">
        <x:v>รอตรวจสอบ</x:v>
      </x:c>
      <x:c r="E146" s="31" t="str">
        <x:v>[]</x:v>
      </x:c>
      <x:c r="F146" s="37" t="str">
        <x:v>ยาระบาย บรรเทาอาการท ้ องผูก</x:v>
      </x:c>
      <x:c r="G146" s="32" t="b">
        <x:v>0</x:v>
      </x:c>
      <x:c r="H146" s="37" t="str">
        <x:v>[{"type":"PIL","url":"https://drug.fda.moph.go.th/media.php?id=733947237566128128&amp;name=PIL ยาระบาย Glycerin ชนิดเหน็บทวาร (15032024).pdf","published_date":"15/3/2024"}]</x:v>
      </x:c>
      <x:c r="I146" s="31" t="str">
        <x:v>Draft</x:v>
      </x:c>
      <x:c r="J146" s="31"/>
      <x:c r="K146" s="37" t="str">
        <x:v>https://drug.fda.moph.go.th/media.php?id=733947237566128128&amp;name=PIL ยาระบาย Glycerin ชนิดเหน็บทวาร (15032024).pdf</x:v>
      </x:c>
      <x:c r="L146" s="37"/>
      <x:c r="M146" s="31" t="str">
        <x:v>YES</x:v>
      </x:c>
      <x:c r="N146" s="37" t="str">
        <x:v>Clinical review required before Published</x:v>
      </x:c>
    </x:row>
    <x:row r="147">
      <x:c r="A147" s="31" t="str">
        <x:v>glycerol</x:v>
      </x:c>
      <x:c r="B147" s="31" t="str">
        <x:v>Glycerol</x:v>
      </x:c>
      <x:c r="C147" s="37" t="str">
        <x:v>รอตรวจสอบชื่อภาษาไทย</x:v>
      </x:c>
      <x:c r="D147" s="31" t="str">
        <x:v>รอตรวจสอบ</x:v>
      </x:c>
      <x:c r="E147" s="31" t="str">
        <x:v>[]</x:v>
      </x:c>
      <x:c r="F147" s="37" t="str">
        <x:v>ข้อมูลฉบับร่างจากเอกสารอ้างอิง อย. รอตรวจทานโดยผู้เชี่ยวชาญ</x:v>
      </x:c>
      <x:c r="G147" s="32" t="b">
        <x:v>0</x:v>
      </x:c>
      <x:c r="H147" s="37" t="str">
        <x:v>[{"type":"SMPC","url":"https://drug.fda.moph.go.th/media.php?id=810180307797024768&amp;name=SMPC_Glycerol_suppositories.pdf","published_date":"22/11/2024"}]</x:v>
      </x:c>
      <x:c r="I147" s="31" t="str">
        <x:v>Draft</x:v>
      </x:c>
      <x:c r="J147" s="31"/>
      <x:c r="K147" s="37"/>
      <x:c r="L147" s="37" t="str">
        <x:v>https://drug.fda.moph.go.th/media.php?id=810180307797024768&amp;name=SMPC_Glycerol_suppositories.pdf</x:v>
      </x:c>
      <x:c r="M147" s="31" t="str">
        <x:v>YES</x:v>
      </x:c>
      <x:c r="N147" s="37" t="str">
        <x:v>Clinical review required before Published</x:v>
      </x:c>
    </x:row>
    <x:row r="148">
      <x:c r="A148" s="31" t="str">
        <x:v>griseofulvin</x:v>
      </x:c>
      <x:c r="B148" s="31" t="str">
        <x:v>Griseofulvin</x:v>
      </x:c>
      <x:c r="C148" s="37" t="str">
        <x:v>กริ-ซิ-โอ-ฟูล-วิน</x:v>
      </x:c>
      <x:c r="D148" s="31" t="str">
        <x:v>รอตรวจสอบ</x:v>
      </x:c>
      <x:c r="E148" s="31" t="str">
        <x:v>[]</x:v>
      </x:c>
      <x:c r="F148" s="37" t="str">
        <x:v>ใช ้เพื่อรักษาการติดเชื้อรา ที่ได ้ รับการวินิจฉัยว่าต ้องใช ้ ยานี้</x:v>
      </x:c>
      <x:c r="G148" s="32" t="b">
        <x:v>0</x:v>
      </x:c>
      <x:c r="H148" s="37" t="str">
        <x:v>[{"type":"PIL","url":"https://drug.fda.moph.go.th/media.php?id=730360993967906816&amp;name=pil_Griseofulvin (TABLETS).pdf","published_date":"9/11/2023"},{"type":"SMPC","url":"https://drug.fda.moph.go.th/media.php?id=810180959625420800&amp;name=SMPC_Griseofulvin_Film-coated tablet.pdf","published_date":"21/11/2024"}]</x:v>
      </x:c>
      <x:c r="I148" s="31" t="str">
        <x:v>Draft</x:v>
      </x:c>
      <x:c r="J148" s="31"/>
      <x:c r="K148" s="37" t="str">
        <x:v>https://drug.fda.moph.go.th/media.php?id=730360993967906816&amp;name=pil_Griseofulvin (TABLETS).pdf</x:v>
      </x:c>
      <x:c r="L148" s="37" t="str">
        <x:v>https://drug.fda.moph.go.th/media.php?id=810180959625420800&amp;name=SMPC_Griseofulvin_Film-coated tablet.pdf</x:v>
      </x:c>
      <x:c r="M148" s="31" t="str">
        <x:v>YES</x:v>
      </x:c>
      <x:c r="N148" s="37" t="str">
        <x:v>Clinical review required before Published</x:v>
      </x:c>
    </x:row>
    <x:row r="149">
      <x:c r="A149" s="31" t="str">
        <x:v>guaifenesin</x:v>
      </x:c>
      <x:c r="B149" s="31" t="str">
        <x:v>Guaifenesin</x:v>
      </x:c>
      <x:c r="C149" s="37" t="str">
        <x:v>ก ัวไอเฟนีซิน</x:v>
      </x:c>
      <x:c r="D149" s="31" t="str">
        <x:v>รอตรวจสอบ</x:v>
      </x:c>
      <x:c r="E149" s="31" t="str">
        <x:v>[]</x:v>
      </x:c>
      <x:c r="F149" s="37" t="str">
        <x:v>ใช ้เพื่อขับเสมหะในทางเดินหายใจ บรรเทาอาการไอที่ มีเสมหะ</x:v>
      </x:c>
      <x:c r="G149" s="32" t="b">
        <x:v>0</x:v>
      </x:c>
      <x:c r="H149" s="37" t="str">
        <x:v>[{"type":"SMPC","url":"https://drug.fda.moph.go.th/media.php?id=810181310525087744&amp;name=SMPC_Guaifenesin_Syrup.pdf","published_date":"26/11/2024"},{"type":"PIL","url":"https://drug.fda.moph.go.th/media.php?id=862918393341288448&amp;name=28. Guaifenesin_syrup_PIL_Final.pdf","published_date":"13/2/2026"}]</x:v>
      </x:c>
      <x:c r="I149" s="31" t="str">
        <x:v>Draft</x:v>
      </x:c>
      <x:c r="J149" s="31"/>
      <x:c r="K149" s="37" t="str">
        <x:v>https://drug.fda.moph.go.th/media.php?id=862918393341288448&amp;name=28. Guaifenesin_syrup_PIL_Final.pdf</x:v>
      </x:c>
      <x:c r="L149" s="37" t="str">
        <x:v>https://drug.fda.moph.go.th/media.php?id=810181310525087744&amp;name=SMPC_Guaifenesin_Syrup.pdf</x:v>
      </x:c>
      <x:c r="M149" s="31" t="str">
        <x:v>YES</x:v>
      </x:c>
      <x:c r="N149" s="37" t="str">
        <x:v>Clinical review required before Published</x:v>
      </x:c>
    </x:row>
    <x:row r="150">
      <x:c r="A150" s="31" t="str">
        <x:v>haloperidol</x:v>
      </x:c>
      <x:c r="B150" s="31" t="str">
        <x:v>Haloperidol</x:v>
      </x:c>
      <x:c r="C150" s="37" t="str">
        <x:v>ฮา-โล-เพอ-ริ-ดอล</x:v>
      </x:c>
      <x:c r="D150" s="31" t="str">
        <x:v>รอตรวจสอบ</x:v>
      </x:c>
      <x:c r="E150" s="31" t="str">
        <x:v>[]</x:v>
      </x:c>
      <x:c r="F150" s="37" t="str">
        <x:v>ในผู ้ ใหญ่อายุ 18 ปี ขึ้นไป ● ใช ้รักษาโรคจิตเภท ● ใช ้รักษาโรคอารมณ์สองขั้วหรือโรคไบโพลาร์ ● ใช ้รักษาอาการสับสนเฉียบพลันโดยใช ้เมื่อการรักษา โดยไม่ใช ้ยาล ้มเหลว ● ใช ้รักษาพฤติกรรมก ้าวร ้าวจากโรคอัลไซเมอร์ ● ใช ้รักษาการเคลื่อนไหวและการส่งเสียงผิดปกติ (โรคทูเร็ตต์) ● ใช ้รักษาโรคทางพันธุกรรมที่ท าให ้เซลล์ประสาท ในสมองเสื่อม (โรคฮันติงตัน) ในเด็กและวัยรุ่น ● ใช ้รักษาโรคจิตเภท ในอายุ 13-17 ปี ● ใช ้รักษาพฤติกรรมก ้าวร ้าวจากภาวะออทิสซึมในอายุ 6-17 ปี ● ใช ้รักษาการเคลื่อนไหว และการส่งเสียงผ</x:v>
      </x:c>
      <x:c r="G150" s="32" t="b">
        <x:v>0</x:v>
      </x:c>
      <x:c r="H150" s="37" t="str">
        <x:v>[{"type":"PIL","url":"https://drug.fda.moph.go.th/media.php?id=808561551207440384&amp;name=Haloperidol_TABLET_PIL.pdf","published_date":"9/4/2025"},{"type":"SMPC","url":"https://drug.fda.moph.go.th/media.php?id=808571302360260608&amp;name=SmPC - Haloperidol ORAL SOLUTION.pdf","published_date":null}]</x:v>
      </x:c>
      <x:c r="I150" s="31" t="str">
        <x:v>Draft</x:v>
      </x:c>
      <x:c r="J150" s="31"/>
      <x:c r="K150" s="37" t="str">
        <x:v>https://drug.fda.moph.go.th/media.php?id=808561551207440384&amp;name=Haloperidol_TABLET_PIL.pdf</x:v>
      </x:c>
      <x:c r="L150" s="37" t="str">
        <x:v>https://drug.fda.moph.go.th/media.php?id=808571302360260608&amp;name=SmPC - Haloperidol ORAL SOLUTION.pdf</x:v>
      </x:c>
      <x:c r="M150" s="31" t="str">
        <x:v>YES</x:v>
      </x:c>
      <x:c r="N150" s="37" t="str">
        <x:v>Clinical review required before Published</x:v>
      </x:c>
    </x:row>
    <x:row r="151">
      <x:c r="A151" s="31" t="str">
        <x:v>hydrochlorothiazide_amiloride</x:v>
      </x:c>
      <x:c r="B151" s="31" t="str">
        <x:v>Hydrochlorothiazide + Amiloride</x:v>
      </x:c>
      <x:c r="C151" s="37" t="str">
        <x:v>ไฮโดรคลอโรไทอะไซด์ ผสม อะมิโลไรด์ ชนิดเม็ด</x:v>
      </x:c>
      <x:c r="D151" s="31" t="str">
        <x:v>รอตรวจสอบ</x:v>
      </x:c>
      <x:c r="E151" s="31" t="str">
        <x:v>[]</x:v>
      </x:c>
      <x:c r="F151" s="37" t="str">
        <x:v>ใช ้รักษาภาวะความดันโลหิตสูง • ใช ้รักษาโรคหัวใจล ้ มเหลว • ใช ้รักษาผู ้ ป ่ วยโรคตับแข็งที่มีภาวะท ้ องมาน</x:v>
      </x:c>
      <x:c r="G151" s="32" t="b">
        <x:v>0</x:v>
      </x:c>
      <x:c r="H151" s="37" t="str">
        <x:v>[{"type":"PIL","url":"https://drug.fda.moph.go.th/media.php?id=730361608181784576&amp;name=pil_Hydrochlorothiazide + Amiloride (TABLET).pdf","published_date":"9/8/2023"},{"type":"SMPC","url":"https://drug.fda.moph.go.th/media.php?id=810380894354415616&amp;name=SMPC_Amiloride+Hydrochlorothiazide _Tablets.pdf","published_date":"27/11/2024"}]</x:v>
      </x:c>
      <x:c r="I151" s="31" t="str">
        <x:v>Draft</x:v>
      </x:c>
      <x:c r="J151" s="31"/>
      <x:c r="K151" s="37" t="str">
        <x:v>https://drug.fda.moph.go.th/media.php?id=730361608181784576&amp;name=pil_Hydrochlorothiazide + Amiloride (TABLET).pdf</x:v>
      </x:c>
      <x:c r="L151" s="37" t="str">
        <x:v>https://drug.fda.moph.go.th/media.php?id=810380894354415616&amp;name=SMPC_Amiloride+Hydrochlorothiazide _Tablets.pdf</x:v>
      </x:c>
      <x:c r="M151" s="31" t="str">
        <x:v>YES</x:v>
      </x:c>
      <x:c r="N151" s="37" t="str">
        <x:v>Clinical review required before Published</x:v>
      </x:c>
    </x:row>
    <x:row r="152">
      <x:c r="A152" s="31" t="str">
        <x:v>hydrocortisone</x:v>
      </x:c>
      <x:c r="B152" s="31" t="str">
        <x:v>Hydrocortisone acetate</x:v>
      </x:c>
      <x:c r="C152" s="37" t="str">
        <x:v>ไฮ-โดร-คอร์-ติ-โซน-อะ-ซี-เทต</x:v>
      </x:c>
      <x:c r="D152" s="31" t="str">
        <x:v>รอตรวจสอบ</x:v>
      </x:c>
      <x:c r="E152" s="31" t="str">
        <x:v>[]</x:v>
      </x:c>
      <x:c r="F152" s="37" t="str">
        <x:v>ใช ้เพื่อลดอาการ แดง คัน ที่เกิดจากการอักเสบบริเวณ ผิวหนัง</x:v>
      </x:c>
      <x:c r="G152" s="32" t="b">
        <x:v>0</x:v>
      </x:c>
      <x:c r="H152" s="37" t="str">
        <x:v>[{"type":"PIL","url":"https://drug.fda.moph.go.th/media.php?id=730361797047099392&amp;name=pil_Hydrocortisone acetate(CREAM).pdf","published_date":"9/11/2023"}]</x:v>
      </x:c>
      <x:c r="I152" s="31" t="str">
        <x:v>Draft</x:v>
      </x:c>
      <x:c r="J152" s="31"/>
      <x:c r="K152" s="37" t="str">
        <x:v>https://drug.fda.moph.go.th/media.php?id=730361797047099392&amp;name=pil_Hydrocortisone acetate(CREAM).pdf</x:v>
      </x:c>
      <x:c r="L152" s="37"/>
      <x:c r="M152" s="31" t="str">
        <x:v>YES</x:v>
      </x:c>
      <x:c r="N152" s="37" t="str">
        <x:v>Clinical review required before Published</x:v>
      </x:c>
    </x:row>
    <x:row r="153">
      <x:c r="A153" s="31" t="str">
        <x:v>hydrocortisone_benzocaine_zinc_oxide</x:v>
      </x:c>
      <x:c r="B153" s="31" t="str">
        <x:v>Hydrocortisone acetate + Benzocaine + Zinc oxide</x:v>
      </x:c>
      <x:c r="C153" s="37" t="str">
        <x:v>รอตรวจสอบชื่อภาษาไทย</x:v>
      </x:c>
      <x:c r="D153" s="31" t="str">
        <x:v>รอตรวจสอบ</x:v>
      </x:c>
      <x:c r="E153" s="31" t="str">
        <x:v>[]</x:v>
      </x:c>
      <x:c r="F153" s="37" t="str">
        <x:v>ใช ้เพื่อบรรเทาอาการอักเสบ เจ็บ คัน ระคายเคือง ที่เกิด จากริดสีดวงทวาร หรือแผลบริเวณทวารหนัก</x:v>
      </x:c>
      <x:c r="G153" s="32" t="b">
        <x:v>0</x:v>
      </x:c>
      <x:c r="H153" s="37" t="str">
        <x:v>[{"type":"PIL","url":"https://drug.fda.moph.go.th/media.php?id=730361976139685888&amp;name=pil_Hydrocortisone acetate + Benzocaine + Zinc oxide(OINTMENT).pdf","published_date":"9/11/2023"},{"type":"PIL","url":"https://drug.fda.moph.go.th/media.php?id=730362134625656832&amp;name=pil_Hydrocortisone acetate + Benzocaine + Zinc oxide(SUPPOSITORIES RECTAL).pdf","published_date":"9/11/2023"}]</x:v>
      </x:c>
      <x:c r="I153" s="31" t="str">
        <x:v>Draft</x:v>
      </x:c>
      <x:c r="J153" s="31"/>
      <x:c r="K153" s="37" t="str">
        <x:v>https://drug.fda.moph.go.th/media.php?id=730361976139685888&amp;name=pil_Hydrocortisone acetate + Benzocaine + Zinc oxide(OINTMENT).pdf
https://drug.fda.moph.go.th/media.php?id=730362134625656832&amp;name=pil_Hydrocortisone acetate + Benzocaine + Zinc oxide(SUPPOSITORIES RECTAL).pdf</x:v>
      </x:c>
      <x:c r="L153" s="37"/>
      <x:c r="M153" s="31" t="str">
        <x:v>YES</x:v>
      </x:c>
      <x:c r="N153" s="37" t="str">
        <x:v>Clinical review required before Published</x:v>
      </x:c>
    </x:row>
    <x:row r="154">
      <x:c r="A154" s="31" t="str">
        <x:v>hydrocortisone_cinchocaine</x:v>
      </x:c>
      <x:c r="B154" s="31" t="str">
        <x:v>Hydrocortisone + Cinchocaine hydrochloride</x:v>
      </x:c>
      <x:c r="C154" s="37" t="str">
        <x:v>รอตรวจสอบชื่อภาษาไทย</x:v>
      </x:c>
      <x:c r="D154" s="31" t="str">
        <x:v>รอตรวจสอบ</x:v>
      </x:c>
      <x:c r="E154" s="31" t="str">
        <x:v>[]</x:v>
      </x:c>
      <x:c r="F154" s="37" t="str">
        <x:v>ข้อมูลฉบับร่างจากเอกสารอ้างอิง อย. รอตรวจทานโดยผู้เชี่ยวชาญ</x:v>
      </x:c>
      <x:c r="G154" s="32" t="b">
        <x:v>0</x:v>
      </x:c>
      <x:c r="H154" s="37" t="str">
        <x:v>[{"type":"PIL","url":"https://drug.fda.moph.go.th/media.php?id=904601734947676160&amp;name=9. Ref PIL_Hydrocortisone 5 mg+cinchocaine 5 mg suppo.pdf","published_date":"8/6/2026"},{"type":"SMPC","url":"https://drug.fda.moph.go.th/media.php?id=904601733513224192&amp;name=9. Ref SmPC_Hydrocortisone 5 mg+cinchocaine 5 mg suppo.pdf","published_date":"8/6/2026"}]</x:v>
      </x:c>
      <x:c r="I154" s="31" t="str">
        <x:v>Draft</x:v>
      </x:c>
      <x:c r="J154" s="31"/>
      <x:c r="K154" s="37" t="str">
        <x:v>https://drug.fda.moph.go.th/media.php?id=904601734947676160&amp;name=9. Ref PIL_Hydrocortisone 5 mg+cinchocaine 5 mg suppo.pdf</x:v>
      </x:c>
      <x:c r="L154" s="37" t="str">
        <x:v>https://drug.fda.moph.go.th/media.php?id=904601733513224192&amp;name=9. Ref SmPC_Hydrocortisone 5 mg+cinchocaine 5 mg suppo.pdf</x:v>
      </x:c>
      <x:c r="M154" s="31" t="str">
        <x:v>YES</x:v>
      </x:c>
      <x:c r="N154" s="37" t="str">
        <x:v>Clinical review required before Published</x:v>
      </x:c>
    </x:row>
    <x:row r="155">
      <x:c r="A155" s="31" t="str">
        <x:v>hydrogen_peroxide</x:v>
      </x:c>
      <x:c r="B155" s="31" t="str">
        <x:v>Hydrogen peroxide</x:v>
      </x:c>
      <x:c r="C155" s="37" t="str">
        <x:v>รอตรวจสอบชื่อภาษาไทย</x:v>
      </x:c>
      <x:c r="D155" s="31" t="str">
        <x:v>รอตรวจสอบ</x:v>
      </x:c>
      <x:c r="E155" s="31" t="str">
        <x:v>[]</x:v>
      </x:c>
      <x:c r="F155" s="37" t="str">
        <x:v>ข้อมูลฉบับร่างจากเอกสารอ้างอิง อย. รอตรวจทานโดยผู้เชี่ยวชาญ</x:v>
      </x:c>
      <x:c r="G155" s="32" t="b">
        <x:v>0</x:v>
      </x:c>
      <x:c r="H155" s="37" t="str">
        <x:v>[{"type":"SMPC","url":"https://drug.fda.moph.go.th/media.php?id=810381306692247552&amp;name=SMPC_Hydrogen peroxide_Solution.pdf","published_date":"22/11/2024"}]</x:v>
      </x:c>
      <x:c r="I155" s="31" t="str">
        <x:v>Draft</x:v>
      </x:c>
      <x:c r="J155" s="31"/>
      <x:c r="K155" s="37"/>
      <x:c r="L155" s="37" t="str">
        <x:v>https://drug.fda.moph.go.th/media.php?id=810381306692247552&amp;name=SMPC_Hydrogen peroxide_Solution.pdf</x:v>
      </x:c>
      <x:c r="M155" s="31" t="str">
        <x:v>YES</x:v>
      </x:c>
      <x:c r="N155" s="37" t="str">
        <x:v>Clinical review required before Published</x:v>
      </x:c>
    </x:row>
    <x:row r="156">
      <x:c r="A156" s="31" t="str">
        <x:v>hydroquinone</x:v>
      </x:c>
      <x:c r="B156" s="31" t="str">
        <x:v>Hydroquinone</x:v>
      </x:c>
      <x:c r="C156" s="37" t="str">
        <x:v>รอตรวจสอบชื่อภาษาไทย</x:v>
      </x:c>
      <x:c r="D156" s="31" t="str">
        <x:v>รอตรวจสอบ</x:v>
      </x:c>
      <x:c r="E156" s="31" t="str">
        <x:v>[]</x:v>
      </x:c>
      <x:c r="F156" s="37" t="str">
        <x:v>ข้อมูลฉบับร่างจากเอกสารอ้างอิง อย. รอตรวจทานโดยผู้เชี่ยวชาญ</x:v>
      </x:c>
      <x:c r="G156" s="32" t="b">
        <x:v>0</x:v>
      </x:c>
      <x:c r="H156" s="37" t="str">
        <x:v>[{"type":"SMPC","url":"https://drug.fda.moph.go.th/media.php?id=810381749510086656&amp;name=SMPC_Hydroquinone_Cream.pdf","published_date":"22/11/2024"}]</x:v>
      </x:c>
      <x:c r="I156" s="31" t="str">
        <x:v>Draft</x:v>
      </x:c>
      <x:c r="J156" s="31"/>
      <x:c r="K156" s="37"/>
      <x:c r="L156" s="37" t="str">
        <x:v>https://drug.fda.moph.go.th/media.php?id=810381749510086656&amp;name=SMPC_Hydroquinone_Cream.pdf</x:v>
      </x:c>
      <x:c r="M156" s="31" t="str">
        <x:v>YES</x:v>
      </x:c>
      <x:c r="N156" s="37" t="str">
        <x:v>Clinical review required before Published</x:v>
      </x:c>
    </x:row>
    <x:row r="157">
      <x:c r="A157" s="31" t="str">
        <x:v>hydroxyzine</x:v>
      </x:c>
      <x:c r="B157" s="31" t="str">
        <x:v>Hydroxyzine hydrochloride</x:v>
      </x:c>
      <x:c r="C157" s="37" t="str">
        <x:v>ไฮ-ดรอก-ซี-ซีน</x:v>
      </x:c>
      <x:c r="D157" s="31" t="str">
        <x:v>รอตรวจสอบ</x:v>
      </x:c>
      <x:c r="E157" s="31" t="str">
        <x:v>[]</x:v>
      </x:c>
      <x:c r="F157" s="37" t="str">
        <x:v>● ใช ้เพื่อบรรเทาอาการแพ ้บริเวณผิวหนัง เช่น ผื่นคัน ลมพิษ ผื่นภูมิแพ ้ ผิวหนัง ● ใช ้เพื่อรักษาอาการวิตกกังวลในผู ้ใหญ่</x:v>
      </x:c>
      <x:c r="G157" s="32" t="b">
        <x:v>0</x:v>
      </x:c>
      <x:c r="H157" s="37" t="str">
        <x:v>[{"type":"PIL","url":"https://drug.fda.moph.go.th/media.php?id=808579446234816512&amp;name=Hydroxyzine_compressedTabletFilmCoatedTablet_PIL.pdf","published_date":"19/3/2025"},{"type":"SMPC","url":"https://drug.fda.moph.go.th/media.php?id=810382200729116672&amp;name=SMPC_Hydroxyzine_Film-coated tablets.pdf","published_date":"27/11/2024"}]</x:v>
      </x:c>
      <x:c r="I157" s="31" t="str">
        <x:v>Draft</x:v>
      </x:c>
      <x:c r="J157" s="31"/>
      <x:c r="K157" s="37" t="str">
        <x:v>https://drug.fda.moph.go.th/media.php?id=808579446234816512&amp;name=Hydroxyzine_compressedTabletFilmCoatedTablet_PIL.pdf</x:v>
      </x:c>
      <x:c r="L157" s="37" t="str">
        <x:v>https://drug.fda.moph.go.th/media.php?id=810382200729116672&amp;name=SMPC_Hydroxyzine_Film-coated tablets.pdf</x:v>
      </x:c>
      <x:c r="M157" s="31" t="str">
        <x:v>YES</x:v>
      </x:c>
      <x:c r="N157" s="37" t="str">
        <x:v>Clinical review required before Published</x:v>
      </x:c>
    </x:row>
    <x:row r="158">
      <x:c r="A158" s="31" t="str">
        <x:v>hyoscine_n_butylbromide</x:v>
      </x:c>
      <x:c r="B158" s="31" t="str">
        <x:v>Hyoscine-n-butylbromide</x:v>
      </x:c>
      <x:c r="C158" s="37" t="str">
        <x:v>ไฮออสซีน-เอ็น-บิวทิลโบรไมด์</x:v>
      </x:c>
      <x:c r="D158" s="31" t="str">
        <x:v>รอตรวจสอบ</x:v>
      </x:c>
      <x:c r="E158" s="31" t="str">
        <x:v>[]</x:v>
      </x:c>
      <x:c r="F158" s="37" t="str">
        <x:v>ใช ้รักษาอาการปวดเกร็งของกระเพาะอาหารและ ล าไส ้ • ใช ้รักษาอาการปวดเกร็งของทางเดินปัสสาวะ • ใช ้รักษากลุ่มอาการโรคล าไส ้แปรปรวน</x:v>
      </x:c>
      <x:c r="G158" s="32" t="b">
        <x:v>0</x:v>
      </x:c>
      <x:c r="H158" s="37" t="str">
        <x:v>[{"type":"PIL","url":"https://drug.fda.moph.go.th/media.php?id=730362820071399424&amp;name=pil_Hyoscine-n-butylbromide (SYRUP 5 mg, 5 ml).pdf","published_date":"5/4/2023"},{"type":"PIL","url":"https://drug.fda.moph.go.th/media.php?id=730362780040962048&amp;name=pil_Hyoscine-n-butylbromide (TABLET 10 mg).pdf","published_date":"5/4/2023"},{"type":"SMPC","url":"https://drug.fda.moph.go.th/media.php?id=810382625893130240&amp;name=SMPC_Hyoscine butylbromide_coated tablets.pdf","published_date":"20/11/2024"},{"type":"SMPC","url":"https://drug.fda.moph.go.th/media.php?id=810383049660440576&amp;name=SMPC_Hyoscine butylbromide_Solution for Injection.pdf","published_date":"20/11/2024"}]</x:v>
      </x:c>
      <x:c r="I158" s="31" t="str">
        <x:v>Draft</x:v>
      </x:c>
      <x:c r="J158" s="31" t="str">
        <x:v>5 mg/5 ml; 10 mg</x:v>
      </x:c>
      <x:c r="K158" s="37" t="str">
        <x:v>https://drug.fda.moph.go.th/media.php?id=730362820071399424&amp;name=pil_Hyoscine-n-butylbromide (SYRUP 5 mg, 5 ml).pdf
https://drug.fda.moph.go.th/media.php?id=730362780040962048&amp;name=pil_Hyoscine-n-butylbromide (TABLET 10 mg).pdf</x:v>
      </x:c>
      <x:c r="L158" s="37" t="str">
        <x:v>https://drug.fda.moph.go.th/media.php?id=810382625893130240&amp;name=SMPC_Hyoscine butylbromide_coated tablets.pdf
https://drug.fda.moph.go.th/media.php?id=810383049660440576&amp;name=SMPC_Hyoscine butylbromide_Solution for Injection.pdf</x:v>
      </x:c>
      <x:c r="M158" s="31" t="str">
        <x:v>YES</x:v>
      </x:c>
      <x:c r="N158" s="37" t="str">
        <x:v>Clinical review required before Published</x:v>
      </x:c>
    </x:row>
    <x:row r="159">
      <x:c r="A159" s="31" t="str">
        <x:v>ibuprofen</x:v>
      </x:c>
      <x:c r="B159" s="31" t="str">
        <x:v>Ibuprofen</x:v>
      </x:c>
      <x:c r="C159" s="37" t="str">
        <x:v>ไอ-บู-โพร-เฟน</x:v>
      </x:c>
      <x:c r="D159" s="31" t="str">
        <x:v>รอตรวจสอบ</x:v>
      </x:c>
      <x:c r="E159" s="31" t="str">
        <x:v>[]</x:v>
      </x:c>
      <x:c r="F159" s="37" t="str">
        <x:v>● ใช ้เพื่อบรรเทาอาการปวด หรือลดการอักเสบ ที่เกิดขึ้นจากโรคหรืออาการต่อไปนี้ เช่น o โรคข ้ออักเสบรูมาตอยด์ โรคข ้อเสื่อม o เอ็นอักเสบ กล ้ามเนื้ออักเสบ ปวดหลังส่วนล่าง กระดูกหักหรือกระดูกเคลื่อน o อาการปวดช่วงมีประจ าเดือน o อาการปวดหลังจากผ่าตัด o อาการปวดฟัน ● ใช ้เพื่อลดไข ้</x:v>
      </x:c>
      <x:c r="G159" s="32" t="b">
        <x:v>0</x:v>
      </x:c>
      <x:c r="H159" s="37" t="str">
        <x:v>[{"type":"PIL","url":"https://drug.fda.moph.go.th/media.php?id=808580724096638976&amp;name=Ibuprofen_filmcotedtabletCapsulehard_PIL.pdf","published_date":"19/3/2025"},{"type":"SMPC","url":"https://drug.fda.moph.go.th/media.php?id=810383770954899456&amp;name=SMPC_Ibuprofen_capsules.pdf","published_date":"27/11/2024"},{"type":"PIL","url":"https://drug.fda.moph.go.th/media.php?id=808580915113631744&amp;name=Ibuprofen_suspensionSyrup_PIL.pdf","published_date":"19/3/2025"}]</x:v>
      </x:c>
      <x:c r="I159" s="31" t="str">
        <x:v>Draft</x:v>
      </x:c>
      <x:c r="J159" s="31"/>
      <x:c r="K159" s="37" t="str">
        <x:v>https://drug.fda.moph.go.th/media.php?id=808580724096638976&amp;name=Ibuprofen_filmcotedtabletCapsulehard_PIL.pdf
https://drug.fda.moph.go.th/media.php?id=808580915113631744&amp;name=Ibuprofen_suspensionSyrup_PIL.pdf</x:v>
      </x:c>
      <x:c r="L159" s="37" t="str">
        <x:v>https://drug.fda.moph.go.th/media.php?id=810383770954899456&amp;name=SMPC_Ibuprofen_capsules.pdf</x:v>
      </x:c>
      <x:c r="M159" s="31" t="str">
        <x:v>YES</x:v>
      </x:c>
      <x:c r="N159" s="37" t="str">
        <x:v>Clinical review required before Published</x:v>
      </x:c>
    </x:row>
    <x:row r="160">
      <x:c r="A160" s="31" t="str">
        <x:v>imipramine</x:v>
      </x:c>
      <x:c r="B160" s="31" t="str">
        <x:v>imipramine</x:v>
      </x:c>
      <x:c r="C160" s="37" t="str">
        <x:v>อิ-มิ-พรา-มีน-ไฮ-โดร-คลอ-ไรด์</x:v>
      </x:c>
      <x:c r="D160" s="31" t="str">
        <x:v>รอตรวจสอบ</x:v>
      </x:c>
      <x:c r="E160" s="31" t="str">
        <x:v>[]</x:v>
      </x:c>
      <x:c r="F160" s="37" t="str">
        <x:v>● ใช ้รักษาโรคซึมเศร ้า ● ใช ้รักษาอาการปัสสาวะรดที่นอน ในเด็กอายุตั้งแต่ 6 ปีขึ้นไป</x:v>
      </x:c>
      <x:c r="G160" s="32" t="b">
        <x:v>0</x:v>
      </x:c>
      <x:c r="H160" s="37" t="str">
        <x:v>[{"type":"PIL","url":"https://drug.fda.moph.go.th/media.php?id=862918385892204544&amp;name=44.Imipramine_tablet_PIL.pdf","published_date":"13/2/2026"}]</x:v>
      </x:c>
      <x:c r="I160" s="31" t="str">
        <x:v>Draft</x:v>
      </x:c>
      <x:c r="J160" s="31"/>
      <x:c r="K160" s="37" t="str">
        <x:v>https://drug.fda.moph.go.th/media.php?id=862918385892204544&amp;name=44.Imipramine_tablet_PIL.pdf</x:v>
      </x:c>
      <x:c r="L160" s="37"/>
      <x:c r="M160" s="31" t="str">
        <x:v>YES</x:v>
      </x:c>
      <x:c r="N160" s="37" t="str">
        <x:v>Clinical review required before Published</x:v>
      </x:c>
    </x:row>
    <x:row r="161">
      <x:c r="A161" s="31" t="str">
        <x:v>indapamide</x:v>
      </x:c>
      <x:c r="B161" s="31" t="str">
        <x:v>Indapamide</x:v>
      </x:c>
      <x:c r="C161" s="37" t="str">
        <x:v>รอตรวจสอบชื่อภาษาไทย</x:v>
      </x:c>
      <x:c r="D161" s="31" t="str">
        <x:v>รอตรวจสอบ</x:v>
      </x:c>
      <x:c r="E161" s="31" t="str">
        <x:v>[]</x:v>
      </x:c>
      <x:c r="F161" s="37" t="str">
        <x:v>ข้อมูลฉบับร่างจากเอกสารอ้างอิง อย. รอตรวจทานโดยผู้เชี่ยวชาญ</x:v>
      </x:c>
      <x:c r="G161" s="32" t="b">
        <x:v>0</x:v>
      </x:c>
      <x:c r="H161" s="37" t="str">
        <x:v>[{"type":"SMPC","url":"https://drug.fda.moph.go.th/media.php?id=810384338393899008&amp;name=SMPC_Indapamide_Tablets.pdf","published_date":"22/11/2024"}]</x:v>
      </x:c>
      <x:c r="I161" s="31" t="str">
        <x:v>Draft</x:v>
      </x:c>
      <x:c r="J161" s="31"/>
      <x:c r="K161" s="37"/>
      <x:c r="L161" s="37" t="str">
        <x:v>https://drug.fda.moph.go.th/media.php?id=810384338393899008&amp;name=SMPC_Indapamide_Tablets.pdf</x:v>
      </x:c>
      <x:c r="M161" s="31" t="str">
        <x:v>YES</x:v>
      </x:c>
      <x:c r="N161" s="37" t="str">
        <x:v>Clinical review required before Published</x:v>
      </x:c>
    </x:row>
    <x:row r="162">
      <x:c r="A162" s="31" t="str">
        <x:v>indomethacin</x:v>
      </x:c>
      <x:c r="B162" s="31" t="str">
        <x:v>Indomethacin</x:v>
      </x:c>
      <x:c r="C162" s="37" t="str">
        <x:v>อิน-โด-เม-ทา-ซิน</x:v>
      </x:c>
      <x:c r="D162" s="31" t="str">
        <x:v>รอตรวจสอบ</x:v>
      </x:c>
      <x:c r="E162" s="31" t="str">
        <x:v>[]</x:v>
      </x:c>
      <x:c r="F162" s="37" t="str">
        <x:v>ใช ้เพื่อบรรเทาอาการปวด หรือลดการอักเสบ ที่เกิดขึ้น จากโรคหรืออาการต่อไปนี้ เช่น o โรคข ้ออักเสบรูมาตอยด์ โรคข ้อเสื่อม โรคเกาต์ o เอ็นอักเสบ กล ้ามเนื้ออักเสบ ปวดหลังส่วนล่าง กระดูกหักหรือกระดูกเคลื่อน o อาการปวดช่วงมีประจ าเดือน</x:v>
      </x:c>
      <x:c r="G162" s="32" t="b">
        <x:v>0</x:v>
      </x:c>
      <x:c r="H162" s="37" t="str">
        <x:v>[{"type":"PIL","url":"https://drug.fda.moph.go.th/media.php?id=808581297256669184&amp;name=Indomethacin_capsuleCompressedTabletFilmCoatedTabletSugarCoatedTablet_PIL.pdf","published_date":"19/3/2025"},{"type":"SMPC","url":"https://drug.fda.moph.go.th/media.php?id=810384768385556480&amp;name=SMPC_Indometacin_Capsules.pdf","published_date":"27/11/2024"}]</x:v>
      </x:c>
      <x:c r="I162" s="31" t="str">
        <x:v>Draft</x:v>
      </x:c>
      <x:c r="J162" s="31"/>
      <x:c r="K162" s="37" t="str">
        <x:v>https://drug.fda.moph.go.th/media.php?id=808581297256669184&amp;name=Indomethacin_capsuleCompressedTabletFilmCoatedTabletSugarCoatedTablet_PIL.pdf</x:v>
      </x:c>
      <x:c r="L162" s="37" t="str">
        <x:v>https://drug.fda.moph.go.th/media.php?id=810384768385556480&amp;name=SMPC_Indometacin_Capsules.pdf</x:v>
      </x:c>
      <x:c r="M162" s="31" t="str">
        <x:v>YES</x:v>
      </x:c>
      <x:c r="N162" s="37" t="str">
        <x:v>Clinical review required before Published</x:v>
      </x:c>
    </x:row>
    <x:row r="163">
      <x:c r="A163" s="31" t="str">
        <x:v>insulin</x:v>
      </x:c>
      <x:c r="B163" s="31" t="str">
        <x:v>Insulin</x:v>
      </x:c>
      <x:c r="C163" s="37" t="str">
        <x:v>รอตรวจสอบชื่อภาษาไทย</x:v>
      </x:c>
      <x:c r="D163" s="31" t="str">
        <x:v>รอตรวจสอบ</x:v>
      </x:c>
      <x:c r="E163" s="31" t="str">
        <x:v>[]</x:v>
      </x:c>
      <x:c r="F163" s="37" t="str">
        <x:v>ข้อมูลฉบับร่างจากเอกสารอ้างอิง อย. รอตรวจทานโดยผู้เชี่ยวชาญ</x:v>
      </x:c>
      <x:c r="G163" s="32" t="b">
        <x:v>0</x:v>
      </x:c>
      <x:c r="H163" s="37" t="str">
        <x:v>[{"type":"SMPC","url":"https://drug.fda.moph.go.th/media.php?id=810385239439450112&amp;name=SMPC_Insulin_suspension for injection in vial.pdf","published_date":"22/11/2024"}]</x:v>
      </x:c>
      <x:c r="I163" s="31" t="str">
        <x:v>Draft</x:v>
      </x:c>
      <x:c r="J163" s="31"/>
      <x:c r="K163" s="37"/>
      <x:c r="L163" s="37" t="str">
        <x:v>https://drug.fda.moph.go.th/media.php?id=810385239439450112&amp;name=SMPC_Insulin_suspension for injection in vial.pdf</x:v>
      </x:c>
      <x:c r="M163" s="31" t="str">
        <x:v>YES</x:v>
      </x:c>
      <x:c r="N163" s="37" t="str">
        <x:v>Clinical review required before Published</x:v>
      </x:c>
    </x:row>
    <x:row r="164">
      <x:c r="A164" s="31" t="str">
        <x:v>intermittent_peritoneal_dialysis</x:v>
      </x:c>
      <x:c r="B164" s="31" t="str">
        <x:v>Intermittent peritoneal dialysis</x:v>
      </x:c>
      <x:c r="C164" s="37" t="str">
        <x:v>รอตรวจสอบชื่อภาษาไทย</x:v>
      </x:c>
      <x:c r="D164" s="31" t="str">
        <x:v>รอตรวจสอบ</x:v>
      </x:c>
      <x:c r="E164" s="31" t="str">
        <x:v>[]</x:v>
      </x:c>
      <x:c r="F164" s="37" t="str">
        <x:v>ข้อมูลฉบับร่างจากเอกสารอ้างอิง อย. รอตรวจทานโดยผู้เชี่ยวชาญ</x:v>
      </x:c>
      <x:c r="G164" s="32" t="b">
        <x:v>0</x:v>
      </x:c>
      <x:c r="H164" s="37" t="str">
        <x:v>[{"type":"SMPC","url":"https://drug.fda.moph.go.th/media.php?id=810385732450525184&amp;name=SMPC_Intermittent peritoneal dialysis_solution for peritoneal dialysis.pdf","published_date":"22/11/2024"}]</x:v>
      </x:c>
      <x:c r="I164" s="31" t="str">
        <x:v>Draft</x:v>
      </x:c>
      <x:c r="J164" s="31"/>
      <x:c r="K164" s="37"/>
      <x:c r="L164" s="37" t="str">
        <x:v>https://drug.fda.moph.go.th/media.php?id=810385732450525184&amp;name=SMPC_Intermittent peritoneal dialysis_solution for peritoneal dialysis.pdf</x:v>
      </x:c>
      <x:c r="M164" s="31" t="str">
        <x:v>YES</x:v>
      </x:c>
      <x:c r="N164" s="37" t="str">
        <x:v>Clinical review required before Published</x:v>
      </x:c>
    </x:row>
    <x:row r="165">
      <x:c r="A165" s="31" t="str">
        <x:v>iobitridol</x:v>
      </x:c>
      <x:c r="B165" s="31" t="str">
        <x:v>Iobitridol</x:v>
      </x:c>
      <x:c r="C165" s="37" t="str">
        <x:v>รอตรวจสอบชื่อภาษาไทย</x:v>
      </x:c>
      <x:c r="D165" s="31" t="str">
        <x:v>รอตรวจสอบ</x:v>
      </x:c>
      <x:c r="E165" s="31" t="str">
        <x:v>[]</x:v>
      </x:c>
      <x:c r="F165" s="37" t="str">
        <x:v>ข้อมูลฉบับร่างจากเอกสารอ้างอิง อย. รอตรวจทานโดยผู้เชี่ยวชาญ</x:v>
      </x:c>
      <x:c r="G165" s="32" t="b">
        <x:v>0</x:v>
      </x:c>
      <x:c r="H165" s="37" t="str">
        <x:v>[{"type":"SMPC","url":"https://drug.fda.moph.go.th/media.php?id=810386169421504512&amp;name=SMPC_Iobitridol_Solution for Injection.pdf","published_date":"27/11/2024"},{"type":"SMPC","url":"https://drug.fda.moph.go.th/media.php?id=810386659307823104&amp;name=SMPC_Iobitridol_350_Solution for Injection.pdf","published_date":"27/11/2024"}]</x:v>
      </x:c>
      <x:c r="I165" s="31" t="str">
        <x:v>Draft</x:v>
      </x:c>
      <x:c r="J165" s="31" t="str">
        <x:v>300 mgI/ml; 350 mgI/ml</x:v>
      </x:c>
      <x:c r="K165" s="37"/>
      <x:c r="L165" s="37" t="str">
        <x:v>https://drug.fda.moph.go.th/media.php?id=810386169421504512&amp;name=SMPC_Iobitridol_Solution for Injection.pdf
https://drug.fda.moph.go.th/media.php?id=810386659307823104&amp;name=SMPC_Iobitridol_350_Solution for Injection.pdf</x:v>
      </x:c>
      <x:c r="M165" s="31" t="str">
        <x:v>YES</x:v>
      </x:c>
      <x:c r="N165" s="37" t="str">
        <x:v>Clinical review required before Published</x:v>
      </x:c>
    </x:row>
    <x:row r="166">
      <x:c r="A166" s="31" t="str">
        <x:v>isoniazid</x:v>
      </x:c>
      <x:c r="B166" s="31" t="str">
        <x:v>Isoniazid</x:v>
      </x:c>
      <x:c r="C166" s="37" t="str">
        <x:v>ไอโซไนอะซิด</x:v>
      </x:c>
      <x:c r="D166" s="31" t="str">
        <x:v>รอตรวจสอบ</x:v>
      </x:c>
      <x:c r="E166" s="31" t="str">
        <x:v>[]</x:v>
      </x:c>
      <x:c r="F166" s="37" t="str">
        <x:v>ใช ้เพื่อรักษาหรือป้องกันวัณโรค</x:v>
      </x:c>
      <x:c r="G166" s="32" t="b">
        <x:v>0</x:v>
      </x:c>
      <x:c r="H166" s="37" t="str">
        <x:v>[{"type":"SMPC","url":"https://drug.fda.moph.go.th/media.php?id=810387533576937472&amp;name=SMPC_Isoniazid_Solutions for injections or infusions.pdf","published_date":"27/11/2024"},{"type":"PIL","url":"https://drug.fda.moph.go.th/media.php?id=862918388467507200&amp;name=33. isoniazid_tablets_PIL_final.pdf","published_date":"13/2/2026"}]</x:v>
      </x:c>
      <x:c r="I166" s="31" t="str">
        <x:v>Draft</x:v>
      </x:c>
      <x:c r="J166" s="31"/>
      <x:c r="K166" s="37" t="str">
        <x:v>https://drug.fda.moph.go.th/media.php?id=862918388467507200&amp;name=33. isoniazid_tablets_PIL_final.pdf</x:v>
      </x:c>
      <x:c r="L166" s="37" t="str">
        <x:v>https://drug.fda.moph.go.th/media.php?id=810387533576937472&amp;name=SMPC_Isoniazid_Solutions for injections or infusions.pdf</x:v>
      </x:c>
      <x:c r="M166" s="31" t="str">
        <x:v>YES</x:v>
      </x:c>
      <x:c r="N166" s="37" t="str">
        <x:v>Clinical review required before Published</x:v>
      </x:c>
    </x:row>
    <x:row r="167">
      <x:c r="A167" s="31" t="str">
        <x:v>isopropyl_alcohol</x:v>
      </x:c>
      <x:c r="B167" s="31" t="str">
        <x:v>Isopropyl alcohol</x:v>
      </x:c>
      <x:c r="C167" s="37" t="str">
        <x:v>ยาไอโซโพรพิลแอลกอฮอล์ ชนิดนํ้า</x:v>
      </x:c>
      <x:c r="D167" s="31" t="str">
        <x:v>รอตรวจสอบ</x:v>
      </x:c>
      <x:c r="E167" s="31" t="str">
        <x:v>[]</x:v>
      </x:c>
      <x:c r="F167" s="37" t="str">
        <x:v>ใช ้ทําความสะอาดบาดแผล</x:v>
      </x:c>
      <x:c r="G167" s="32" t="b">
        <x:v>0</x:v>
      </x:c>
      <x:c r="H167" s="37" t="str">
        <x:v>[{"type":"PIL","url":"https://drug.fda.moph.go.th/media.php?id=733946047012937728&amp;name=PIL Isopropyl alcohol  (15032024).pdf","published_date":"15/3/2024"}]</x:v>
      </x:c>
      <x:c r="I167" s="31" t="str">
        <x:v>Draft</x:v>
      </x:c>
      <x:c r="J167" s="31"/>
      <x:c r="K167" s="37" t="str">
        <x:v>https://drug.fda.moph.go.th/media.php?id=733946047012937728&amp;name=PIL Isopropyl alcohol  (15032024).pdf</x:v>
      </x:c>
      <x:c r="L167" s="37"/>
      <x:c r="M167" s="31" t="str">
        <x:v>YES</x:v>
      </x:c>
      <x:c r="N167" s="37" t="str">
        <x:v>Clinical review required before Published</x:v>
      </x:c>
    </x:row>
    <x:row r="168">
      <x:c r="A168" s="31" t="str">
        <x:v>isosorbide_dinitrate</x:v>
      </x:c>
      <x:c r="B168" s="31" t="str">
        <x:v>Isosorbide dinitrate</x:v>
      </x:c>
      <x:c r="C168" s="37" t="str">
        <x:v>ไอโซซอร์ไบด์ ไดไนเตรต</x:v>
      </x:c>
      <x:c r="D168" s="31" t="str">
        <x:v>รอตรวจสอบ</x:v>
      </x:c>
      <x:c r="E168" s="31" t="str">
        <x:v>[]</x:v>
      </x:c>
      <x:c r="F168" s="37" t="str">
        <x:v>ใช ้ป้องกันอาการเจ็บเค ้ นหน ้ าอก ที่มีสาเหตุจาก โรคหัวใจและหลอดเลือด</x:v>
      </x:c>
      <x:c r="G168" s="32" t="b">
        <x:v>0</x:v>
      </x:c>
      <x:c r="H168" s="37" t="str">
        <x:v>[{"type":"PIL","url":"https://drug.fda.moph.go.th/media.php?id=730434793078136832&amp;name=pil_Isosorbide dinitrate (TABLET 10 mg, 20 mg).pdf","published_date":"4/8/2023"},{"type":"SMPC","url":"https://drug.fda.moph.go.th/media.php?id=810397718936690688&amp;name=SMPC_Isosorbide dinitrate_Tablets.pdf","published_date":"22/11/2024"}]</x:v>
      </x:c>
      <x:c r="I168" s="31" t="str">
        <x:v>Draft</x:v>
      </x:c>
      <x:c r="J168" s="31" t="str">
        <x:v>10 mg, 20 mg</x:v>
      </x:c>
      <x:c r="K168" s="37" t="str">
        <x:v>https://drug.fda.moph.go.th/media.php?id=730434793078136832&amp;name=pil_Isosorbide dinitrate (TABLET 10 mg, 20 mg).pdf</x:v>
      </x:c>
      <x:c r="L168" s="37" t="str">
        <x:v>https://drug.fda.moph.go.th/media.php?id=810397718936690688&amp;name=SMPC_Isosorbide dinitrate_Tablets.pdf</x:v>
      </x:c>
      <x:c r="M168" s="31" t="str">
        <x:v>YES</x:v>
      </x:c>
      <x:c r="N168" s="37" t="str">
        <x:v>Clinical review required before Published</x:v>
      </x:c>
    </x:row>
    <x:row r="169">
      <x:c r="A169" s="31" t="str">
        <x:v>isosorbide_mononitrate</x:v>
      </x:c>
      <x:c r="B169" s="31" t="str">
        <x:v>Isosorbide mononitrate</x:v>
      </x:c>
      <x:c r="C169" s="37" t="str">
        <x:v>ไอโซซอร์ไบด์ โมโนไนเตรต</x:v>
      </x:c>
      <x:c r="D169" s="31" t="str">
        <x:v>รอตรวจสอบ</x:v>
      </x:c>
      <x:c r="E169" s="31" t="str">
        <x:v>[]</x:v>
      </x:c>
      <x:c r="F169" s="37" t="str">
        <x:v>ใช ้ป้องกันอาการเจ็บเค ้ นหน ้ าอก ที่มีสาเหตุจาก โรคหัวใจและหลอดเลือด</x:v>
      </x:c>
      <x:c r="G169" s="32" t="b">
        <x:v>0</x:v>
      </x:c>
      <x:c r="H169" s="37" t="str">
        <x:v>[{"type":"PIL","url":"https://drug.fda.moph.go.th/media.php?id=730434938595319808&amp;name=pil_Isosorbide mononitrate (TAVLET 10 mg, 20 mg).pdf","published_date":"4/8/2023"},{"type":"SMPC","url":"https://drug.fda.moph.go.th/media.php?id=810398158122262528&amp;name=SMPC_Isosorbide mononitrate_Tablets.pdf","published_date":"27/11/2024"}]</x:v>
      </x:c>
      <x:c r="I169" s="31" t="str">
        <x:v>Draft</x:v>
      </x:c>
      <x:c r="J169" s="31" t="str">
        <x:v>10 mg, 20 mg</x:v>
      </x:c>
      <x:c r="K169" s="37" t="str">
        <x:v>https://drug.fda.moph.go.th/media.php?id=730434938595319808&amp;name=pil_Isosorbide mononitrate (TAVLET 10 mg, 20 mg).pdf</x:v>
      </x:c>
      <x:c r="L169" s="37" t="str">
        <x:v>https://drug.fda.moph.go.th/media.php?id=810398158122262528&amp;name=SMPC_Isosorbide mononitrate_Tablets.pdf</x:v>
      </x:c>
      <x:c r="M169" s="31" t="str">
        <x:v>YES</x:v>
      </x:c>
      <x:c r="N169" s="37" t="str">
        <x:v>Clinical review required before Published</x:v>
      </x:c>
    </x:row>
    <x:row r="170">
      <x:c r="A170" s="31" t="str">
        <x:v>ispaghula_husk</x:v>
      </x:c>
      <x:c r="B170" s="31" t="str">
        <x:v>Ispaghula husk</x:v>
      </x:c>
      <x:c r="C170" s="37" t="str">
        <x:v>อิสพากูลา ฮ ัสค์</x:v>
      </x:c>
      <x:c r="D170" s="31" t="str">
        <x:v>รอตรวจสอบ</x:v>
      </x:c>
      <x:c r="E170" s="31" t="str">
        <x:v>[]</x:v>
      </x:c>
      <x:c r="F170" s="37" t="str">
        <x:v>ใช ้เพื่อบรรเทาอาการท ้ องผูก</x:v>
      </x:c>
      <x:c r="G170" s="32" t="b">
        <x:v>0</x:v>
      </x:c>
      <x:c r="H170" s="37" t="str">
        <x:v>[{"type":"PIL","url":"https://drug.fda.moph.go.th/media.php?id=730435056207798272&amp;name=pil_Ispaghula husk (GRANULES 2.45 g, 3.5 g).pdf","published_date":"29/3/2023"}]</x:v>
      </x:c>
      <x:c r="I170" s="31" t="str">
        <x:v>Draft</x:v>
      </x:c>
      <x:c r="J170" s="31" t="str">
        <x:v>2.45 g, 3.5 g</x:v>
      </x:c>
      <x:c r="K170" s="37" t="str">
        <x:v>https://drug.fda.moph.go.th/media.php?id=730435056207798272&amp;name=pil_Ispaghula husk (GRANULES 2.45 g, 3.5 g).pdf</x:v>
      </x:c>
      <x:c r="L170" s="37"/>
      <x:c r="M170" s="31" t="str">
        <x:v>YES</x:v>
      </x:c>
      <x:c r="N170" s="37" t="str">
        <x:v>Clinical review required before Published</x:v>
      </x:c>
    </x:row>
    <x:row r="171">
      <x:c r="A171" s="31" t="str">
        <x:v>itraconazole</x:v>
      </x:c>
      <x:c r="B171" s="31" t="str">
        <x:v>Itraconazole</x:v>
      </x:c>
      <x:c r="C171" s="37" t="str">
        <x:v>รอตรวจสอบชื่อภาษาไทย</x:v>
      </x:c>
      <x:c r="D171" s="31" t="str">
        <x:v>รอตรวจสอบ</x:v>
      </x:c>
      <x:c r="E171" s="31" t="str">
        <x:v>[]</x:v>
      </x:c>
      <x:c r="F171" s="37" t="str">
        <x:v>ข้อมูลฉบับร่างจากเอกสารอ้างอิง อย. รอตรวจทานโดยผู้เชี่ยวชาญ</x:v>
      </x:c>
      <x:c r="G171" s="32" t="b">
        <x:v>0</x:v>
      </x:c>
      <x:c r="H171" s="37" t="str">
        <x:v>[{"type":"SMPC","url":"https://drug.fda.moph.go.th/media.php?id=810398699489468416&amp;name=SMPC_Itraconazole_Hard capsules.pdf","published_date":"27/11/2024"}]</x:v>
      </x:c>
      <x:c r="I171" s="31" t="str">
        <x:v>Draft</x:v>
      </x:c>
      <x:c r="J171" s="31"/>
      <x:c r="K171" s="37"/>
      <x:c r="L171" s="37" t="str">
        <x:v>https://drug.fda.moph.go.th/media.php?id=810398699489468416&amp;name=SMPC_Itraconazole_Hard capsules.pdf</x:v>
      </x:c>
      <x:c r="M171" s="31" t="str">
        <x:v>YES</x:v>
      </x:c>
      <x:c r="N171" s="37" t="str">
        <x:v>Clinical review required before Published</x:v>
      </x:c>
    </x:row>
    <x:row r="172">
      <x:c r="A172" s="31" t="str">
        <x:v>ketoconazole</x:v>
      </x:c>
      <x:c r="B172" s="31" t="str">
        <x:v>Ketoconazole</x:v>
      </x:c>
      <x:c r="C172" s="37" t="str">
        <x:v>คี-โท-โค-นา-โซล</x:v>
      </x:c>
      <x:c r="D172" s="31" t="str">
        <x:v>รอตรวจสอบ</x:v>
      </x:c>
      <x:c r="E172" s="31" t="str">
        <x:v>[]</x:v>
      </x:c>
      <x:c r="F172" s="37" t="str">
        <x:v>● ใช ้รักษาและป้องกันอาการจากการติดเชื้อราบางชนิดที่ ผิวหนังที่ไวต่อยานี้ เช่น รังแค, โรคผิวหนังที่เกิดจาก ต่อมไขมันอักเสบ ● ใช ้รักษาเกลื้อน</x:v>
      </x:c>
      <x:c r="G172" s="32" t="b">
        <x:v>0</x:v>
      </x:c>
      <x:c r="H172" s="37" t="str">
        <x:v>[{"type":"PIL","url":"https://drug.fda.moph.go.th/media.php?id=808584936914296832&amp;name=Ketoconazole_shampoo_PIL.pdf","published_date":"19/3/2025"},{"type":"SMPC","url":"https://drug.fda.moph.go.th/media.php?id=810399234116427776&amp;name=SMPC_Ketoconazole_shampoo.pdf","published_date":"22/11/2024"},{"type":"PIL","url":"https://drug.fda.moph.go.th/media.php?id=808585206637404160&amp;name=Ketoconazole_cream_PIL.pdf","published_date":"19/3/2025"}]</x:v>
      </x:c>
      <x:c r="I172" s="31" t="str">
        <x:v>Draft</x:v>
      </x:c>
      <x:c r="J172" s="31" t="str">
        <x:v>2% w/w</x:v>
      </x:c>
      <x:c r="K172" s="37" t="str">
        <x:v>https://drug.fda.moph.go.th/media.php?id=808584936914296832&amp;name=Ketoconazole_shampoo_PIL.pdf
https://drug.fda.moph.go.th/media.php?id=808585206637404160&amp;name=Ketoconazole_cream_PIL.pdf</x:v>
      </x:c>
      <x:c r="L172" s="37" t="str">
        <x:v>https://drug.fda.moph.go.th/media.php?id=810399234116427776&amp;name=SMPC_Ketoconazole_shampoo.pdf</x:v>
      </x:c>
      <x:c r="M172" s="31" t="str">
        <x:v>YES</x:v>
      </x:c>
      <x:c r="N172" s="37" t="str">
        <x:v>Clinical review required before Published</x:v>
      </x:c>
    </x:row>
    <x:row r="173">
      <x:c r="A173" s="31" t="str">
        <x:v>ketotifen</x:v>
      </x:c>
      <x:c r="B173" s="31" t="str">
        <x:v>Ketotifen</x:v>
      </x:c>
      <x:c r="C173" s="37" t="str">
        <x:v>คี-โท-ทิ-เฟน</x:v>
      </x:c>
      <x:c r="D173" s="31" t="str">
        <x:v>รอตรวจสอบ</x:v>
      </x:c>
      <x:c r="E173" s="31" t="str">
        <x:v>[]</x:v>
      </x:c>
      <x:c r="F173" s="37" t="str">
        <x:v>ใช ้รักษาอาการแพ ้ เช่น โรคจมูกอักเสบจากภูมิแพ ้ โรคตาแดงจากภูมิแพ ้ • ใช ้ร่วมกับยาชนิดอื่น เพื่อรักษาโรคหืดเรื้อรังจากภูมิแพ ้ ในเด็กและวัยรุ่นอายุ 5 ปี ถึง 18 ปี</x:v>
      </x:c>
      <x:c r="G173" s="32" t="b">
        <x:v>0</x:v>
      </x:c>
      <x:c r="H173" s="37" t="str">
        <x:v>[{"type":"PIL","url":"https://drug.fda.moph.go.th/media.php?id=808589764562395136&amp;name=Ketotifen_compressedTablet_PIL.pdf","published_date":"19/3/2025"},{"type":"SMPC","url":"https://drug.fda.moph.go.th/media.php?id=810399779447250944&amp;name=SMPC_Ketotifen_Tablets.pdf","published_date":"27/11/2024"},{"type":"PIL","url":"https://drug.fda.moph.go.th/media.php?id=808590033043988480&amp;name=Ketotifen_SyrupElixir_PIL.pdf","published_date":"19/3/2025"}]</x:v>
      </x:c>
      <x:c r="I173" s="31" t="str">
        <x:v>Draft</x:v>
      </x:c>
      <x:c r="J173" s="31"/>
      <x:c r="K173" s="37" t="str">
        <x:v>https://drug.fda.moph.go.th/media.php?id=808589764562395136&amp;name=Ketotifen_compressedTablet_PIL.pdf
https://drug.fda.moph.go.th/media.php?id=808590033043988480&amp;name=Ketotifen_SyrupElixir_PIL.pdf</x:v>
      </x:c>
      <x:c r="L173" s="37" t="str">
        <x:v>https://drug.fda.moph.go.th/media.php?id=810399779447250944&amp;name=SMPC_Ketotifen_Tablets.pdf</x:v>
      </x:c>
      <x:c r="M173" s="31" t="str">
        <x:v>YES</x:v>
      </x:c>
      <x:c r="N173" s="37" t="str">
        <x:v>Clinical review required before Published</x:v>
      </x:c>
    </x:row>
    <x:row r="174">
      <x:c r="A174" s="31" t="str">
        <x:v>lansoprazole</x:v>
      </x:c>
      <x:c r="B174" s="31" t="str">
        <x:v>Lansoprazole</x:v>
      </x:c>
      <x:c r="C174" s="37" t="str">
        <x:v>แลนโซพราโซล</x:v>
      </x:c>
      <x:c r="D174" s="31" t="str">
        <x:v>รอตรวจสอบ</x:v>
      </x:c>
      <x:c r="E174" s="31" t="str">
        <x:v>[]</x:v>
      </x:c>
      <x:c r="F174" s="37" t="str">
        <x:v>รักษาแผลในกระเพาะอาหารและล าไส ้ • รักษาและป้องกันอาการอักเสบที่หลอดอาหาร จากกรดไหลย ้ อน • รักษาอาการแสบร ้ อนกลางอก • ใช ้ร่วมกับยาต ้านเชื้อแบคทีเรียที่เป็ นสาเหตุของแผลใน กระเพาะและล าไส ้ • รักษาหรือป้องกันแผลในล าไส ้หรือกระเพาะอาหารที่เกิด จากการใช ้ยาต ้านอักเสบที่ไม่ใช่สเตอรอยด์อย่าง ต่อเนื่อง</x:v>
      </x:c>
      <x:c r="G174" s="32" t="b">
        <x:v>0</x:v>
      </x:c>
      <x:c r="H174" s="37" t="str">
        <x:v>[{"type":"PIL","url":"https://drug.fda.moph.go.th/media.php?id=808590240561373184&amp;name=Lansoprazole_orodisperse tablet_PIL.pdf","published_date":"19/3/2025"}]</x:v>
      </x:c>
      <x:c r="I174" s="31" t="str">
        <x:v>Draft</x:v>
      </x:c>
      <x:c r="J174" s="31" t="str">
        <x:v>30 mg</x:v>
      </x:c>
      <x:c r="K174" s="37" t="str">
        <x:v>https://drug.fda.moph.go.th/media.php?id=808590240561373184&amp;name=Lansoprazole_orodisperse tablet_PIL.pdf</x:v>
      </x:c>
      <x:c r="L174" s="37"/>
      <x:c r="M174" s="31" t="str">
        <x:v>YES</x:v>
      </x:c>
      <x:c r="N174" s="37" t="str">
        <x:v>Clinical review required before Published</x:v>
      </x:c>
    </x:row>
    <x:row r="175">
      <x:c r="A175" s="31" t="str">
        <x:v>lavender_oil</x:v>
      </x:c>
      <x:c r="B175" s="31" t="str">
        <x:v>Lavender oil</x:v>
      </x:c>
      <x:c r="C175" s="37" t="str">
        <x:v>รอตรวจสอบชื่อภาษาไทย</x:v>
      </x:c>
      <x:c r="D175" s="31" t="str">
        <x:v>รอตรวจสอบ</x:v>
      </x:c>
      <x:c r="E175" s="31" t="str">
        <x:v>[]</x:v>
      </x:c>
      <x:c r="F175" s="37" t="str">
        <x:v>ข้อมูลฉบับร่างจากเอกสารอ้างอิง อย. รอตรวจทานโดยผู้เชี่ยวชาญ</x:v>
      </x:c>
      <x:c r="G175" s="32" t="b">
        <x:v>0</x:v>
      </x:c>
      <x:c r="H175" s="37" t="str">
        <x:v>[{"type":"SMPC","url":"https://drug.fda.moph.go.th/media.php?id=810400412350947328&amp;name=SMPC_Lavender oil_Capsules.pdf","published_date":"29/11/2024"}]</x:v>
      </x:c>
      <x:c r="I175" s="31" t="str">
        <x:v>Draft</x:v>
      </x:c>
      <x:c r="J175" s="31"/>
      <x:c r="K175" s="37"/>
      <x:c r="L175" s="37" t="str">
        <x:v>https://drug.fda.moph.go.th/media.php?id=810400412350947328&amp;name=SMPC_Lavender oil_Capsules.pdf</x:v>
      </x:c>
      <x:c r="M175" s="31" t="str">
        <x:v>YES</x:v>
      </x:c>
      <x:c r="N175" s="37" t="str">
        <x:v>Clinical review required before Published</x:v>
      </x:c>
    </x:row>
    <x:row r="176">
      <x:c r="A176" s="31" t="str">
        <x:v>lenograstim</x:v>
      </x:c>
      <x:c r="B176" s="31" t="str">
        <x:v>Lenograstim</x:v>
      </x:c>
      <x:c r="C176" s="37" t="str">
        <x:v>รอตรวจสอบชื่อภาษาไทย</x:v>
      </x:c>
      <x:c r="D176" s="31" t="str">
        <x:v>รอตรวจสอบ</x:v>
      </x:c>
      <x:c r="E176" s="31" t="str">
        <x:v>[]</x:v>
      </x:c>
      <x:c r="F176" s="37" t="str">
        <x:v>ข้อมูลฉบับร่างจากเอกสารอ้างอิง อย. รอตรวจทานโดยผู้เชี่ยวชาญ</x:v>
      </x:c>
      <x:c r="G176" s="32" t="b">
        <x:v>0</x:v>
      </x:c>
      <x:c r="H176" s="37" t="str">
        <x:v>[{"type":"SMPC","url":"https://drug.fda.moph.go.th/media.php?id=810403090216919040&amp;name=SMPC_Lenograstim_powder and solvent for solution for injection-infusion.pdf","published_date":"22/11/2024"}]</x:v>
      </x:c>
      <x:c r="I176" s="31" t="str">
        <x:v>Draft</x:v>
      </x:c>
      <x:c r="J176" s="31"/>
      <x:c r="K176" s="37"/>
      <x:c r="L176" s="37" t="str">
        <x:v>https://drug.fda.moph.go.th/media.php?id=810403090216919040&amp;name=SMPC_Lenograstim_powder and solvent for solution for injection-infusion.pdf</x:v>
      </x:c>
      <x:c r="M176" s="31" t="str">
        <x:v>YES</x:v>
      </x:c>
      <x:c r="N176" s="37" t="str">
        <x:v>Clinical review required before Published</x:v>
      </x:c>
    </x:row>
    <x:row r="177">
      <x:c r="A177" s="31" t="str">
        <x:v>levodopa_benserazide</x:v>
      </x:c>
      <x:c r="B177" s="31" t="str">
        <x:v>Levodopa-Benserazide</x:v>
      </x:c>
      <x:c r="C177" s="37" t="str">
        <x:v>รอตรวจสอบชื่อภาษาไทย</x:v>
      </x:c>
      <x:c r="D177" s="31" t="str">
        <x:v>รอตรวจสอบ</x:v>
      </x:c>
      <x:c r="E177" s="31" t="str">
        <x:v>[]</x:v>
      </x:c>
      <x:c r="F177" s="37" t="str">
        <x:v>● ยานี้ใช ้รักษาโรคพาร์กินสัน</x:v>
      </x:c>
      <x:c r="G177" s="32" t="b">
        <x:v>0</x:v>
      </x:c>
      <x:c r="H177" s="37" t="str">
        <x:v>[{"type":"PIL","url":"https://drug.fda.moph.go.th/media.php?id=808595702568591360&amp;name=Levodopa-Benseraside_orodispersible_PIL.pdf","published_date":"19/3/2025"}]</x:v>
      </x:c>
      <x:c r="I177" s="31" t="str">
        <x:v>Draft</x:v>
      </x:c>
      <x:c r="J177" s="31"/>
      <x:c r="K177" s="37" t="str">
        <x:v>https://drug.fda.moph.go.th/media.php?id=808595702568591360&amp;name=Levodopa-Benseraside_orodispersible_PIL.pdf</x:v>
      </x:c>
      <x:c r="L177" s="37"/>
      <x:c r="M177" s="31" t="str">
        <x:v>YES</x:v>
      </x:c>
      <x:c r="N177" s="37" t="str">
        <x:v>Clinical review required before Published</x:v>
      </x:c>
    </x:row>
    <x:row r="178">
      <x:c r="A178" s="31" t="str">
        <x:v>levothyroxine</x:v>
      </x:c>
      <x:c r="B178" s="31" t="str">
        <x:v>Levothyroxine sodium</x:v>
      </x:c>
      <x:c r="C178" s="37" t="str">
        <x:v>ลีโวไทร็อกซีน</x:v>
      </x:c>
      <x:c r="D178" s="31" t="str">
        <x:v>รอตรวจสอบ</x:v>
      </x:c>
      <x:c r="E178" s="31" t="str">
        <x:v>[]</x:v>
      </x:c>
      <x:c r="F178" s="37" t="str">
        <x:v>ใช ้รักษาภาวะขาดฮอร์โมนไทรอยด์ (ฮอร์โมน ไทรอยด์ต ่า)</x:v>
      </x:c>
      <x:c r="G178" s="32" t="b">
        <x:v>0</x:v>
      </x:c>
      <x:c r="H178" s="37" t="str">
        <x:v>[{"type":"PIL","url":"https://drug.fda.moph.go.th/media.php?id=730438170746953728&amp;name=pil_Levothyroxine sodium (TABLET 50 mcg, 100 mcg).pdf","published_date":"4/8/2023"}]</x:v>
      </x:c>
      <x:c r="I178" s="31" t="str">
        <x:v>Draft</x:v>
      </x:c>
      <x:c r="J178" s="31" t="str">
        <x:v>50 mcg, 100 mcg</x:v>
      </x:c>
      <x:c r="K178" s="37" t="str">
        <x:v>https://drug.fda.moph.go.th/media.php?id=730438170746953728&amp;name=pil_Levothyroxine sodium (TABLET 50 mcg, 100 mcg).pdf</x:v>
      </x:c>
      <x:c r="L178" s="37"/>
      <x:c r="M178" s="31" t="str">
        <x:v>YES</x:v>
      </x:c>
      <x:c r="N178" s="37" t="str">
        <x:v>Clinical review required before Published</x:v>
      </x:c>
    </x:row>
    <x:row r="179">
      <x:c r="A179" s="31" t="str">
        <x:v>lidocaine</x:v>
      </x:c>
      <x:c r="B179" s="31" t="str">
        <x:v>Lidocaine hydrochloride</x:v>
      </x:c>
      <x:c r="C179" s="37" t="str">
        <x:v>รอตรวจสอบชื่อภาษาไทย</x:v>
      </x:c>
      <x:c r="D179" s="31" t="str">
        <x:v>รอตรวจสอบ</x:v>
      </x:c>
      <x:c r="E179" s="31" t="str">
        <x:v>[]</x:v>
      </x:c>
      <x:c r="F179" s="37" t="str">
        <x:v>ข้อมูลฉบับร่างจากเอกสารอ้างอิง อย. รอตรวจทานโดยผู้เชี่ยวชาญ</x:v>
      </x:c>
      <x:c r="G179" s="32" t="b">
        <x:v>0</x:v>
      </x:c>
      <x:c r="H179" s="37" t="str">
        <x:v>[{"type":"SMPC","url":"https://drug.fda.moph.go.th/media.php?id=810403816229969920&amp;name=SMPC_Lidocaine Hydrochloride_solutions for injections or infusions.pdf","published_date":"29/11/2024"}]</x:v>
      </x:c>
      <x:c r="I179" s="31" t="str">
        <x:v>Draft</x:v>
      </x:c>
      <x:c r="J179" s="31"/>
      <x:c r="K179" s="37"/>
      <x:c r="L179" s="37" t="str">
        <x:v>https://drug.fda.moph.go.th/media.php?id=810403816229969920&amp;name=SMPC_Lidocaine Hydrochloride_solutions for injections or infusions.pdf</x:v>
      </x:c>
      <x:c r="M179" s="31" t="str">
        <x:v>YES</x:v>
      </x:c>
      <x:c r="N179" s="37" t="str">
        <x:v>Clinical review required before Published</x:v>
      </x:c>
    </x:row>
    <x:row r="180">
      <x:c r="A180" s="31" t="str">
        <x:v>lincomycin</x:v>
      </x:c>
      <x:c r="B180" s="31" t="str">
        <x:v>lincomycin hydrochloride</x:v>
      </x:c>
      <x:c r="C180" s="37" t="str">
        <x:v>ลินโคไมซิน</x:v>
      </x:c>
      <x:c r="D180" s="31" t="str">
        <x:v>รอตรวจสอบ</x:v>
      </x:c>
      <x:c r="E180" s="31" t="str">
        <x:v>[]</x:v>
      </x:c>
      <x:c r="F180" s="37" t="str">
        <x:v>ใช ้รักษาโรคติดเชื้อแบคทีเรียที่ไวต่อยานี้</x:v>
      </x:c>
      <x:c r="G180" s="32" t="b">
        <x:v>0</x:v>
      </x:c>
      <x:c r="H180" s="37" t="str">
        <x:v>[{"type":"PIL","url":"https://drug.fda.moph.go.th/media.php?id=862918393525837824&amp;name=25. lincomycin_sterile solution_PIL_final.pdf","published_date":"13/2/2026"}]</x:v>
      </x:c>
      <x:c r="I180" s="31" t="str">
        <x:v>Draft</x:v>
      </x:c>
      <x:c r="J180" s="31"/>
      <x:c r="K180" s="37" t="str">
        <x:v>https://drug.fda.moph.go.th/media.php?id=862918393525837824&amp;name=25. lincomycin_sterile solution_PIL_final.pdf</x:v>
      </x:c>
      <x:c r="L180" s="37"/>
      <x:c r="M180" s="31" t="str">
        <x:v>YES</x:v>
      </x:c>
      <x:c r="N180" s="37" t="str">
        <x:v>Clinical review required before Published</x:v>
      </x:c>
    </x:row>
    <x:row r="181">
      <x:c r="A181" s="31" t="str">
        <x:v>liquid_paraffin</x:v>
      </x:c>
      <x:c r="B181" s="31" t="str">
        <x:v>Liquid paraffin</x:v>
      </x:c>
      <x:c r="C181" s="37" t="str">
        <x:v>รอตรวจสอบชื่อภาษาไทย</x:v>
      </x:c>
      <x:c r="D181" s="31" t="str">
        <x:v>รอตรวจสอบ</x:v>
      </x:c>
      <x:c r="E181" s="31" t="str">
        <x:v>[]</x:v>
      </x:c>
      <x:c r="F181" s="37" t="str">
        <x:v>ข้อมูลฉบับร่างจากเอกสารอ้างอิง อย. รอตรวจทานโดยผู้เชี่ยวชาญ</x:v>
      </x:c>
      <x:c r="G181" s="32" t="b">
        <x:v>0</x:v>
      </x:c>
      <x:c r="H181" s="37" t="str">
        <x:v>[{"type":"SMPC","url":"https://drug.fda.moph.go.th/media.php?id=810404231990353920&amp;name=SMPC_Liquid paraffin_Emulsion.pdf","published_date":"22/11/2024"}]</x:v>
      </x:c>
      <x:c r="I181" s="31" t="str">
        <x:v>Draft</x:v>
      </x:c>
      <x:c r="J181" s="31"/>
      <x:c r="K181" s="37"/>
      <x:c r="L181" s="37" t="str">
        <x:v>https://drug.fda.moph.go.th/media.php?id=810404231990353920&amp;name=SMPC_Liquid paraffin_Emulsion.pdf</x:v>
      </x:c>
      <x:c r="M181" s="31" t="str">
        <x:v>YES</x:v>
      </x:c>
      <x:c r="N181" s="37" t="str">
        <x:v>Clinical review required before Published</x:v>
      </x:c>
    </x:row>
    <x:row r="182">
      <x:c r="A182" s="31" t="str">
        <x:v>lisinopril</x:v>
      </x:c>
      <x:c r="B182" s="31" t="str">
        <x:v>Lisinopril</x:v>
      </x:c>
      <x:c r="C182" s="37" t="str">
        <x:v>ไลซิโนพริล</x:v>
      </x:c>
      <x:c r="D182" s="31" t="str">
        <x:v>รอตรวจสอบ</x:v>
      </x:c>
      <x:c r="E182" s="31" t="str">
        <x:v>[]</x:v>
      </x:c>
      <x:c r="F182" s="37" t="str">
        <x:v>รักษาโรคความดันเลือดสูง • รักษาโรคหัวใจล ้ มเหลว • รักษาภาวะหลังหัวใจขาดเลือดเฉียบพลัน • รักษาโรคไตในผู ้ ป ่ วยเบาหวานที่ความดันเลือดสูง</x:v>
      </x:c>
      <x:c r="G182" s="32" t="b">
        <x:v>0</x:v>
      </x:c>
      <x:c r="H182" s="37" t="str">
        <x:v>[{"type":"PIL","url":"https://drug.fda.moph.go.th/media.php?id=730438387122708480&amp;name=pil_Lisinopril (TABLET 5 mg, 10 mg, 20 mg).pdf","published_date":"4/8/2023"},{"type":"SMPC","url":"https://drug.fda.moph.go.th/media.php?id=810405133153345536&amp;name=SMPC_Lisinopril_Tablets.pdf","published_date":"22/11/2024"}]</x:v>
      </x:c>
      <x:c r="I182" s="31" t="str">
        <x:v>Draft</x:v>
      </x:c>
      <x:c r="J182" s="31" t="str">
        <x:v>5 mg, 10 mg, 20 mg</x:v>
      </x:c>
      <x:c r="K182" s="37" t="str">
        <x:v>https://drug.fda.moph.go.th/media.php?id=730438387122708480&amp;name=pil_Lisinopril (TABLET 5 mg, 10 mg, 20 mg).pdf</x:v>
      </x:c>
      <x:c r="L182" s="37" t="str">
        <x:v>https://drug.fda.moph.go.th/media.php?id=810405133153345536&amp;name=SMPC_Lisinopril_Tablets.pdf</x:v>
      </x:c>
      <x:c r="M182" s="31" t="str">
        <x:v>YES</x:v>
      </x:c>
      <x:c r="N182" s="37" t="str">
        <x:v>Clinical review required before Published</x:v>
      </x:c>
    </x:row>
    <x:row r="183">
      <x:c r="A183" s="31" t="str">
        <x:v>lithium</x:v>
      </x:c>
      <x:c r="B183" s="31" t="str">
        <x:v>lithium</x:v>
      </x:c>
      <x:c r="C183" s="37" t="str">
        <x:v>ลิ-เทียม-คาร์-บอร์-เนต</x:v>
      </x:c>
      <x:c r="D183" s="31" t="str">
        <x:v>รอตรวจสอบ</x:v>
      </x:c>
      <x:c r="E183" s="31" t="str">
        <x:v>[]</x:v>
      </x:c>
      <x:c r="F183" s="37" t="str">
        <x:v>ใช ้รักษาและป้องกันภาวะแมเนีย (mania) และโรคอารมณ์สองขั้ว (ไบโพลาร์) • ใช ้รักษาและป้องกันการกลับมาเป็ นซ ้าของภาวะ ซึมเศร ้า</x:v>
      </x:c>
      <x:c r="G183" s="32" t="b">
        <x:v>0</x:v>
      </x:c>
      <x:c r="H183" s="37" t="str">
        <x:v>[{"type":"PIL","url":"https://drug.fda.moph.go.th/media.php?id=862918386550710272&amp;name=43.LithiumCarbonate_capsule_PIL.pdf","published_date":"13/2/2026"}]</x:v>
      </x:c>
      <x:c r="I183" s="31" t="str">
        <x:v>Draft</x:v>
      </x:c>
      <x:c r="J183" s="31"/>
      <x:c r="K183" s="37" t="str">
        <x:v>https://drug.fda.moph.go.th/media.php?id=862918386550710272&amp;name=43.LithiumCarbonate_capsule_PIL.pdf</x:v>
      </x:c>
      <x:c r="L183" s="37"/>
      <x:c r="M183" s="31" t="str">
        <x:v>YES</x:v>
      </x:c>
      <x:c r="N183" s="37" t="str">
        <x:v>Clinical review required before Published</x:v>
      </x:c>
    </x:row>
    <x:row r="184">
      <x:c r="A184" s="31" t="str">
        <x:v>loperamide</x:v>
      </x:c>
      <x:c r="B184" s="31" t="str">
        <x:v>Loperamide</x:v>
      </x:c>
      <x:c r="C184" s="37" t="str">
        <x:v>โลเพอราไมด์</x:v>
      </x:c>
      <x:c r="D184" s="31" t="str">
        <x:v>รอตรวจสอบ</x:v>
      </x:c>
      <x:c r="E184" s="31" t="str">
        <x:v>[]</x:v>
      </x:c>
      <x:c r="F184" s="37" t="str">
        <x:v>ใช ้รักษาท ้องเสียชนิดเฉียบพลันในระยะสั้น • ใช ้รักษาท ้องเสียในผู ้ที่มีภาวะล าไส ้แปรปรวน</x:v>
      </x:c>
      <x:c r="G184" s="32" t="b">
        <x:v>0</x:v>
      </x:c>
      <x:c r="H184" s="37" t="str">
        <x:v>[{"type":"PIL","url":"https://drug.fda.moph.go.th/media.php?id=730438529573855232&amp;name=pil_Loperamide (TABLET 2 mg).pdf","published_date":"4/8/2023"},{"type":"SMPC","url":"https://drug.fda.moph.go.th/media.php?id=810406546952560640&amp;name=SMPC_Loperamide_Tablets.pdf","published_date":"20/11/2024"},{"type":"PIL","url":"https://drug.fda.moph.go.th/media.php?id=808596182745096192&amp;name=Loperamide_Capsule_PIL.pdf","published_date":"19/3/2025"}]</x:v>
      </x:c>
      <x:c r="I184" s="31" t="str">
        <x:v>Draft</x:v>
      </x:c>
      <x:c r="J184" s="31" t="str">
        <x:v>2 mg</x:v>
      </x:c>
      <x:c r="K184" s="37" t="str">
        <x:v>https://drug.fda.moph.go.th/media.php?id=730438529573855232&amp;name=pil_Loperamide (TABLET 2 mg).pdf
https://drug.fda.moph.go.th/media.php?id=808596182745096192&amp;name=Loperamide_Capsule_PIL.pdf</x:v>
      </x:c>
      <x:c r="L184" s="37" t="str">
        <x:v>https://drug.fda.moph.go.th/media.php?id=810406546952560640&amp;name=SMPC_Loperamide_Tablets.pdf</x:v>
      </x:c>
      <x:c r="M184" s="31" t="str">
        <x:v>YES</x:v>
      </x:c>
      <x:c r="N184" s="37" t="str">
        <x:v>Clinical review required before Published</x:v>
      </x:c>
    </x:row>
    <x:row r="185">
      <x:c r="A185" s="31" t="str">
        <x:v>magnesium</x:v>
      </x:c>
      <x:c r="B185" s="31" t="str">
        <x:v>Magnesium sulfate</x:v>
      </x:c>
      <x:c r="C185" s="37" t="str">
        <x:v>รอตรวจสอบชื่อภาษาไทย</x:v>
      </x:c>
      <x:c r="D185" s="31" t="str">
        <x:v>รอตรวจสอบ</x:v>
      </x:c>
      <x:c r="E185" s="31" t="str">
        <x:v>[]</x:v>
      </x:c>
      <x:c r="F185" s="37" t="str">
        <x:v>ข้อมูลฉบับร่างจากเอกสารอ้างอิง อย. รอตรวจทานโดยผู้เชี่ยวชาญ</x:v>
      </x:c>
      <x:c r="G185" s="32" t="b">
        <x:v>0</x:v>
      </x:c>
      <x:c r="H185" s="37" t="str">
        <x:v>[{"type":"SMPC","url":"https://drug.fda.moph.go.th/media.php?id=810407556395704320&amp;name=SMPC_Magnesium sulfate_Solution for Injection or Infusion.pdf","published_date":"22/11/2024"}]</x:v>
      </x:c>
      <x:c r="I185" s="31" t="str">
        <x:v>Draft</x:v>
      </x:c>
      <x:c r="J185" s="31"/>
      <x:c r="K185" s="37"/>
      <x:c r="L185" s="37" t="str">
        <x:v>https://drug.fda.moph.go.th/media.php?id=810407556395704320&amp;name=SMPC_Magnesium sulfate_Solution for Injection or Infusion.pdf</x:v>
      </x:c>
      <x:c r="M185" s="31" t="str">
        <x:v>YES</x:v>
      </x:c>
      <x:c r="N185" s="37" t="str">
        <x:v>Clinical review required before Published</x:v>
      </x:c>
    </x:row>
    <x:row r="186">
      <x:c r="A186" s="31" t="str">
        <x:v>magnesium_hydroxide</x:v>
      </x:c>
      <x:c r="B186" s="31" t="str">
        <x:v>Magnesium hydroxide</x:v>
      </x:c>
      <x:c r="C186" s="37" t="str">
        <x:v>ท่านมีภาวะต่อไปนี้</x:v>
      </x:c>
      <x:c r="D186" s="31" t="str">
        <x:v>รอตรวจสอบ</x:v>
      </x:c>
      <x:c r="E186" s="31" t="str">
        <x:v>[]</x:v>
      </x:c>
      <x:c r="F186" s="37" t="str">
        <x:v>ยาระบาย บรรเทาอาการท ้ องผูก</x:v>
      </x:c>
      <x:c r="G186" s="32" t="b">
        <x:v>0</x:v>
      </x:c>
      <x:c r="H186" s="37" t="str">
        <x:v>[{"type":"PIL","url":"https://drug.fda.moph.go.th/media.php?id=733945016032043008&amp;name=PIL_Magnesium hydroxide ยาระบายแมกนีเซี (15032024).pdf","published_date":"15/3/2024"},{"type":"SMPC","url":"https://drug.fda.moph.go.th/media.php?id=810406985441878016&amp;name=SMPC_Magnesium hydroxide_Oral suspension.pdf","published_date":"21/11/2024"}]</x:v>
      </x:c>
      <x:c r="I186" s="31" t="str">
        <x:v>Draft</x:v>
      </x:c>
      <x:c r="J186" s="31"/>
      <x:c r="K186" s="37" t="str">
        <x:v>https://drug.fda.moph.go.th/media.php?id=733945016032043008&amp;name=PIL_Magnesium hydroxide ยาระบายแมกนีเซี (15032024).pdf</x:v>
      </x:c>
      <x:c r="L186" s="37" t="str">
        <x:v>https://drug.fda.moph.go.th/media.php?id=810406985441878016&amp;name=SMPC_Magnesium hydroxide_Oral suspension.pdf</x:v>
      </x:c>
      <x:c r="M186" s="31" t="str">
        <x:v>YES</x:v>
      </x:c>
      <x:c r="N186" s="37" t="str">
        <x:v>Clinical review required before Published</x:v>
      </x:c>
    </x:row>
    <x:row r="187">
      <x:c r="A187" s="31" t="str">
        <x:v>magnesium_trisilicate</x:v>
      </x:c>
      <x:c r="B187" s="31" t="str">
        <x:v>Magnesium trisilicate</x:v>
      </x:c>
      <x:c r="C187" s="37" t="str">
        <x:v>รอตรวจสอบชื่อภาษาไทย</x:v>
      </x:c>
      <x:c r="D187" s="31" t="str">
        <x:v>รอตรวจสอบ</x:v>
      </x:c>
      <x:c r="E187" s="31" t="str">
        <x:v>[]</x:v>
      </x:c>
      <x:c r="F187" s="37" t="str">
        <x:v>ข้อมูลฉบับร่างจากเอกสารอ้างอิง อย. รอตรวจทานโดยผู้เชี่ยวชาญ</x:v>
      </x:c>
      <x:c r="G187" s="32" t="b">
        <x:v>0</x:v>
      </x:c>
      <x:c r="H187" s="37" t="str">
        <x:v>[{"type":"SMPC","url":"https://drug.fda.moph.go.th/media.php?id=810407998043332608&amp;name=SMPC_Magnesium trisilicate_Tablets.pdf","published_date":"25/11/2024"},{"type":"SMPC","url":"https://drug.fda.moph.go.th/media.php?id=810408508334940160&amp;name=SMPC_Magnesium trisilicate_Chewable Tablets.pdf","published_date":"25/11/2024"}]</x:v>
      </x:c>
      <x:c r="I187" s="31" t="str">
        <x:v>Draft</x:v>
      </x:c>
      <x:c r="J187" s="31" t="str">
        <x:v>250 mg</x:v>
      </x:c>
      <x:c r="K187" s="37"/>
      <x:c r="L187" s="37" t="str">
        <x:v>https://drug.fda.moph.go.th/media.php?id=810407998043332608&amp;name=SMPC_Magnesium trisilicate_Tablets.pdf
https://drug.fda.moph.go.th/media.php?id=810408508334940160&amp;name=SMPC_Magnesium trisilicate_Chewable Tablets.pdf</x:v>
      </x:c>
      <x:c r="M187" s="31" t="str">
        <x:v>YES</x:v>
      </x:c>
      <x:c r="N187" s="37" t="str">
        <x:v>Clinical review required before Published</x:v>
      </x:c>
    </x:row>
    <x:row r="188">
      <x:c r="A188" s="31" t="str">
        <x:v>mannitol</x:v>
      </x:c>
      <x:c r="B188" s="31" t="str">
        <x:v>Mannitol</x:v>
      </x:c>
      <x:c r="C188" s="37" t="str">
        <x:v>รอตรวจสอบชื่อภาษาไทย</x:v>
      </x:c>
      <x:c r="D188" s="31" t="str">
        <x:v>รอตรวจสอบ</x:v>
      </x:c>
      <x:c r="E188" s="31" t="str">
        <x:v>[]</x:v>
      </x:c>
      <x:c r="F188" s="37" t="str">
        <x:v>ข้อมูลฉบับร่างจากเอกสารอ้างอิง อย. รอตรวจทานโดยผู้เชี่ยวชาญ</x:v>
      </x:c>
      <x:c r="G188" s="32" t="b">
        <x:v>0</x:v>
      </x:c>
      <x:c r="H188" s="37" t="str">
        <x:v>[{"type":"SMPC","url":"https://drug.fda.moph.go.th/media.php?id=810409159391584256&amp;name=SMPC_Mannitol_Solution for Infusion.pdf","published_date":"22/11/2024"}]</x:v>
      </x:c>
      <x:c r="I188" s="31" t="str">
        <x:v>Draft</x:v>
      </x:c>
      <x:c r="J188" s="31"/>
      <x:c r="K188" s="37"/>
      <x:c r="L188" s="37" t="str">
        <x:v>https://drug.fda.moph.go.th/media.php?id=810409159391584256&amp;name=SMPC_Mannitol_Solution for Infusion.pdf</x:v>
      </x:c>
      <x:c r="M188" s="31" t="str">
        <x:v>YES</x:v>
      </x:c>
      <x:c r="N188" s="37" t="str">
        <x:v>Clinical review required before Published</x:v>
      </x:c>
    </x:row>
    <x:row r="189">
      <x:c r="A189" s="31" t="str">
        <x:v>mebendazole</x:v>
      </x:c>
      <x:c r="B189" s="31" t="str">
        <x:v>Mebendazole</x:v>
      </x:c>
      <x:c r="C189" s="37" t="str">
        <x:v>ยาถ่ายพยาธิตัวกลม มีเบนดาโซล</x:v>
      </x:c>
      <x:c r="D189" s="31" t="str">
        <x:v>รอตรวจสอบ</x:v>
      </x:c>
      <x:c r="E189" s="31" t="str">
        <x:v>[]</x:v>
      </x:c>
      <x:c r="F189" s="37" t="str">
        <x:v>ใช ้เพื่อ ถ่ายพยาธิเส ้นด้ าย พยาธิ ตัวกลม , พยาธิ ไส ้เดือน, พ ย า ธ ิแส้ม ้า, พยาธิปากขอ, พยาธิเข็มหมุด</x:v>
      </x:c>
      <x:c r="G189" s="32" t="b">
        <x:v>0</x:v>
      </x:c>
      <x:c r="H189" s="37" t="str">
        <x:v>[{"type":"SMPC","url":"https://drug.fda.moph.go.th/media.php?id=810409612485468160&amp;name=SMPC_Mebendazole_oral suspension.pdf","published_date":"29/11/2024"},{"type":"PIL","url":"https://drug.fda.moph.go.th/media.php?id=733943326377648128&amp;name=PIL_Mebendazole ยาถ่ายพยาธิตัวกลม (15032024).pdf","published_date":"15/3/2024"}]</x:v>
      </x:c>
      <x:c r="I189" s="31" t="str">
        <x:v>Draft</x:v>
      </x:c>
      <x:c r="J189" s="31" t="str">
        <x:v>100 mg</x:v>
      </x:c>
      <x:c r="K189" s="37" t="str">
        <x:v>https://drug.fda.moph.go.th/media.php?id=733943326377648128&amp;name=PIL_Mebendazole ยาถ่ายพยาธิตัวกลม (15032024).pdf</x:v>
      </x:c>
      <x:c r="L189" s="37" t="str">
        <x:v>https://drug.fda.moph.go.th/media.php?id=810409612485468160&amp;name=SMPC_Mebendazole_oral suspension.pdf</x:v>
      </x:c>
      <x:c r="M189" s="31" t="str">
        <x:v>YES</x:v>
      </x:c>
      <x:c r="N189" s="37" t="str">
        <x:v>Clinical review required before Published</x:v>
      </x:c>
    </x:row>
    <x:row r="190">
      <x:c r="A190" s="31" t="str">
        <x:v>mebeverine</x:v>
      </x:c>
      <x:c r="B190" s="31" t="str">
        <x:v>Mebeverine hydrochloride</x:v>
      </x:c>
      <x:c r="C190" s="37" t="str">
        <x:v>เมเบเวอรีน</x:v>
      </x:c>
      <x:c r="D190" s="31" t="str">
        <x:v>รอตรวจสอบ</x:v>
      </x:c>
      <x:c r="E190" s="31" t="str">
        <x:v>[]</x:v>
      </x:c>
      <x:c r="F190" s="37" t="str">
        <x:v>ใช ้รักษาโรคล าไส ้แปรปรวน • ใช ้รักษาภาวะล าไส ้บีบตัวหรือหดเกร็งมากกว่าปกติ</x:v>
      </x:c>
      <x:c r="G190" s="32" t="b">
        <x:v>0</x:v>
      </x:c>
      <x:c r="H190" s="37" t="str">
        <x:v>[{"type":"PIL","url":"https://drug.fda.moph.go.th/media.php?id=730439513196863488&amp;name=pil_Mebeverine hydrochloride (FILM COATED TABLET 135 mg).pdf","published_date":"4/8/2023"}]</x:v>
      </x:c>
      <x:c r="I190" s="31" t="str">
        <x:v>Draft</x:v>
      </x:c>
      <x:c r="J190" s="31" t="str">
        <x:v>135 mg</x:v>
      </x:c>
      <x:c r="K190" s="37" t="str">
        <x:v>https://drug.fda.moph.go.th/media.php?id=730439513196863488&amp;name=pil_Mebeverine hydrochloride (FILM COATED TABLET 135 mg).pdf</x:v>
      </x:c>
      <x:c r="L190" s="37"/>
      <x:c r="M190" s="31" t="str">
        <x:v>YES</x:v>
      </x:c>
      <x:c r="N190" s="37" t="str">
        <x:v>Clinical review required before Published</x:v>
      </x:c>
    </x:row>
    <x:row r="191">
      <x:c r="A191" s="31" t="str">
        <x:v>mebhydrolin</x:v>
      </x:c>
      <x:c r="B191" s="31" t="str">
        <x:v>Mebhydrolin</x:v>
      </x:c>
      <x:c r="C191" s="37" t="str">
        <x:v>เม็บ-ไฮ-โดร-ลิน</x:v>
      </x:c>
      <x:c r="D191" s="31" t="str">
        <x:v>รอตรวจสอบ</x:v>
      </x:c>
      <x:c r="E191" s="31" t="str">
        <x:v>[]</x:v>
      </x:c>
      <x:c r="F191" s="37" t="str">
        <x:v>ใช ้เพื่อบรรเทาอาการต่าง ๆ จากการแพ ้ เช่น น ้ามูกไหล คันจมูก จาม ตาแดง คันตา หรือบรรเทา อาการแพ ้บริเวณผิวหนัง เช่น ผื่นคัน ลมพิษ</x:v>
      </x:c>
      <x:c r="G191" s="32" t="b">
        <x:v>0</x:v>
      </x:c>
      <x:c r="H191" s="37" t="str">
        <x:v>[{"type":"PIL","url":"https://drug.fda.moph.go.th/media.php?id=808597501648183296&amp;name=Mebhydrolin_capsule_PIL.pdf","published_date":"15/8/2025"}]</x:v>
      </x:c>
      <x:c r="I191" s="31" t="str">
        <x:v>Draft</x:v>
      </x:c>
      <x:c r="J191" s="31"/>
      <x:c r="K191" s="37" t="str">
        <x:v>https://drug.fda.moph.go.th/media.php?id=808597501648183296&amp;name=Mebhydrolin_capsule_PIL.pdf</x:v>
      </x:c>
      <x:c r="L191" s="37"/>
      <x:c r="M191" s="31" t="str">
        <x:v>YES</x:v>
      </x:c>
      <x:c r="N191" s="37" t="str">
        <x:v>Clinical review required before Published</x:v>
      </x:c>
    </x:row>
    <x:row r="192">
      <x:c r="A192" s="31" t="str">
        <x:v>medroxyprogesterone</x:v>
      </x:c>
      <x:c r="B192" s="31" t="str">
        <x:v>Medroxyprogesterone acetate</x:v>
      </x:c>
      <x:c r="C192" s="37" t="str">
        <x:v>เม-ดร็อก-ซี-โพร-เจส-เทอ-โรน-แอ-ซี-เทต</x:v>
      </x:c>
      <x:c r="D192" s="31" t="str">
        <x:v>รอตรวจสอบ</x:v>
      </x:c>
      <x:c r="E192" s="31" t="str">
        <x:v>[]</x:v>
      </x:c>
      <x:c r="F192" s="37" t="str">
        <x:v>ใช ้เพื่อคุมก าเนิดในผู ้หญิง</x:v>
      </x:c>
      <x:c r="G192" s="32" t="b">
        <x:v>0</x:v>
      </x:c>
      <x:c r="H192" s="37" t="str">
        <x:v>[{"type":"PIL","url":"https://drug.fda.moph.go.th/media.php?id=730440517598453760&amp;name=pil_Medroxyprogesterone acetate(SUSPENSION FOR INJECTION).pdf","published_date":"9/11/2023"},{"type":"SMPC","url":"https://drug.fda.moph.go.th/media.php?id=810410089709182976&amp;name=SMPC_Medroxyprogesterone acetate_Suspension for Injection.pdf","published_date":"27/11/2024"}]</x:v>
      </x:c>
      <x:c r="I192" s="31" t="str">
        <x:v>Draft</x:v>
      </x:c>
      <x:c r="J192" s="31"/>
      <x:c r="K192" s="37" t="str">
        <x:v>https://drug.fda.moph.go.th/media.php?id=730440517598453760&amp;name=pil_Medroxyprogesterone acetate(SUSPENSION FOR INJECTION).pdf</x:v>
      </x:c>
      <x:c r="L192" s="37" t="str">
        <x:v>https://drug.fda.moph.go.th/media.php?id=810410089709182976&amp;name=SMPC_Medroxyprogesterone acetate_Suspension for Injection.pdf</x:v>
      </x:c>
      <x:c r="M192" s="31" t="str">
        <x:v>YES</x:v>
      </x:c>
      <x:c r="N192" s="37" t="str">
        <x:v>Clinical review required before Published</x:v>
      </x:c>
    </x:row>
    <x:row r="193">
      <x:c r="A193" s="31" t="str">
        <x:v>mefenamic_acid</x:v>
      </x:c>
      <x:c r="B193" s="31" t="str">
        <x:v>Mefenamic acid</x:v>
      </x:c>
      <x:c r="C193" s="37" t="str">
        <x:v>รอตรวจสอบชื่อภาษาไทย</x:v>
      </x:c>
      <x:c r="D193" s="31" t="str">
        <x:v>รอตรวจสอบ</x:v>
      </x:c>
      <x:c r="E193" s="31" t="str">
        <x:v>[]</x:v>
      </x:c>
      <x:c r="F193" s="37" t="str">
        <x:v>ข้อมูลฉบับร่างจากเอกสารอ้างอิง อย. รอตรวจทานโดยผู้เชี่ยวชาญ</x:v>
      </x:c>
      <x:c r="G193" s="32" t="b">
        <x:v>0</x:v>
      </x:c>
      <x:c r="H193" s="37" t="str">
        <x:v>[{"type":"SMPC","url":"https://drug.fda.moph.go.th/media.php?id=810410734201741312&amp;name=SMPC_Mefenamic acid_Capsules.pdf","published_date":"29/11/2024"}]</x:v>
      </x:c>
      <x:c r="I193" s="31" t="str">
        <x:v>Draft</x:v>
      </x:c>
      <x:c r="J193" s="31"/>
      <x:c r="K193" s="37"/>
      <x:c r="L193" s="37" t="str">
        <x:v>https://drug.fda.moph.go.th/media.php?id=810410734201741312&amp;name=SMPC_Mefenamic acid_Capsules.pdf</x:v>
      </x:c>
      <x:c r="M193" s="31" t="str">
        <x:v>YES</x:v>
      </x:c>
      <x:c r="N193" s="37" t="str">
        <x:v>Clinical review required before Published</x:v>
      </x:c>
    </x:row>
    <x:row r="194">
      <x:c r="A194" s="31" t="str">
        <x:v>menthol_eucalyptus_oil</x:v>
      </x:c>
      <x:c r="B194" s="31" t="str">
        <x:v>Menthol + Eucalyptus oil</x:v>
      </x:c>
      <x:c r="C194" s="37" t="str">
        <x:v>รอตรวจสอบชื่อภาษาไทย</x:v>
      </x:c>
      <x:c r="D194" s="31" t="str">
        <x:v>รอตรวจสอบ</x:v>
      </x:c>
      <x:c r="E194" s="31" t="str">
        <x:v>[]</x:v>
      </x:c>
      <x:c r="F194" s="37" t="str">
        <x:v>ข้อมูลฉบับร่างจากเอกสารอ้างอิง อย. รอตรวจทานโดยผู้เชี่ยวชาญ</x:v>
      </x:c>
      <x:c r="G194" s="32" t="b">
        <x:v>0</x:v>
      </x:c>
      <x:c r="H194" s="37" t="str">
        <x:v>[{"type":"SMPC","url":"https://drug.fda.moph.go.th/media.php?id=810411159340589056&amp;name=SMPC_Menthol and Eucalyptus_Inhalation.pdf","published_date":"29/11/2024"}]</x:v>
      </x:c>
      <x:c r="I194" s="31" t="str">
        <x:v>Draft</x:v>
      </x:c>
      <x:c r="J194" s="31"/>
      <x:c r="K194" s="37"/>
      <x:c r="L194" s="37" t="str">
        <x:v>https://drug.fda.moph.go.th/media.php?id=810411159340589056&amp;name=SMPC_Menthol and Eucalyptus_Inhalation.pdf</x:v>
      </x:c>
      <x:c r="M194" s="31" t="str">
        <x:v>YES</x:v>
      </x:c>
      <x:c r="N194" s="37" t="str">
        <x:v>Clinical review required before Published</x:v>
      </x:c>
    </x:row>
    <x:row r="195">
      <x:c r="A195" s="31" t="str">
        <x:v>metformin</x:v>
      </x:c>
      <x:c r="B195" s="31" t="str">
        <x:v>Metformin</x:v>
      </x:c>
      <x:c r="C195" s="37" t="str">
        <x:v>รอตรวจสอบชื่อภาษาไทย</x:v>
      </x:c>
      <x:c r="D195" s="31" t="str">
        <x:v>รอตรวจสอบ</x:v>
      </x:c>
      <x:c r="E195" s="31" t="str">
        <x:v>[]</x:v>
      </x:c>
      <x:c r="F195" s="37" t="str">
        <x:v>ข้อมูลฉบับร่างจากเอกสารอ้างอิง อย. รอตรวจทานโดยผู้เชี่ยวชาญ</x:v>
      </x:c>
      <x:c r="G195" s="32" t="b">
        <x:v>0</x:v>
      </x:c>
      <x:c r="H195" s="37" t="str">
        <x:v>[{"type":"SMPC","url":"https://drug.fda.moph.go.th/media.php?id=810411685197258752&amp;name=SMPC_Metformin_Film-coated Tablet.pdf","published_date":"22/11/2024"}]</x:v>
      </x:c>
      <x:c r="I195" s="31" t="str">
        <x:v>Draft</x:v>
      </x:c>
      <x:c r="J195" s="31"/>
      <x:c r="K195" s="37"/>
      <x:c r="L195" s="37" t="str">
        <x:v>https://drug.fda.moph.go.th/media.php?id=810411685197258752&amp;name=SMPC_Metformin_Film-coated Tablet.pdf</x:v>
      </x:c>
      <x:c r="M195" s="31" t="str">
        <x:v>YES</x:v>
      </x:c>
      <x:c r="N195" s="37" t="str">
        <x:v>Clinical review required before Published</x:v>
      </x:c>
    </x:row>
    <x:row r="196">
      <x:c r="A196" s="31" t="str">
        <x:v>methimazole_thiamazole</x:v>
      </x:c>
      <x:c r="B196" s="31" t="str">
        <x:v>Methimazole (Thiamazole)</x:v>
      </x:c>
      <x:c r="C196" s="37" t="str">
        <x:v>ชนิดเม็ด</x:v>
      </x:c>
      <x:c r="D196" s="31" t="str">
        <x:v>รอตรวจสอบ</x:v>
      </x:c>
      <x:c r="E196" s="31" t="str">
        <x:v>[]</x:v>
      </x:c>
      <x:c r="F196" s="37" t="str">
        <x:v>ใช ้รักษาภาวะไทรอยด์ไทรอยด์เป ็ นพิษ (ฮอร์โมน ไทรอยด์สูง) • ใช ้รักษาโรคคอพอกจากภาวะไทรอยด์เป ็ นพิษ</x:v>
      </x:c>
      <x:c r="G196" s="32" t="b">
        <x:v>0</x:v>
      </x:c>
      <x:c r="H196" s="37" t="str">
        <x:v>[{"type":"PIL","url":"https://drug.fda.moph.go.th/media.php?id=730440659181379584&amp;name=pil_Methimazole (Thiamazole) (TABLET 5 mg).pdf","published_date":"4/8/2023"}]</x:v>
      </x:c>
      <x:c r="I196" s="31" t="str">
        <x:v>Draft</x:v>
      </x:c>
      <x:c r="J196" s="31" t="str">
        <x:v>5 mg</x:v>
      </x:c>
      <x:c r="K196" s="37" t="str">
        <x:v>https://drug.fda.moph.go.th/media.php?id=730440659181379584&amp;name=pil_Methimazole (Thiamazole) (TABLET 5 mg).pdf</x:v>
      </x:c>
      <x:c r="L196" s="37"/>
      <x:c r="M196" s="31" t="str">
        <x:v>YES</x:v>
      </x:c>
      <x:c r="N196" s="37" t="str">
        <x:v>Clinical review required before Published</x:v>
      </x:c>
    </x:row>
    <x:row r="197">
      <x:c r="A197" s="31" t="str">
        <x:v>methocarbamol</x:v>
      </x:c>
      <x:c r="B197" s="31" t="str">
        <x:v>Methocarbamol</x:v>
      </x:c>
      <x:c r="C197" s="37" t="str">
        <x:v>รอตรวจสอบชื่อภาษาไทย</x:v>
      </x:c>
      <x:c r="D197" s="31" t="str">
        <x:v>รอตรวจสอบ</x:v>
      </x:c>
      <x:c r="E197" s="31" t="str">
        <x:v>[]</x:v>
      </x:c>
      <x:c r="F197" s="37" t="str">
        <x:v>ข้อมูลฉบับร่างจากเอกสารอ้างอิง อย. รอตรวจทานโดยผู้เชี่ยวชาญ</x:v>
      </x:c>
      <x:c r="G197" s="32" t="b">
        <x:v>0</x:v>
      </x:c>
      <x:c r="H197" s="37" t="str">
        <x:v>[{"type":"SMPC","url":"https://drug.fda.moph.go.th/media.php?id=810412334496489472&amp;name=SMPC_Methocarbamol_Film-coated Tablet.pdf","published_date":"25/11/2024"}]</x:v>
      </x:c>
      <x:c r="I197" s="31" t="str">
        <x:v>Draft</x:v>
      </x:c>
      <x:c r="J197" s="31"/>
      <x:c r="K197" s="37"/>
      <x:c r="L197" s="37" t="str">
        <x:v>https://drug.fda.moph.go.th/media.php?id=810412334496489472&amp;name=SMPC_Methocarbamol_Film-coated Tablet.pdf</x:v>
      </x:c>
      <x:c r="M197" s="31" t="str">
        <x:v>YES</x:v>
      </x:c>
      <x:c r="N197" s="37" t="str">
        <x:v>Clinical review required before Published</x:v>
      </x:c>
    </x:row>
    <x:row r="198">
      <x:c r="A198" s="31" t="str">
        <x:v>methotrexate</x:v>
      </x:c>
      <x:c r="B198" s="31" t="str">
        <x:v>methotrexate</x:v>
      </x:c>
      <x:c r="C198" s="37" t="str">
        <x:v>เมโทเทร็กเซต</x:v>
      </x:c>
      <x:c r="D198" s="31" t="str">
        <x:v>รอตรวจสอบ</x:v>
      </x:c>
      <x:c r="E198" s="31" t="str">
        <x:v>[]</x:v>
      </x:c>
      <x:c r="F198" s="37" t="str">
        <x:v>ใช ้เพื่อรักษาโรคมะเร็งบางชนิด • ใช ้เพื่อรักษาโรคสะเก็ดเงินที่ไม่ตอบสนองต่อการ รักษา • ใช ้เพื่อรักษาโรคข ้ ออักเสบรูมาตอยด์</x:v>
      </x:c>
      <x:c r="G198" s="32" t="b">
        <x:v>0</x:v>
      </x:c>
      <x:c r="H198" s="37" t="str">
        <x:v>[{"type":"PIL","url":"https://drug.fda.moph.go.th/media.php?id=862918389411225600&amp;name=15.Methotrexate_Inj_PIL_final.pdf","published_date":"13/2/2026"}]</x:v>
      </x:c>
      <x:c r="I198" s="31" t="str">
        <x:v>Draft</x:v>
      </x:c>
      <x:c r="J198" s="31"/>
      <x:c r="K198" s="37" t="str">
        <x:v>https://drug.fda.moph.go.th/media.php?id=862918389411225600&amp;name=15.Methotrexate_Inj_PIL_final.pdf</x:v>
      </x:c>
      <x:c r="L198" s="37"/>
      <x:c r="M198" s="31" t="str">
        <x:v>YES</x:v>
      </x:c>
      <x:c r="N198" s="37" t="str">
        <x:v>Clinical review required before Published</x:v>
      </x:c>
    </x:row>
    <x:row r="199">
      <x:c r="A199" s="31" t="str">
        <x:v>methyldopa</x:v>
      </x:c>
      <x:c r="B199" s="31" t="str">
        <x:v>Methyldopa</x:v>
      </x:c>
      <x:c r="C199" s="37" t="str">
        <x:v>เมทิลโดพา</x:v>
      </x:c>
      <x:c r="D199" s="31" t="str">
        <x:v>รอตรวจสอบ</x:v>
      </x:c>
      <x:c r="E199" s="31" t="str">
        <x:v>[]</x:v>
      </x:c>
      <x:c r="F199" s="37" t="str">
        <x:v>ใช ้รักษาโรคความดันโลหิตสูง</x:v>
      </x:c>
      <x:c r="G199" s="32" t="b">
        <x:v>0</x:v>
      </x:c>
      <x:c r="H199" s="37" t="str">
        <x:v>[{"type":"PIL","url":"https://drug.fda.moph.go.th/media.php?id=730440782443585536&amp;name=pil_Methyldopa (TABLET 125 mg, 250 mg).pdf","published_date":"4/8/2023"}]</x:v>
      </x:c>
      <x:c r="I199" s="31" t="str">
        <x:v>Draft</x:v>
      </x:c>
      <x:c r="J199" s="31" t="str">
        <x:v>125 mg, 250 mg</x:v>
      </x:c>
      <x:c r="K199" s="37" t="str">
        <x:v>https://drug.fda.moph.go.th/media.php?id=730440782443585536&amp;name=pil_Methyldopa (TABLET 125 mg, 250 mg).pdf</x:v>
      </x:c>
      <x:c r="L199" s="37"/>
      <x:c r="M199" s="31" t="str">
        <x:v>YES</x:v>
      </x:c>
      <x:c r="N199" s="37" t="str">
        <x:v>Clinical review required before Published</x:v>
      </x:c>
    </x:row>
    <x:row r="200">
      <x:c r="A200" s="31" t="str">
        <x:v>methylergometrine</x:v>
      </x:c>
      <x:c r="B200" s="31" t="str">
        <x:v>Methylergometrine maleate</x:v>
      </x:c>
      <x:c r="C200" s="37" t="str">
        <x:v>เม-ทิล-เออร์-โก-เม-ทริน-มา-ลี-เอต</x:v>
      </x:c>
      <x:c r="D200" s="31" t="str">
        <x:v>รอตรวจสอบ</x:v>
      </x:c>
      <x:c r="E200" s="31" t="str">
        <x:v>[]</x:v>
      </x:c>
      <x:c r="F200" s="37" t="str">
        <x:v>ใช ้เพื่อป้องกันและรักษาอาการตกเลือดหลังคลอดหรือ หลังแท ้ งลูก</x:v>
      </x:c>
      <x:c r="G200" s="32" t="b">
        <x:v>0</x:v>
      </x:c>
      <x:c r="H200" s="37" t="str">
        <x:v>[{"type":"PIL","url":"https://drug.fda.moph.go.th/media.php?id=730440912047579136&amp;name=pil_Methylergometrine maleate (STERILE SOLUTION FOR INJECTION).pdf","published_date":"9/11/2023"}]</x:v>
      </x:c>
      <x:c r="I200" s="31" t="str">
        <x:v>Draft</x:v>
      </x:c>
      <x:c r="J200" s="31"/>
      <x:c r="K200" s="37" t="str">
        <x:v>https://drug.fda.moph.go.th/media.php?id=730440912047579136&amp;name=pil_Methylergometrine maleate (STERILE SOLUTION FOR INJECTION).pdf</x:v>
      </x:c>
      <x:c r="L200" s="37"/>
      <x:c r="M200" s="31" t="str">
        <x:v>YES</x:v>
      </x:c>
      <x:c r="N200" s="37" t="str">
        <x:v>Clinical review required before Published</x:v>
      </x:c>
    </x:row>
    <x:row r="201">
      <x:c r="A201" s="31" t="str">
        <x:v>methylprednisolone</x:v>
      </x:c>
      <x:c r="B201" s="31" t="str">
        <x:v>Methylprednisolone sodium succinate</x:v>
      </x:c>
      <x:c r="C201" s="37" t="str">
        <x:v>รอตรวจสอบชื่อภาษาไทย</x:v>
      </x:c>
      <x:c r="D201" s="31" t="str">
        <x:v>รอตรวจสอบ</x:v>
      </x:c>
      <x:c r="E201" s="31" t="str">
        <x:v>[]</x:v>
      </x:c>
      <x:c r="F201" s="37" t="str">
        <x:v>ข้อมูลฉบับร่างจากเอกสารอ้างอิง อย. รอตรวจทานโดยผู้เชี่ยวชาญ</x:v>
      </x:c>
      <x:c r="G201" s="32" t="b">
        <x:v>0</x:v>
      </x:c>
      <x:c r="H201" s="37" t="str">
        <x:v>[{"type":"SMPC","url":"https://drug.fda.moph.go.th/media.php?id=810412748335882240&amp;name=SMPC_Methylprednisolone_Powders for solutions for injections or infusions.pdf","published_date":"29/11/2024"}]</x:v>
      </x:c>
      <x:c r="I201" s="31" t="str">
        <x:v>Draft</x:v>
      </x:c>
      <x:c r="J201" s="31"/>
      <x:c r="K201" s="37"/>
      <x:c r="L201" s="37" t="str">
        <x:v>https://drug.fda.moph.go.th/media.php?id=810412748335882240&amp;name=SMPC_Methylprednisolone_Powders for solutions for injections or infusions.pdf</x:v>
      </x:c>
      <x:c r="M201" s="31" t="str">
        <x:v>YES</x:v>
      </x:c>
      <x:c r="N201" s="37" t="str">
        <x:v>Clinical review required before Published</x:v>
      </x:c>
    </x:row>
    <x:row r="202">
      <x:c r="A202" s="31" t="str">
        <x:v>metoclopramide</x:v>
      </x:c>
      <x:c r="B202" s="31" t="str">
        <x:v>Metoclopramide hydrochloride</x:v>
      </x:c>
      <x:c r="C202" s="37" t="str">
        <x:v>เม-โท-โคล-พรา-ไมด์-ไฮ-โดร-คลอ-ไรด์</x:v>
      </x:c>
      <x:c r="D202" s="31" t="str">
        <x:v>รอตรวจสอบ</x:v>
      </x:c>
      <x:c r="E202" s="31" t="str">
        <x:v>[]</x:v>
      </x:c>
      <x:c r="F202" s="37" t="str">
        <x:v>ใช ้เพื่อรักษาอาการคลื่นไส ้ อาเจียน • ใช ้เพื่อป้องกันอาการคลื่นไส ้ อาเจียน ที่เกิดจาก การได ้รับยาเคมีบ าบัดหรือการฉายรังสี</x:v>
      </x:c>
      <x:c r="G202" s="32" t="b">
        <x:v>0</x:v>
      </x:c>
      <x:c r="H202" s="37" t="str">
        <x:v>[{"type":"PIL","url":"https://drug.fda.moph.go.th/media.php?id=808598096819920896&amp;name=MetoclopramideHydrochloride_compressedTablet_PIL.pdf","published_date":"19/3/2025"},{"type":"PIL","url":"https://drug.fda.moph.go.th/media.php?id=730441114384998400&amp;name=pil_Metoclopramide hydrochloride (SYRUP 5 mg,5 ml).pdf","published_date":"4/8/2023"},{"type":"PIL","url":"https://drug.fda.moph.go.th/media.php?id=730441069484974080&amp;name=pil_Metoclopramide hydrochloride (TABLET 10 mg).pdf","published_date":"4/8/2023"},{"type":"SMPC","url":"https://drug.fda.moph.go.th/media.php?id=810414829838934016&amp;name=SMPC_Metoclopramide_Tablets.pdf","published_date":"26/11/2024"},{"type":"SMPC","url":"https://drug.fda.moph.go.th/media.php?id=810415338977107968&amp;name=SMPC_Metoclopramide_solution for infusion.pdf","published_date":"26/11/2024"},{"type":"SMPC","url":"https://drug.fda.moph.go.th/media.php?id=810416020589256704&amp;name=SMPC_Metoclopramide_Oral Solution.pdf","published_date":"26/11/2024"}]</x:v>
      </x:c>
      <x:c r="I202" s="31" t="str">
        <x:v>Draft</x:v>
      </x:c>
      <x:c r="J202" s="31" t="str">
        <x:v>5 mg/5 ml; 10 mg</x:v>
      </x:c>
      <x:c r="K202" s="37" t="str">
        <x:v>https://drug.fda.moph.go.th/media.php?id=808598096819920896&amp;name=MetoclopramideHydrochloride_compressedTablet_PIL.pdf
https://drug.fda.moph.go.th/media.php?id=730441114384998400&amp;name=pil_Metoclopramide hydrochloride (SYRUP 5 mg,5 ml).pdf
https://drug.fda.moph.go.th/media.php?id=730441069484974080&amp;name=pil_Metoclopramide hydrochloride (TABLET 10 mg).pdf</x:v>
      </x:c>
      <x:c r="L202" s="37" t="str">
        <x:v>https://drug.fda.moph.go.th/media.php?id=810414829838934016&amp;name=SMPC_Metoclopramide_Tablets.pdf
https://drug.fda.moph.go.th/media.php?id=810415338977107968&amp;name=SMPC_Metoclopramide_solution for infusion.pdf
https://drug.fda.moph.go.th/media.php?id=810416020589256704&amp;name=SMPC_Metoclopramide_Oral Solution.pdf</x:v>
      </x:c>
      <x:c r="M202" s="31" t="str">
        <x:v>YES</x:v>
      </x:c>
      <x:c r="N202" s="37" t="str">
        <x:v>Clinical review required before Published</x:v>
      </x:c>
    </x:row>
    <x:row r="203">
      <x:c r="A203" s="31" t="str">
        <x:v>metronidazole</x:v>
      </x:c>
      <x:c r="B203" s="31" t="str">
        <x:v>Metronidazole</x:v>
      </x:c>
      <x:c r="C203" s="37" t="str">
        <x:v>เมโทรไนดาโซล</x:v>
      </x:c>
      <x:c r="D203" s="31" t="str">
        <x:v>รอตรวจสอบ</x:v>
      </x:c>
      <x:c r="E203" s="31" t="str">
        <x:v>[]</x:v>
      </x:c>
      <x:c r="F203" s="37" t="str">
        <x:v>● ใช ้เพื่อรักษาโรคติดเชื้อบางชนิดที่ไวต่อยานี้ เช่น แบคทีเรีย ปรสิต</x:v>
      </x:c>
      <x:c r="G203" s="32" t="b">
        <x:v>0</x:v>
      </x:c>
      <x:c r="H203" s="37" t="str">
        <x:v>[{"type":"PIL","url":"https://drug.fda.moph.go.th/media.php?id=808598399409594368&amp;name=Metronidazole_compressedTabletFilmeCoatedTablet_PIL.pdf","published_date":"19/3/2025"},{"type":"SMPC","url":"https://drug.fda.moph.go.th/media.php?id=810416555195244544&amp;name=SMPC_Metronidazole_Tablets.pdf","published_date":"29/11/2024"},{"type":"SMPC","url":"https://drug.fda.moph.go.th/media.php?id=810416973254107136&amp;name=SMPC_Metronidazole_Solutions for injections or infusions.pdf","published_date":"29/11/2024"}]</x:v>
      </x:c>
      <x:c r="I203" s="31" t="str">
        <x:v>Draft</x:v>
      </x:c>
      <x:c r="J203" s="31"/>
      <x:c r="K203" s="37" t="str">
        <x:v>https://drug.fda.moph.go.th/media.php?id=808598399409594368&amp;name=Metronidazole_compressedTabletFilmeCoatedTablet_PIL.pdf</x:v>
      </x:c>
      <x:c r="L203" s="37" t="str">
        <x:v>https://drug.fda.moph.go.th/media.php?id=810416555195244544&amp;name=SMPC_Metronidazole_Tablets.pdf
https://drug.fda.moph.go.th/media.php?id=810416973254107136&amp;name=SMPC_Metronidazole_Solutions for injections or infusions.pdf</x:v>
      </x:c>
      <x:c r="M203" s="31" t="str">
        <x:v>YES</x:v>
      </x:c>
      <x:c r="N203" s="37" t="str">
        <x:v>Clinical review required before Published</x:v>
      </x:c>
    </x:row>
    <x:row r="204">
      <x:c r="A204" s="31" t="str">
        <x:v>mianserin</x:v>
      </x:c>
      <x:c r="B204" s="31" t="str">
        <x:v>Mianserin hydrochloride</x:v>
      </x:c>
      <x:c r="C204" s="37" t="str">
        <x:v>ไม-แอน-เซอ-ริน-ไฮ-โดร-คลอ-ไรด์</x:v>
      </x:c>
      <x:c r="D204" s="31" t="str">
        <x:v>รอตรวจสอบ</x:v>
      </x:c>
      <x:c r="E204" s="31" t="str">
        <x:v>[]</x:v>
      </x:c>
      <x:c r="F204" s="37" t="str">
        <x:v>ใช ้รักษาโรคซึมเศร ้าที่แพทย์พิจารณาแล ้วว่าต ้องใช ้ ยานี้</x:v>
      </x:c>
      <x:c r="G204" s="32" t="b">
        <x:v>0</x:v>
      </x:c>
      <x:c r="H204" s="37" t="str">
        <x:v>[{"type":"SMPC","url":"https://drug.fda.moph.go.th/media.php?id=810417450431684608&amp;name=SMPC_Mianserin_Tablets.pdf","published_date":"29/11/2024"},{"type":"PIL","url":"https://drug.fda.moph.go.th/media.php?id=862918387217604608&amp;name=37.Mianserin_tablet_PIL-final.pdf","published_date":"13/2/2026"}]</x:v>
      </x:c>
      <x:c r="I204" s="31" t="str">
        <x:v>Draft</x:v>
      </x:c>
      <x:c r="J204" s="31"/>
      <x:c r="K204" s="37" t="str">
        <x:v>https://drug.fda.moph.go.th/media.php?id=862918387217604608&amp;name=37.Mianserin_tablet_PIL-final.pdf</x:v>
      </x:c>
      <x:c r="L204" s="37" t="str">
        <x:v>https://drug.fda.moph.go.th/media.php?id=810417450431684608&amp;name=SMPC_Mianserin_Tablets.pdf</x:v>
      </x:c>
      <x:c r="M204" s="31" t="str">
        <x:v>YES</x:v>
      </x:c>
      <x:c r="N204" s="37" t="str">
        <x:v>Clinical review required before Published</x:v>
      </x:c>
    </x:row>
    <x:row r="205">
      <x:c r="A205" s="31" t="str">
        <x:v>miconazole</x:v>
      </x:c>
      <x:c r="B205" s="31" t="str">
        <x:v>Miconazole</x:v>
      </x:c>
      <x:c r="C205" s="37" t="str">
        <x:v>รอตรวจสอบชื่อภาษาไทย</x:v>
      </x:c>
      <x:c r="D205" s="31" t="str">
        <x:v>รอตรวจสอบ</x:v>
      </x:c>
      <x:c r="E205" s="31" t="str">
        <x:v>[]</x:v>
      </x:c>
      <x:c r="F205" s="37" t="str">
        <x:v>ข้อมูลฉบับร่างจากเอกสารอ้างอิง อย. รอตรวจทานโดยผู้เชี่ยวชาญ</x:v>
      </x:c>
      <x:c r="G205" s="32" t="b">
        <x:v>0</x:v>
      </x:c>
      <x:c r="H205" s="37" t="str">
        <x:v>[{"type":"SMPC","url":"https://drug.fda.moph.go.th/media.php?id=810417927433101312&amp;name=SMPC_Miconazole_Oral gel.pdf","published_date":"22/11/2024"},{"type":"SMPC","url":"https://drug.fda.moph.go.th/media.php?id=810418354249670656&amp;name=SMPC_Miconazole_Cream.pdf","published_date":"26/11/2024"}]</x:v>
      </x:c>
      <x:c r="I205" s="31" t="str">
        <x:v>Draft</x:v>
      </x:c>
      <x:c r="J205" s="31" t="str">
        <x:v>2%w/w</x:v>
      </x:c>
      <x:c r="K205" s="37"/>
      <x:c r="L205" s="37" t="str">
        <x:v>https://drug.fda.moph.go.th/media.php?id=810417927433101312&amp;name=SMPC_Miconazole_Oral gel.pdf
https://drug.fda.moph.go.th/media.php?id=810418354249670656&amp;name=SMPC_Miconazole_Cream.pdf</x:v>
      </x:c>
      <x:c r="M205" s="31" t="str">
        <x:v>YES</x:v>
      </x:c>
      <x:c r="N205" s="37" t="str">
        <x:v>Clinical review required before Published</x:v>
      </x:c>
    </x:row>
    <x:row r="206">
      <x:c r="A206" s="31" t="str">
        <x:v>miconazole_hydrocortisone</x:v>
      </x:c>
      <x:c r="B206" s="31" t="str">
        <x:v>Miconazole nitrate + Hydrocortisone</x:v>
      </x:c>
      <x:c r="C206" s="37" t="str">
        <x:v>รอตรวจสอบชื่อภาษาไทย</x:v>
      </x:c>
      <x:c r="D206" s="31" t="str">
        <x:v>รอตรวจสอบ</x:v>
      </x:c>
      <x:c r="E206" s="31" t="str">
        <x:v>[]</x:v>
      </x:c>
      <x:c r="F206" s="37" t="str">
        <x:v>ข้อมูลฉบับร่างจากเอกสารอ้างอิง อย. รอตรวจทานโดยผู้เชี่ยวชาญ</x:v>
      </x:c>
      <x:c r="G206" s="32" t="b">
        <x:v>0</x:v>
      </x:c>
      <x:c r="H206" s="37" t="str">
        <x:v>[{"type":"SMPC","url":"https://drug.fda.moph.go.th/media.php?id=810418770794389504&amp;name=SMPC_Miconazole+hydrocortisone_Cream.pdf","published_date":"22/11/2024"}]</x:v>
      </x:c>
      <x:c r="I206" s="31" t="str">
        <x:v>Draft</x:v>
      </x:c>
      <x:c r="J206" s="31"/>
      <x:c r="K206" s="37"/>
      <x:c r="L206" s="37" t="str">
        <x:v>https://drug.fda.moph.go.th/media.php?id=810418770794389504&amp;name=SMPC_Miconazole+hydrocortisone_Cream.pdf</x:v>
      </x:c>
      <x:c r="M206" s="31" t="str">
        <x:v>YES</x:v>
      </x:c>
      <x:c r="N206" s="37" t="str">
        <x:v>Clinical review required before Published</x:v>
      </x:c>
    </x:row>
    <x:row r="207">
      <x:c r="A207" s="31" t="str">
        <x:v>milk_of_magnesia</x:v>
      </x:c>
      <x:c r="B207" s="31" t="str">
        <x:v>Milk of magnesia</x:v>
      </x:c>
      <x:c r="C207" s="37" t="str">
        <x:v>ท่านมีภาวะต่อไปนี้</x:v>
      </x:c>
      <x:c r="D207" s="31" t="str">
        <x:v>รอตรวจสอบ</x:v>
      </x:c>
      <x:c r="E207" s="31" t="str">
        <x:v>[]</x:v>
      </x:c>
      <x:c r="F207" s="37" t="str">
        <x:v>ยาระบาย บรรเทาอาการท ้ องผูก</x:v>
      </x:c>
      <x:c r="G207" s="32" t="b">
        <x:v>0</x:v>
      </x:c>
      <x:c r="H207" s="37" t="str">
        <x:v>[{"type":"PIL","url":"https://drug.fda.moph.go.th/media.php?id=733942889922568192&amp;name=PIL_Milk of Magnesia_(15032024).pdf","published_date":"15/3/2024"}]</x:v>
      </x:c>
      <x:c r="I207" s="31" t="str">
        <x:v>Draft</x:v>
      </x:c>
      <x:c r="J207" s="31"/>
      <x:c r="K207" s="37" t="str">
        <x:v>https://drug.fda.moph.go.th/media.php?id=733942889922568192&amp;name=PIL_Milk of Magnesia_(15032024).pdf</x:v>
      </x:c>
      <x:c r="L207" s="37"/>
      <x:c r="M207" s="31" t="str">
        <x:v>YES</x:v>
      </x:c>
      <x:c r="N207" s="37" t="str">
        <x:v>Clinical review required before Published</x:v>
      </x:c>
    </x:row>
    <x:row r="208">
      <x:c r="A208" s="31" t="str">
        <x:v>minoxidil</x:v>
      </x:c>
      <x:c r="B208" s="31" t="str">
        <x:v>Minoxidil</x:v>
      </x:c>
      <x:c r="C208" s="37" t="str">
        <x:v>ไม-น็อก-ซิ-ดิล</x:v>
      </x:c>
      <x:c r="D208" s="31" t="str">
        <x:v>รอตรวจสอบ</x:v>
      </x:c>
      <x:c r="E208" s="31" t="str">
        <x:v>[]</x:v>
      </x:c>
      <x:c r="F208" s="37" t="str">
        <x:v>● ใช ้รักษาผมร่วง ในผู ้ชายหรือผู ้หญิง อายุ 18-65 ปี</x:v>
      </x:c>
      <x:c r="G208" s="32" t="b">
        <x:v>0</x:v>
      </x:c>
      <x:c r="H208" s="37" t="str">
        <x:v>[{"type":"PIL","url":"https://drug.fda.moph.go.th/media.php?id=808598734081499136&amp;name=Minoxidil_2_LotionAqueoussolution_PIL.pdf","published_date":"19/3/2025"},{"type":"PIL","url":"https://drug.fda.moph.go.th/media.php?id=904601734335307776&amp;name=10. Ref PIL_Minoxidil lotion 5_.pdf","published_date":"8/6/2026"},{"type":"PIL","url":"https://drug.fda.moph.go.th/media.php?id=808599071341289472&amp;name=Minoxidil_tablet_PIL.pdf","published_date":"19/3/2025"}]</x:v>
      </x:c>
      <x:c r="I208" s="31" t="str">
        <x:v>Draft</x:v>
      </x:c>
      <x:c r="J208" s="31" t="str">
        <x:v>20 mg/1 ml; 50 mg/1 ml</x:v>
      </x:c>
      <x:c r="K208" s="37" t="str">
        <x:v>https://drug.fda.moph.go.th/media.php?id=808598734081499136&amp;name=Minoxidil_2_LotionAqueoussolution_PIL.pdf
https://drug.fda.moph.go.th/media.php?id=904601734335307776&amp;name=10. Ref PIL_Minoxidil lotion 5_.pdf
https://drug.fda.moph.go.th/media.php?id=808599071341289472&amp;name=Minoxidil_tablet_PIL.pdf</x:v>
      </x:c>
      <x:c r="L208" s="37"/>
      <x:c r="M208" s="31" t="str">
        <x:v>YES</x:v>
      </x:c>
      <x:c r="N208" s="37" t="str">
        <x:v>Clinical review required before Published</x:v>
      </x:c>
    </x:row>
    <x:row r="209">
      <x:c r="A209" s="31" t="str">
        <x:v>mucopolysaccharide_polysulphate</x:v>
      </x:c>
      <x:c r="B209" s="31" t="str">
        <x:v>Mucopolysaccharide polysulphate</x:v>
      </x:c>
      <x:c r="C209" s="37" t="str">
        <x:v>รอตรวจสอบชื่อภาษาไทย</x:v>
      </x:c>
      <x:c r="D209" s="31" t="str">
        <x:v>รอตรวจสอบ</x:v>
      </x:c>
      <x:c r="E209" s="31" t="str">
        <x:v>[]</x:v>
      </x:c>
      <x:c r="F209" s="37" t="str">
        <x:v>ข้อมูลฉบับร่างจากเอกสารอ้างอิง อย. รอตรวจทานโดยผู้เชี่ยวชาญ</x:v>
      </x:c>
      <x:c r="G209" s="32" t="b">
        <x:v>0</x:v>
      </x:c>
      <x:c r="H209" s="37" t="str">
        <x:v>[{"type":"SMPC","url":"https://drug.fda.moph.go.th/media.php?id=810420646990454784&amp;name=SMPC_Mucopolysaccharide _Cream.pdf","published_date":"27/11/2024"}]</x:v>
      </x:c>
      <x:c r="I209" s="31" t="str">
        <x:v>Draft</x:v>
      </x:c>
      <x:c r="J209" s="31"/>
      <x:c r="K209" s="37"/>
      <x:c r="L209" s="37" t="str">
        <x:v>https://drug.fda.moph.go.th/media.php?id=810420646990454784&amp;name=SMPC_Mucopolysaccharide _Cream.pdf</x:v>
      </x:c>
      <x:c r="M209" s="31" t="str">
        <x:v>YES</x:v>
      </x:c>
      <x:c r="N209" s="37" t="str">
        <x:v>Clinical review required before Published</x:v>
      </x:c>
    </x:row>
    <x:row r="210">
      <x:c r="A210" s="31" t="str">
        <x:v>multivitamin</x:v>
      </x:c>
      <x:c r="B210" s="31" t="str">
        <x:v>Multivitamin</x:v>
      </x:c>
      <x:c r="C210" s="37" t="str">
        <x:v>ไม่เพียงพอ เพื่อลดความเสี่ยงการขาดวิตามิน</x:v>
      </x:c>
      <x:c r="D210" s="31" t="str">
        <x:v>รอตรวจสอบ</x:v>
      </x:c>
      <x:c r="E210" s="31" t="str">
        <x:v>[]</x:v>
      </x:c>
      <x:c r="F210" s="37" t="str">
        <x:v>รักษาผู ้ ที่มีภาวะขาดวิตามิน • รักษาผู ้ ที่ขาดสารอาหารหรือรับประทานอาหาร ไม่เพียงพอ เพื่อลดความเสี่ยงการขาดวิตามิน • ใช ้บ ารุงร่างกาย • เสริมสร ้ างสุขภาพหรือการเจริญเติบโตของ ร่างกาย</x:v>
      </x:c>
      <x:c r="G210" s="32" t="b">
        <x:v>0</x:v>
      </x:c>
      <x:c r="H210" s="37" t="str">
        <x:v>[{"type":"PIL","url":"https://drug.fda.moph.go.th/media.php?id=808599891721986048&amp;name=Multivitamin_drop_PIL.pdf","published_date":"19/3/2025"},{"type":"PIL","url":"https://drug.fda.moph.go.th/media.php?id=808600132265320448&amp;name=Multivitamin_syrup_PIL.pdf","published_date":"19/3/2025"}]</x:v>
      </x:c>
      <x:c r="I210" s="31" t="str">
        <x:v>Draft</x:v>
      </x:c>
      <x:c r="J210" s="31"/>
      <x:c r="K210" s="37" t="str">
        <x:v>https://drug.fda.moph.go.th/media.php?id=808599891721986048&amp;name=Multivitamin_drop_PIL.pdf
https://drug.fda.moph.go.th/media.php?id=808600132265320448&amp;name=Multivitamin_syrup_PIL.pdf</x:v>
      </x:c>
      <x:c r="L210" s="37"/>
      <x:c r="M210" s="31" t="str">
        <x:v>YES</x:v>
      </x:c>
      <x:c r="N210" s="37" t="str">
        <x:v>Clinical review required before Published</x:v>
      </x:c>
    </x:row>
    <x:row r="211">
      <x:c r="A211" s="31" t="str">
        <x:v>multivitamins</x:v>
      </x:c>
      <x:c r="B211" s="31" t="str">
        <x:v>Multivitamins</x:v>
      </x:c>
      <x:c r="C211" s="37" t="str">
        <x:v>ไม่เพียงพอ เพื่อลดความเสี่ยงการขาดวิตามิน</x:v>
      </x:c>
      <x:c r="D211" s="31" t="str">
        <x:v>รอตรวจสอบ</x:v>
      </x:c>
      <x:c r="E211" s="31" t="str">
        <x:v>[]</x:v>
      </x:c>
      <x:c r="F211" s="37" t="str">
        <x:v>รักษาผู้ ที่มีภาวะขาดวิตามิน • รักษาผู้ ที่ขาดสารอาหารหรือรับประทานอาหาร ไม่เพียงพอ เพื่อลดความเสี่ยงการขาดวิตามิน • ใช ้บํารุงร่างกาย • เสริมสร้ างสุขภาพหรือการเจริญเติบโตของ ร่างกาย</x:v>
      </x:c>
      <x:c r="G211" s="32" t="b">
        <x:v>0</x:v>
      </x:c>
      <x:c r="H211" s="37" t="str">
        <x:v>[{"type":"PIL","url":"https://drug.fda.moph.go.th/media.php?id=733942030962663424&amp;name=56 PIL_Multivitamins ชนิดเม็ดและแคปซูล_(11042024).pdf","published_date":"10/4/2024"}]</x:v>
      </x:c>
      <x:c r="I211" s="31" t="str">
        <x:v>Draft</x:v>
      </x:c>
      <x:c r="J211" s="31"/>
      <x:c r="K211" s="37" t="str">
        <x:v>https://drug.fda.moph.go.th/media.php?id=733942030962663424&amp;name=56 PIL_Multivitamins ชนิดเม็ดและแคปซูล_(11042024).pdf</x:v>
      </x:c>
      <x:c r="L211" s="37"/>
      <x:c r="M211" s="31" t="str">
        <x:v>YES</x:v>
      </x:c>
      <x:c r="N211" s="37" t="str">
        <x:v>Clinical review required before Published</x:v>
      </x:c>
    </x:row>
    <x:row r="212">
      <x:c r="A212" s="31" t="str">
        <x:v>naproxen</x:v>
      </x:c>
      <x:c r="B212" s="31" t="str">
        <x:v>Naproxen</x:v>
      </x:c>
      <x:c r="C212" s="37" t="str">
        <x:v>รอตรวจสอบชื่อภาษาไทย</x:v>
      </x:c>
      <x:c r="D212" s="31" t="str">
        <x:v>รอตรวจสอบ</x:v>
      </x:c>
      <x:c r="E212" s="31" t="str">
        <x:v>[]</x:v>
      </x:c>
      <x:c r="F212" s="37" t="str">
        <x:v>ข้อมูลฉบับร่างจากเอกสารอ้างอิง อย. รอตรวจทานโดยผู้เชี่ยวชาญ</x:v>
      </x:c>
      <x:c r="G212" s="32" t="b">
        <x:v>0</x:v>
      </x:c>
      <x:c r="H212" s="37" t="str">
        <x:v>[{"type":"SMPC","url":"https://drug.fda.moph.go.th/media.php?id=810422587254513664&amp;name=SMPC_Naproxen_Tablets.pdf","published_date":"29/11/2024"}]</x:v>
      </x:c>
      <x:c r="I212" s="31" t="str">
        <x:v>Draft</x:v>
      </x:c>
      <x:c r="J212" s="31"/>
      <x:c r="K212" s="37"/>
      <x:c r="L212" s="37" t="str">
        <x:v>https://drug.fda.moph.go.th/media.php?id=810422587254513664&amp;name=SMPC_Naproxen_Tablets.pdf</x:v>
      </x:c>
      <x:c r="M212" s="31" t="str">
        <x:v>YES</x:v>
      </x:c>
      <x:c r="N212" s="37" t="str">
        <x:v>Clinical review required before Published</x:v>
      </x:c>
    </x:row>
    <x:row r="213">
      <x:c r="A213" s="31" t="str">
        <x:v>niclosamide</x:v>
      </x:c>
      <x:c r="B213" s="31" t="str">
        <x:v>niclosamide</x:v>
      </x:c>
      <x:c r="C213" s="37" t="str">
        <x:v>นิ-โคล-ซา-ไมด์</x:v>
      </x:c>
      <x:c r="D213" s="31" t="str">
        <x:v>รอตรวจสอบ</x:v>
      </x:c>
      <x:c r="E213" s="31" t="str">
        <x:v>[]</x:v>
      </x:c>
      <x:c r="F213" s="37" t="str">
        <x:v>ใช ้เพื่อถ่ายพยาธิตัวตืด ได ้ แก่ พยาธิตืดวัว พยาธิตืดหมู พยาธิตืดปลา และ พยาธิตืดแคระ</x:v>
      </x:c>
      <x:c r="G213" s="32" t="b">
        <x:v>0</x:v>
      </x:c>
      <x:c r="H213" s="37" t="str">
        <x:v>[{"type":"PIL","url":"https://drug.fda.moph.go.th/media.php?id=862918387754475520&amp;name=36.Niclosamide_Tablets_PIL_final.pdf","published_date":"13/2/2026"}]</x:v>
      </x:c>
      <x:c r="I213" s="31" t="str">
        <x:v>Draft</x:v>
      </x:c>
      <x:c r="J213" s="31"/>
      <x:c r="K213" s="37" t="str">
        <x:v>https://drug.fda.moph.go.th/media.php?id=862918387754475520&amp;name=36.Niclosamide_Tablets_PIL_final.pdf</x:v>
      </x:c>
      <x:c r="L213" s="37"/>
      <x:c r="M213" s="31" t="str">
        <x:v>YES</x:v>
      </x:c>
      <x:c r="N213" s="37" t="str">
        <x:v>Clinical review required before Published</x:v>
      </x:c>
    </x:row>
    <x:row r="214">
      <x:c r="A214" s="31" t="str">
        <x:v>nicotinic_acid</x:v>
      </x:c>
      <x:c r="B214" s="31" t="str">
        <x:v>Nicotinic acid</x:v>
      </x:c>
      <x:c r="C214" s="37" t="str">
        <x:v>กรด-นิ-โค-ติ-นิก</x:v>
      </x:c>
      <x:c r="D214" s="31" t="str">
        <x:v>รอตรวจสอบ</x:v>
      </x:c>
      <x:c r="E214" s="31" t="str">
        <x:v>[]</x:v>
      </x:c>
      <x:c r="F214" s="37" t="str">
        <x:v>ใช ้ร่วมกับยาลดไขมันในเลือด เพื่อช่วยลดระดับไขมันใน เลือด • ใช ้รักษาภาวะร่างกายขาดกรดนิโคตินิก</x:v>
      </x:c>
      <x:c r="G214" s="32" t="b">
        <x:v>0</x:v>
      </x:c>
      <x:c r="H214" s="37" t="str">
        <x:v>[{"type":"PIL","url":"https://drug.fda.moph.go.th/media.php?id=730445941231984640&amp;name=pil_Nicotinic acid (TABLET).pdf","published_date":"9/11/2023"}]</x:v>
      </x:c>
      <x:c r="I214" s="31" t="str">
        <x:v>Draft</x:v>
      </x:c>
      <x:c r="J214" s="31"/>
      <x:c r="K214" s="37" t="str">
        <x:v>https://drug.fda.moph.go.th/media.php?id=730445941231984640&amp;name=pil_Nicotinic acid (TABLET).pdf</x:v>
      </x:c>
      <x:c r="L214" s="37"/>
      <x:c r="M214" s="31" t="str">
        <x:v>YES</x:v>
      </x:c>
      <x:c r="N214" s="37" t="str">
        <x:v>Clinical review required before Published</x:v>
      </x:c>
    </x:row>
    <x:row r="215">
      <x:c r="A215" s="31" t="str">
        <x:v>nimodipine</x:v>
      </x:c>
      <x:c r="B215" s="31" t="str">
        <x:v>Nimodipine</x:v>
      </x:c>
      <x:c r="C215" s="37" t="str">
        <x:v>รอตรวจสอบชื่อภาษาไทย</x:v>
      </x:c>
      <x:c r="D215" s="31" t="str">
        <x:v>รอตรวจสอบ</x:v>
      </x:c>
      <x:c r="E215" s="31" t="str">
        <x:v>[]</x:v>
      </x:c>
      <x:c r="F215" s="37" t="str">
        <x:v>ข้อมูลฉบับร่างจากเอกสารอ้างอิง อย. รอตรวจทานโดยผู้เชี่ยวชาญ</x:v>
      </x:c>
      <x:c r="G215" s="32" t="b">
        <x:v>0</x:v>
      </x:c>
      <x:c r="H215" s="37" t="str">
        <x:v>[{"type":"SMPC","url":"https://drug.fda.moph.go.th/media.php?id=810423093272125440&amp;name=SMPC_Nimodipine_Solution for Infusion.pdf","published_date":"22/11/2024"}]</x:v>
      </x:c>
      <x:c r="I215" s="31" t="str">
        <x:v>Draft</x:v>
      </x:c>
      <x:c r="J215" s="31"/>
      <x:c r="K215" s="37"/>
      <x:c r="L215" s="37" t="str">
        <x:v>https://drug.fda.moph.go.th/media.php?id=810423093272125440&amp;name=SMPC_Nimodipine_Solution for Infusion.pdf</x:v>
      </x:c>
      <x:c r="M215" s="31" t="str">
        <x:v>YES</x:v>
      </x:c>
      <x:c r="N215" s="37" t="str">
        <x:v>Clinical review required before Published</x:v>
      </x:c>
    </x:row>
    <x:row r="216">
      <x:c r="A216" s="31" t="str">
        <x:v>norethisterone_ethinylestradiol</x:v>
      </x:c>
      <x:c r="B216" s="31" t="str">
        <x:v>Norethisterone + Ethinylestradiol</x:v>
      </x:c>
      <x:c r="C216" s="37" t="str">
        <x:v>รอตรวจสอบชื่อภาษาไทย</x:v>
      </x:c>
      <x:c r="D216" s="31" t="str">
        <x:v>รอตรวจสอบ</x:v>
      </x:c>
      <x:c r="E216" s="31" t="str">
        <x:v>[]</x:v>
      </x:c>
      <x:c r="F216" s="37" t="str">
        <x:v>ข้อมูลฉบับร่างจากเอกสารอ้างอิง อย. รอตรวจทานโดยผู้เชี่ยวชาญ</x:v>
      </x:c>
      <x:c r="G216" s="32" t="b">
        <x:v>0</x:v>
      </x:c>
      <x:c r="H216" s="37" t="str">
        <x:v>[{"type":"SMPC","url":"https://drug.fda.moph.go.th/media.php?id=810423555446677504&amp;name=SMPC_Norethisterone+ethinylestradiol_Tablets.pdf","published_date":"14/5/2025"}]</x:v>
      </x:c>
      <x:c r="I216" s="31" t="str">
        <x:v>Draft</x:v>
      </x:c>
      <x:c r="J216" s="31"/>
      <x:c r="K216" s="37"/>
      <x:c r="L216" s="37" t="str">
        <x:v>https://drug.fda.moph.go.th/media.php?id=810423555446677504&amp;name=SMPC_Norethisterone+ethinylestradiol_Tablets.pdf</x:v>
      </x:c>
      <x:c r="M216" s="31" t="str">
        <x:v>YES</x:v>
      </x:c>
      <x:c r="N216" s="37" t="str">
        <x:v>Clinical review required before Published</x:v>
      </x:c>
    </x:row>
    <x:row r="217">
      <x:c r="A217" s="31" t="str">
        <x:v>norfloxacin</x:v>
      </x:c>
      <x:c r="B217" s="31" t="str">
        <x:v>norfloxacin</x:v>
      </x:c>
      <x:c r="C217" s="37" t="str">
        <x:v>นอร์ฟล็อกซาซิน</x:v>
      </x:c>
      <x:c r="D217" s="31" t="str">
        <x:v>รอตรวจสอบ</x:v>
      </x:c>
      <x:c r="E217" s="31" t="str">
        <x:v>[]</x:v>
      </x:c>
      <x:c r="F217" s="37" t="str">
        <x:v>ใช ้รักษาการติดเชื้อแบคทีเรีย</x:v>
      </x:c>
      <x:c r="G217" s="32" t="b">
        <x:v>0</x:v>
      </x:c>
      <x:c r="H217" s="37" t="str">
        <x:v>[{"type":"PIL","url":"https://drug.fda.moph.go.th/media.php?id=862918392955412480&amp;name=19.norfloxacin_tablets_PIL_final.pdf","published_date":"13/2/2026"}]</x:v>
      </x:c>
      <x:c r="I217" s="31" t="str">
        <x:v>Draft</x:v>
      </x:c>
      <x:c r="J217" s="31"/>
      <x:c r="K217" s="37" t="str">
        <x:v>https://drug.fda.moph.go.th/media.php?id=862918392955412480&amp;name=19.norfloxacin_tablets_PIL_final.pdf</x:v>
      </x:c>
      <x:c r="L217" s="37"/>
      <x:c r="M217" s="31" t="str">
        <x:v>YES</x:v>
      </x:c>
      <x:c r="N217" s="37" t="str">
        <x:v>Clinical review required before Published</x:v>
      </x:c>
    </x:row>
    <x:row r="218">
      <x:c r="A218" s="31" t="str">
        <x:v>nortriptyline</x:v>
      </x:c>
      <x:c r="B218" s="31" t="str">
        <x:v>Nortriptyline</x:v>
      </x:c>
      <x:c r="C218" s="37" t="str">
        <x:v>นอร์-ทริป-ไท-ลีน-ไฮ-โดร-คลอ-ไรด์</x:v>
      </x:c>
      <x:c r="D218" s="31" t="str">
        <x:v>รอตรวจสอบ</x:v>
      </x:c>
      <x:c r="E218" s="31" t="str">
        <x:v>[]</x:v>
      </x:c>
      <x:c r="F218" s="37" t="str">
        <x:v>ใช ้รักษาโรคซึมเศร ้า</x:v>
      </x:c>
      <x:c r="G218" s="32" t="b">
        <x:v>0</x:v>
      </x:c>
      <x:c r="H218" s="37" t="str">
        <x:v>[{"type":"SMPC","url":"https://drug.fda.moph.go.th/media.php?id=810424052261986304&amp;name=SMPC_Nortriptyline_Film-coated Tablet.pdf","published_date":"27/11/2024"},{"type":"PIL","url":"https://drug.fda.moph.go.th/media.php?id=862918385342750720&amp;name=45.Nortriptyline_tablet_PIL.pdf","published_date":"13/2/2026"}]</x:v>
      </x:c>
      <x:c r="I218" s="31" t="str">
        <x:v>Draft</x:v>
      </x:c>
      <x:c r="J218" s="31"/>
      <x:c r="K218" s="37" t="str">
        <x:v>https://drug.fda.moph.go.th/media.php?id=862918385342750720&amp;name=45.Nortriptyline_tablet_PIL.pdf</x:v>
      </x:c>
      <x:c r="L218" s="37" t="str">
        <x:v>https://drug.fda.moph.go.th/media.php?id=810424052261986304&amp;name=SMPC_Nortriptyline_Film-coated Tablet.pdf</x:v>
      </x:c>
      <x:c r="M218" s="31" t="str">
        <x:v>YES</x:v>
      </x:c>
      <x:c r="N218" s="37" t="str">
        <x:v>Clinical review required before Published</x:v>
      </x:c>
    </x:row>
    <x:row r="219">
      <x:c r="A219" s="31" t="str">
        <x:v>nystatin</x:v>
      </x:c>
      <x:c r="B219" s="31" t="str">
        <x:v>Nystatin</x:v>
      </x:c>
      <x:c r="C219" s="37" t="str">
        <x:v>นิส-สะ-ทา-ทิน</x:v>
      </x:c>
      <x:c r="D219" s="31" t="str">
        <x:v>รอตรวจสอบ</x:v>
      </x:c>
      <x:c r="E219" s="31" t="str">
        <x:v>[]</x:v>
      </x:c>
      <x:c r="F219" s="37" t="str">
        <x:v>ใช ้เพื่อรักษาการติดเชื้อราในช่องคลอด</x:v>
      </x:c>
      <x:c r="G219" s="32" t="b">
        <x:v>0</x:v>
      </x:c>
      <x:c r="H219" s="37" t="str">
        <x:v>[{"type":"PIL","url":"https://drug.fda.moph.go.th/media.php?id=730446059045789696&amp;name=pil_Nystatin(VAGINAL SUPPOSITORIES).pdf","published_date":"9/11/2023"},{"type":"SMPC","url":"https://drug.fda.moph.go.th/media.php?id=810424746264109056&amp;name=SMPC_Nystatin_Vaginal Tablets.pdf","published_date":"21/11/2024"}]</x:v>
      </x:c>
      <x:c r="I219" s="31" t="str">
        <x:v>Draft</x:v>
      </x:c>
      <x:c r="J219" s="31"/>
      <x:c r="K219" s="37" t="str">
        <x:v>https://drug.fda.moph.go.th/media.php?id=730446059045789696&amp;name=pil_Nystatin(VAGINAL SUPPOSITORIES).pdf</x:v>
      </x:c>
      <x:c r="L219" s="37" t="str">
        <x:v>https://drug.fda.moph.go.th/media.php?id=810424746264109056&amp;name=SMPC_Nystatin_Vaginal Tablets.pdf</x:v>
      </x:c>
      <x:c r="M219" s="31" t="str">
        <x:v>YES</x:v>
      </x:c>
      <x:c r="N219" s="37" t="str">
        <x:v>Clinical review required before Published</x:v>
      </x:c>
    </x:row>
    <x:row r="220">
      <x:c r="A220" s="31" t="str">
        <x:v>ofloxacin</x:v>
      </x:c>
      <x:c r="B220" s="31" t="str">
        <x:v>Ofloxacin</x:v>
      </x:c>
      <x:c r="C220" s="37" t="str">
        <x:v>โอฟล็อกซาซิน</x:v>
      </x:c>
      <x:c r="D220" s="31" t="str">
        <x:v>รอตรวจสอบ</x:v>
      </x:c>
      <x:c r="E220" s="31" t="str">
        <x:v>[]</x:v>
      </x:c>
      <x:c r="F220" s="37" t="str">
        <x:v>● ใช ้เพื่อรักษาโรคติดเชื้อแบคทีเรียบางชนิดที่ไวต่อยานี้</x:v>
      </x:c>
      <x:c r="G220" s="32" t="b">
        <x:v>0</x:v>
      </x:c>
      <x:c r="H220" s="37" t="str">
        <x:v>[{"type":"SMPC","url":"https://drug.fda.moph.go.th/media.php?id=810425338315284480&amp;name=SMPC_Ofloxacin_Film-coated Tablet.pdf","published_date":"26/11/2024"},{"type":"SMPC","url":"https://drug.fda.moph.go.th/media.php?id=810425581312286720&amp;name=SMPC_Ofloxacin_Tablet.pdf","published_date":"26/11/2024"},{"type":"PIL","url":"https://drug.fda.moph.go.th/media.php?id=862918389574803456&amp;name=18.ofloxacin_tablets_PIL_final.pdf","published_date":"13/2/2026"}]</x:v>
      </x:c>
      <x:c r="I220" s="31" t="str">
        <x:v>Draft</x:v>
      </x:c>
      <x:c r="J220" s="31"/>
      <x:c r="K220" s="37" t="str">
        <x:v>https://drug.fda.moph.go.th/media.php?id=862918389574803456&amp;name=18.ofloxacin_tablets_PIL_final.pdf</x:v>
      </x:c>
      <x:c r="L220" s="37" t="str">
        <x:v>https://drug.fda.moph.go.th/media.php?id=810425338315284480&amp;name=SMPC_Ofloxacin_Film-coated Tablet.pdf
https://drug.fda.moph.go.th/media.php?id=810425581312286720&amp;name=SMPC_Ofloxacin_Tablet.pdf</x:v>
      </x:c>
      <x:c r="M220" s="31" t="str">
        <x:v>YES</x:v>
      </x:c>
      <x:c r="N220" s="37" t="str">
        <x:v>Clinical review required before Published</x:v>
      </x:c>
    </x:row>
    <x:row r="221">
      <x:c r="A221" s="31" t="str">
        <x:v>omeprazole</x:v>
      </x:c>
      <x:c r="B221" s="31" t="str">
        <x:v>Omeprazole</x:v>
      </x:c>
      <x:c r="C221" s="37" t="str">
        <x:v>โอมีพราโซลโซเดียม</x:v>
      </x:c>
      <x:c r="D221" s="31" t="str">
        <x:v>รอตรวจสอบ</x:v>
      </x:c>
      <x:c r="E221" s="31" t="str">
        <x:v>[]</x:v>
      </x:c>
      <x:c r="F221" s="37" t="str">
        <x:v>● รักษาและป้องกันการกลับเป็ นซ ้าของแผลในกร ะเพาะอาหารหรือล าไส ้เล็กส่วนต ้น ● รักษาโรคกรดไหลย ้ อน หรือภาวะกรดเกิน ● รักษาและป้องกันโรคแผลในกระเพาะอาหาร หรือล าไส ้เล็กส่วนต ้นที่เกิดจากยาต ้านอักเสบที่ ไม่ใช่สเตอรอยด์ ● รักษาภาวะการสร ้ างกรดในกระเพาะอาหารมาก กว่าปกติ (กลุ่มอาการโซลลิงเจอร์- เอลลิสัน) ● ใช ้ร่วมกับยาปฏิชีวนะเพื่อรักษาแผลในกระเพาะ อาหารที่เกิดจากเชื้อเอชไพโลไร</x:v>
      </x:c>
      <x:c r="G221" s="32" t="b">
        <x:v>0</x:v>
      </x:c>
      <x:c r="H221" s="37" t="str">
        <x:v>[{"type":"SMPC","url":"https://drug.fda.moph.go.th/media.php?id=810426319253938176&amp;name=SMPC_Omeprazole_Hard Gastro-resistant Capsule.pdf","published_date":"22/11/2024"},{"type":"PIL","url":"https://drug.fda.moph.go.th/media.php?id=904601731147636736&amp;name=3. Ref PIL_ Omeprazole (for infusion).pdf","published_date":"8/6/2026"},{"type":"SMPC","url":"https://drug.fda.moph.go.th/media.php?id=904966130538520576&amp;name=3. Ref SmPC_Omeprazole.pdf","published_date":"8/6/2026"}]</x:v>
      </x:c>
      <x:c r="I221" s="31" t="str">
        <x:v>Draft</x:v>
      </x:c>
      <x:c r="J221" s="31"/>
      <x:c r="K221" s="37" t="str">
        <x:v>https://drug.fda.moph.go.th/media.php?id=904601731147636736&amp;name=3. Ref PIL_ Omeprazole (for infusion).pdf</x:v>
      </x:c>
      <x:c r="L221" s="37" t="str">
        <x:v>https://drug.fda.moph.go.th/media.php?id=810426319253938176&amp;name=SMPC_Omeprazole_Hard Gastro-resistant Capsule.pdf
https://drug.fda.moph.go.th/media.php?id=904966130538520576&amp;name=3. Ref SmPC_Omeprazole.pdf</x:v>
      </x:c>
      <x:c r="M221" s="31" t="str">
        <x:v>YES</x:v>
      </x:c>
      <x:c r="N221" s="37" t="str">
        <x:v>Clinical review required before Published</x:v>
      </x:c>
    </x:row>
    <x:row r="222">
      <x:c r="A222" s="31" t="str">
        <x:v>oral_rehydration_salt</x:v>
      </x:c>
      <x:c r="B222" s="31" t="str">
        <x:v>Oral rehydration salt</x:v>
      </x:c>
      <x:c r="C222" s="37" t="str">
        <x:v>ท ้ องเสีย หรืออาเจียนมากๆ</x:v>
      </x:c>
      <x:c r="D222" s="31" t="str">
        <x:v>รอตรวจสอบ</x:v>
      </x:c>
      <x:c r="E222" s="31" t="str">
        <x:v>[]</x:v>
      </x:c>
      <x:c r="F222" s="37" t="str">
        <x:v>ใช ้ทดแทนการเสียนํ้าและเกลือแร่ในผู้ที่มีอาการ ท ้ องเสีย หรืออาเจียนมากๆ</x:v>
      </x:c>
      <x:c r="G222" s="32" t="b">
        <x:v>0</x:v>
      </x:c>
      <x:c r="H222" s="37" t="str">
        <x:v>[{"type":"PIL","url":"https://drug.fda.moph.go.th/media.php?id=733941522013233152&amp;name=PIL_Oral rehydration salt_ผงน้ำตาลเกลือแร่ (15032024).pdf","published_date":"15/3/2024"}]</x:v>
      </x:c>
      <x:c r="I222" s="31" t="str">
        <x:v>Draft</x:v>
      </x:c>
      <x:c r="J222" s="31"/>
      <x:c r="K222" s="37" t="str">
        <x:v>https://drug.fda.moph.go.th/media.php?id=733941522013233152&amp;name=PIL_Oral rehydration salt_ผงน้ำตาลเกลือแร่ (15032024).pdf</x:v>
      </x:c>
      <x:c r="L222" s="37"/>
      <x:c r="M222" s="31" t="str">
        <x:v>YES</x:v>
      </x:c>
      <x:c r="N222" s="37" t="str">
        <x:v>Clinical review required before Published</x:v>
      </x:c>
    </x:row>
    <x:row r="223">
      <x:c r="A223" s="31" t="str">
        <x:v>oxytetracycline</x:v>
      </x:c>
      <x:c r="B223" s="31" t="str">
        <x:v>Oxytetracycline</x:v>
      </x:c>
      <x:c r="C223" s="37" t="str">
        <x:v>รอตรวจสอบชื่อภาษาไทย</x:v>
      </x:c>
      <x:c r="D223" s="31" t="str">
        <x:v>รอตรวจสอบ</x:v>
      </x:c>
      <x:c r="E223" s="31" t="str">
        <x:v>[]</x:v>
      </x:c>
      <x:c r="F223" s="37" t="str">
        <x:v>ข้อมูลฉบับร่างจากเอกสารอ้างอิง อย. รอตรวจทานโดยผู้เชี่ยวชาญ</x:v>
      </x:c>
      <x:c r="G223" s="32" t="b">
        <x:v>0</x:v>
      </x:c>
      <x:c r="H223" s="37" t="str">
        <x:v>[{"type":"SMPC","url":"https://drug.fda.moph.go.th/media.php?id=810426784758767616&amp;name=SMPC_Oxytetracycline_Capsules.pdf","published_date":"29/11/2024"}]</x:v>
      </x:c>
      <x:c r="I223" s="31" t="str">
        <x:v>Draft</x:v>
      </x:c>
      <x:c r="J223" s="31"/>
      <x:c r="K223" s="37"/>
      <x:c r="L223" s="37" t="str">
        <x:v>https://drug.fda.moph.go.th/media.php?id=810426784758767616&amp;name=SMPC_Oxytetracycline_Capsules.pdf</x:v>
      </x:c>
      <x:c r="M223" s="31" t="str">
        <x:v>YES</x:v>
      </x:c>
      <x:c r="N223" s="37" t="str">
        <x:v>Clinical review required before Published</x:v>
      </x:c>
    </x:row>
    <x:row r="224">
      <x:c r="A224" s="31" t="str">
        <x:v>paracetamol</x:v>
      </x:c>
      <x:c r="B224" s="31" t="str">
        <x:v>Paracetamol</x:v>
      </x:c>
      <x:c r="C224" s="37" t="str">
        <x:v>พา-รา-เซ-ตา-มอล</x:v>
      </x:c>
      <x:c r="D224" s="31" t="str">
        <x:v>รอตรวจสอบ</x:v>
      </x:c>
      <x:c r="E224" s="31" t="str">
        <x:v>[]</x:v>
      </x:c>
      <x:c r="F224" s="37" t="str">
        <x:v>ใช ้เพื่อลดไข ้ • ใช ้บรรเทาอาการปวดเล็กน ้อยถึงปานกลางเช่น ปวด ศีรษะ ปวดเมื่อยจากไข ้หวัด ปวดฟัน ปวดกล ้ามเนื้อ ปวดหลัง</x:v>
      </x:c>
      <x:c r="G224" s="32" t="b">
        <x:v>0</x:v>
      </x:c>
      <x:c r="H224" s="37" t="str">
        <x:v>[{"type":"PIL","url":"https://drug.fda.moph.go.th/media.php?id=808600728649211904&amp;name=Paracetamol_suspension_PIL.pdf","published_date":"19/3/2025"},{"type":"SMPC","url":"https://drug.fda.moph.go.th/media.php?id=810427720377966592&amp;name=SMPC_Paracetamol_Capsules.pdf","published_date":"27/11/2024"},{"type":"SMPC","url":"https://drug.fda.moph.go.th/media.php?id=810428236826812416&amp;name=SMPC_Paracetamol_Elixir.pdf","published_date":"27/11/2024"},{"type":"SMPC","url":"https://drug.fda.moph.go.th/media.php?id=810428697118121984&amp;name=SMPC_Paracetamol_Solutions for injections or infusions.pdf","published_date":"27/11/2024"},{"type":"SMPC","url":"https://drug.fda.moph.go.th/media.php?id=810429112165474304&amp;name=SMPC_Paracetamol_Syrup.pdf","published_date":"27/11/2024"},{"type":"PIL","url":"https://drug.fda.moph.go.th/media.php?id=733925689249636352&amp;name=PIL_para 120mg-5ml Syr.pdf","published_date":null},{"type":"PIL","url":"https://drug.fda.moph.go.th/media.php?id=733925715686334464&amp;name=PIL_para 325 mg tab.pdf","published_date":null},{"type":"PIL","url":"https://drug.fda.moph.go.th/media.php?id=733925745348452352&amp;name=PIL_para 500 mg tab.pdf","published_date":null},{"type":"SMPC","url":"https://drug.fda.moph.go.th/media.php?id=810429959502962688&amp;name=SMPC_Paracetamol_suspension.pdf","published_date":"27/11/2024"},{"type":"SMPC","url":"https://drug.fda.moph.go.th/media.php?id=810430466103582720&amp;name=SMPC_Paracetamol_Tablet.pdf","published_date":"27/11/2024"}]</x:v>
      </x:c>
      <x:c r="I224" s="31" t="str">
        <x:v>Draft</x:v>
      </x:c>
      <x:c r="J224" s="31" t="str">
        <x:v>120 mg/5 ml; 325 mg; 500 MG</x:v>
      </x:c>
      <x:c r="K224" s="37" t="str">
        <x:v>https://drug.fda.moph.go.th/media.php?id=808600728649211904&amp;name=Paracetamol_suspension_PIL.pdf
https://drug.fda.moph.go.th/media.php?id=733925689249636352&amp;name=PIL_para 120mg-5ml Syr.pdf
https://drug.fda.moph.go.th/media.php?id=733925715686334464&amp;name=PIL_para 325 mg tab.pdf
https://drug.fda.moph.go.th/media.php?id=733925745348452352&amp;name=PIL_para 500 mg tab.pdf</x:v>
      </x:c>
      <x:c r="L224" s="37" t="str">
        <x:v>https://drug.fda.moph.go.th/media.php?id=810427720377966592&amp;name=SMPC_Paracetamol_Capsules.pdf
https://drug.fda.moph.go.th/media.php?id=810428236826812416&amp;name=SMPC_Paracetamol_Elixir.pdf
https://drug.fda.moph.go.th/media.php?id=810428697118121984&amp;name=SMPC_Paracetamol_Solutions for injections or infusions.pdf
https://drug.fda.moph.go.th/media.php?id=810429112165474304&amp;name=SMPC_Paracetamol_Syrup.pdf
https://drug.fda.moph.go.th/media.php?id=810429959502962688&amp;name=SMPC_Paracetamol_suspension.pdf
https://drug.fda.moph.go.th/media.php?id=810430466103582720&amp;name=SMPC_Paracetamol_Tablet.pdf</x:v>
      </x:c>
      <x:c r="M224" s="31" t="str">
        <x:v>YES</x:v>
      </x:c>
      <x:c r="N224" s="37" t="str">
        <x:v>Clinical review required before Published</x:v>
      </x:c>
    </x:row>
    <x:row r="225">
      <x:c r="A225" s="31" t="str">
        <x:v>peppermint_water</x:v>
      </x:c>
      <x:c r="B225" s="31" t="str">
        <x:v>Peppermint water</x:v>
      </x:c>
      <x:c r="C225" s="37" t="str">
        <x:v>รอตรวจสอบชื่อภาษาไทย</x:v>
      </x:c>
      <x:c r="D225" s="31" t="str">
        <x:v>รอตรวจสอบ</x:v>
      </x:c>
      <x:c r="E225" s="31" t="str">
        <x:v>[]</x:v>
      </x:c>
      <x:c r="F225" s="37" t="str">
        <x:v>ข้อมูลฉบับร่างจากเอกสารอ้างอิง อย. รอตรวจทานโดยผู้เชี่ยวชาญ</x:v>
      </x:c>
      <x:c r="G225" s="32" t="b">
        <x:v>0</x:v>
      </x:c>
      <x:c r="H225" s="37" t="str">
        <x:v>[{"type":"SMPC","url":"https://drug.fda.moph.go.th/media.php?id=810431145572442112&amp;name=SMPC_Peppermint oil_solution.pdf","published_date":"26/11/2024"}]</x:v>
      </x:c>
      <x:c r="I225" s="31" t="str">
        <x:v>Draft</x:v>
      </x:c>
      <x:c r="J225" s="31" t="str">
        <x:v>2.5 μl/2 ml</x:v>
      </x:c>
      <x:c r="K225" s="37"/>
      <x:c r="L225" s="37" t="str">
        <x:v>https://drug.fda.moph.go.th/media.php?id=810431145572442112&amp;name=SMPC_Peppermint oil_solution.pdf</x:v>
      </x:c>
      <x:c r="M225" s="31" t="str">
        <x:v>YES</x:v>
      </x:c>
      <x:c r="N225" s="37" t="str">
        <x:v>Clinical review required before Published</x:v>
      </x:c>
    </x:row>
    <x:row r="226">
      <x:c r="A226" s="31" t="str">
        <x:v>perphenazine</x:v>
      </x:c>
      <x:c r="B226" s="31" t="str">
        <x:v>perphenazine</x:v>
      </x:c>
      <x:c r="C226" s="37" t="str">
        <x:v>เพอ-เฟ-นา-ซีน</x:v>
      </x:c>
      <x:c r="D226" s="31" t="str">
        <x:v>รอตรวจสอบ</x:v>
      </x:c>
      <x:c r="E226" s="31" t="str">
        <x:v>[]</x:v>
      </x:c>
      <x:c r="F226" s="37" t="str">
        <x:v>ใช ้รักษาโรคจิตเภท • ใช ้รักษาอาการคลื่นไส ้ อาเจียน</x:v>
      </x:c>
      <x:c r="G226" s="32" t="b">
        <x:v>0</x:v>
      </x:c>
      <x:c r="H226" s="37" t="str">
        <x:v>[{"type":"PIL","url":"https://drug.fda.moph.go.th/media.php?id=862918385070120960&amp;name=46.Perphenazine_tablet_PIL.pdf","published_date":"13/2/2026"}]</x:v>
      </x:c>
      <x:c r="I226" s="31" t="str">
        <x:v>Draft</x:v>
      </x:c>
      <x:c r="J226" s="31"/>
      <x:c r="K226" s="37" t="str">
        <x:v>https://drug.fda.moph.go.th/media.php?id=862918385070120960&amp;name=46.Perphenazine_tablet_PIL.pdf</x:v>
      </x:c>
      <x:c r="L226" s="37"/>
      <x:c r="M226" s="31" t="str">
        <x:v>YES</x:v>
      </x:c>
      <x:c r="N226" s="37" t="str">
        <x:v>Clinical review required before Published</x:v>
      </x:c>
    </x:row>
    <x:row r="227">
      <x:c r="A227" s="31" t="str">
        <x:v>phenol</x:v>
      </x:c>
      <x:c r="B227" s="31" t="str">
        <x:v>Phenol</x:v>
      </x:c>
      <x:c r="C227" s="37" t="str">
        <x:v>รอตรวจสอบชื่อภาษาไทย</x:v>
      </x:c>
      <x:c r="D227" s="31" t="str">
        <x:v>รอตรวจสอบ</x:v>
      </x:c>
      <x:c r="E227" s="31" t="str">
        <x:v>[]</x:v>
      </x:c>
      <x:c r="F227" s="37" t="str">
        <x:v>ข้อมูลฉบับร่างจากเอกสารอ้างอิง อย. รอตรวจทานโดยผู้เชี่ยวชาญ</x:v>
      </x:c>
      <x:c r="G227" s="32" t="b">
        <x:v>0</x:v>
      </x:c>
      <x:c r="H227" s="37" t="str">
        <x:v>[{"type":"SMPC","url":"https://drug.fda.moph.go.th/media.php?id=810431642043817984&amp;name=SMPC_Phenol_injection.pdf","published_date":"26/11/2024"}]</x:v>
      </x:c>
      <x:c r="I227" s="31" t="str">
        <x:v>Draft</x:v>
      </x:c>
      <x:c r="J227" s="31" t="str">
        <x:v>5%w/v</x:v>
      </x:c>
      <x:c r="K227" s="37"/>
      <x:c r="L227" s="37" t="str">
        <x:v>https://drug.fda.moph.go.th/media.php?id=810431642043817984&amp;name=SMPC_Phenol_injection.pdf</x:v>
      </x:c>
      <x:c r="M227" s="31" t="str">
        <x:v>YES</x:v>
      </x:c>
      <x:c r="N227" s="37" t="str">
        <x:v>Clinical review required before Published</x:v>
      </x:c>
    </x:row>
    <x:row r="228">
      <x:c r="A228" s="31" t="str">
        <x:v>phenoxymethylpenicillin</x:v>
      </x:c>
      <x:c r="B228" s="31" t="str">
        <x:v>phenoxymethylpenicillin</x:v>
      </x:c>
      <x:c r="C228" s="37" t="str">
        <x:v>ฟี น็อกซีเมทิลเพนิซิลลิน</x:v>
      </x:c>
      <x:c r="D228" s="31" t="str">
        <x:v>รอตรวจสอบ</x:v>
      </x:c>
      <x:c r="E228" s="31" t="str">
        <x:v>[]</x:v>
      </x:c>
      <x:c r="F228" s="37" t="str">
        <x:v>ใช ้รักษาโรคติดเชื้อแบคทีเรียที่ไวต่อยานี้</x:v>
      </x:c>
      <x:c r="G228" s="32" t="b">
        <x:v>0</x:v>
      </x:c>
      <x:c r="H228" s="37" t="str">
        <x:v>[{"type":"PIL","url":"https://drug.fda.moph.go.th/media.php?id=862918394427613184&amp;name=22.Phenoxymethylpenicillin_dry_syup_PIL_final_.pdf","published_date":"13/2/2026"}]</x:v>
      </x:c>
      <x:c r="I228" s="31" t="str">
        <x:v>Draft</x:v>
      </x:c>
      <x:c r="J228" s="31"/>
      <x:c r="K228" s="37" t="str">
        <x:v>https://drug.fda.moph.go.th/media.php?id=862918394427613184&amp;name=22.Phenoxymethylpenicillin_dry_syup_PIL_final_.pdf</x:v>
      </x:c>
      <x:c r="L228" s="37"/>
      <x:c r="M228" s="31" t="str">
        <x:v>YES</x:v>
      </x:c>
      <x:c r="N228" s="37" t="str">
        <x:v>Clinical review required before Published</x:v>
      </x:c>
    </x:row>
    <x:row r="229">
      <x:c r="A229" s="31" t="str">
        <x:v>phenoxymethylpenicillin_penicillin_v</x:v>
      </x:c>
      <x:c r="B229" s="31" t="str">
        <x:v>Phenoxymethylpenicillin (Penicillin V)</x:v>
      </x:c>
      <x:c r="C229" s="37" t="str">
        <x:v>รอตรวจสอบชื่อภาษาไทย</x:v>
      </x:c>
      <x:c r="D229" s="31" t="str">
        <x:v>รอตรวจสอบ</x:v>
      </x:c>
      <x:c r="E229" s="31" t="str">
        <x:v>[]</x:v>
      </x:c>
      <x:c r="F229" s="37" t="str">
        <x:v>ข้อมูลฉบับร่างจากเอกสารอ้างอิง อย. รอตรวจทานโดยผู้เชี่ยวชาญ</x:v>
      </x:c>
      <x:c r="G229" s="32" t="b">
        <x:v>0</x:v>
      </x:c>
      <x:c r="H229" s="37" t="str">
        <x:v>[{"type":"SMPC","url":"https://drug.fda.moph.go.th/media.php?id=810432142491394048&amp;name=SMPC_Phenoxymethylpenicillin potassium_Dry syrup.pdf","published_date":"29/11/2024"}]</x:v>
      </x:c>
      <x:c r="I229" s="31" t="str">
        <x:v>Draft</x:v>
      </x:c>
      <x:c r="J229" s="31"/>
      <x:c r="K229" s="37"/>
      <x:c r="L229" s="37" t="str">
        <x:v>https://drug.fda.moph.go.th/media.php?id=810432142491394048&amp;name=SMPC_Phenoxymethylpenicillin potassium_Dry syrup.pdf</x:v>
      </x:c>
      <x:c r="M229" s="31" t="str">
        <x:v>YES</x:v>
      </x:c>
      <x:c r="N229" s="37" t="str">
        <x:v>Clinical review required before Published</x:v>
      </x:c>
    </x:row>
    <x:row r="230">
      <x:c r="A230" s="31" t="str">
        <x:v>phenoxymethylpenicillin_potassium_penicillin_v</x:v>
      </x:c>
      <x:c r="B230" s="31" t="str">
        <x:v>phenoxymethylpenicillin potassium (penicillin V)</x:v>
      </x:c>
      <x:c r="C230" s="37" t="str">
        <x:v>ฟี น็อกซีเมทิลเพนิซิลลิน</x:v>
      </x:c>
      <x:c r="D230" s="31" t="str">
        <x:v>รอตรวจสอบ</x:v>
      </x:c>
      <x:c r="E230" s="31" t="str">
        <x:v>[]</x:v>
      </x:c>
      <x:c r="F230" s="37" t="str">
        <x:v>ใช ้รักษาโรคติดเชื้อแบคทีเรียบางชนิดที่ไวต่อยานี้</x:v>
      </x:c>
      <x:c r="G230" s="32" t="b">
        <x:v>0</x:v>
      </x:c>
      <x:c r="H230" s="37" t="str">
        <x:v>[{"type":"PIL","url":"https://drug.fda.moph.go.th/media.php?id=862918396285689856&amp;name=23.phenoxymethylpenicillin potassium_tablets_PIL_final.pdf","published_date":"13/2/2026"}]</x:v>
      </x:c>
      <x:c r="I230" s="31" t="str">
        <x:v>Draft</x:v>
      </x:c>
      <x:c r="J230" s="31"/>
      <x:c r="K230" s="37" t="str">
        <x:v>https://drug.fda.moph.go.th/media.php?id=862918396285689856&amp;name=23.phenoxymethylpenicillin potassium_tablets_PIL_final.pdf</x:v>
      </x:c>
      <x:c r="L230" s="37"/>
      <x:c r="M230" s="31" t="str">
        <x:v>YES</x:v>
      </x:c>
      <x:c r="N230" s="37" t="str">
        <x:v>Clinical review required before Published</x:v>
      </x:c>
    </x:row>
    <x:row r="231">
      <x:c r="A231" s="31" t="str">
        <x:v>pimozide</x:v>
      </x:c>
      <x:c r="B231" s="31" t="str">
        <x:v>Pimozide</x:v>
      </x:c>
      <x:c r="C231" s="37" t="str">
        <x:v>พิโมไซด์</x:v>
      </x:c>
      <x:c r="D231" s="31" t="str">
        <x:v>รอตรวจสอบ</x:v>
      </x:c>
      <x:c r="E231" s="31" t="str">
        <x:v>[]</x:v>
      </x:c>
      <x:c r="F231" s="37" t="str">
        <x:v>ใช ้เพื่อรักษาอาการผิดปกติทางจิตและประสาท เช่น อาการสับสน อาการประสาทหลอน อาการหลงผิด และอาการหวาดระแวง</x:v>
      </x:c>
      <x:c r="G231" s="32" t="b">
        <x:v>0</x:v>
      </x:c>
      <x:c r="H231" s="37" t="str">
        <x:v>[{"type":"SMPC","url":"https://drug.fda.moph.go.th/media.php?id=810432738745262080&amp;name=SMPC_Pimozide_Tablet.pdf","published_date":"26/11/2024"},{"type":"PIL","url":"https://drug.fda.moph.go.th/media.php?id=862918387037249536&amp;name=38.Pimozide_Tablets_PIL_final.pdf","published_date":"13/2/2026"}]</x:v>
      </x:c>
      <x:c r="I231" s="31" t="str">
        <x:v>Draft</x:v>
      </x:c>
      <x:c r="J231" s="31"/>
      <x:c r="K231" s="37" t="str">
        <x:v>https://drug.fda.moph.go.th/media.php?id=862918387037249536&amp;name=38.Pimozide_Tablets_PIL_final.pdf</x:v>
      </x:c>
      <x:c r="L231" s="37" t="str">
        <x:v>https://drug.fda.moph.go.th/media.php?id=810432738745262080&amp;name=SMPC_Pimozide_Tablet.pdf</x:v>
      </x:c>
      <x:c r="M231" s="31" t="str">
        <x:v>YES</x:v>
      </x:c>
      <x:c r="N231" s="37" t="str">
        <x:v>Clinical review required before Published</x:v>
      </x:c>
    </x:row>
    <x:row r="232">
      <x:c r="A232" s="31" t="str">
        <x:v>piroxicam</x:v>
      </x:c>
      <x:c r="B232" s="31" t="str">
        <x:v>Piroxicam</x:v>
      </x:c>
      <x:c r="C232" s="37" t="str">
        <x:v>ไพร็อกซิแคม</x:v>
      </x:c>
      <x:c r="D232" s="31" t="str">
        <x:v>รอตรวจสอบ</x:v>
      </x:c>
      <x:c r="E232" s="31" t="str">
        <x:v>[]</x:v>
      </x:c>
      <x:c r="F232" s="37" t="str">
        <x:v>ข้อมูลฉบับร่างจากเอกสารอ้างอิง อย. รอตรวจทานโดยผู้เชี่ยวชาญ</x:v>
      </x:c>
      <x:c r="G232" s="32" t="b">
        <x:v>0</x:v>
      </x:c>
      <x:c r="H232" s="37" t="str">
        <x:v>[{"type":"PIL","url":"https://drug.fda.moph.go.th/media.php?id=808601251695697920&amp;name=Piroxicam_capsuleCompressedTabletFilmCoatedTabletSugarCoatedTablet_PIL.pdf","published_date":"19/3/2025"},{"type":"SMPC","url":"https://drug.fda.moph.go.th/media.php?id=810433390829510656&amp;name=SMPC_Piroxicam_Capsules.pdf","published_date":"27/11/2024"}]</x:v>
      </x:c>
      <x:c r="I232" s="31" t="str">
        <x:v>Draft</x:v>
      </x:c>
      <x:c r="J232" s="31"/>
      <x:c r="K232" s="37" t="str">
        <x:v>https://drug.fda.moph.go.th/media.php?id=808601251695697920&amp;name=Piroxicam_capsuleCompressedTabletFilmCoatedTabletSugarCoatedTablet_PIL.pdf</x:v>
      </x:c>
      <x:c r="L232" s="37" t="str">
        <x:v>https://drug.fda.moph.go.th/media.php?id=810433390829510656&amp;name=SMPC_Piroxicam_Capsules.pdf</x:v>
      </x:c>
      <x:c r="M232" s="31" t="str">
        <x:v>YES</x:v>
      </x:c>
      <x:c r="N232" s="37" t="str">
        <x:v>Clinical review required before Published</x:v>
      </x:c>
    </x:row>
    <x:row r="233">
      <x:c r="A233" s="31" t="str">
        <x:v>pizotifen_malate</x:v>
      </x:c>
      <x:c r="B233" s="31" t="str">
        <x:v>Pizotifen malate</x:v>
      </x:c>
      <x:c r="C233" s="37" t="str">
        <x:v>พิโซทิเฟน</x:v>
      </x:c>
      <x:c r="D233" s="31" t="str">
        <x:v>รอตรวจสอบ</x:v>
      </x:c>
      <x:c r="E233" s="31" t="str">
        <x:v>[]</x:v>
      </x:c>
      <x:c r="F233" s="37" t="str">
        <x:v>ข้อมูลฉบับร่างจากเอกสารอ้างอิง อย. รอตรวจทานโดยผู้เชี่ยวชาญ</x:v>
      </x:c>
      <x:c r="G233" s="32" t="b">
        <x:v>0</x:v>
      </x:c>
      <x:c r="H233" s="37" t="str">
        <x:v>[{"type":"PIL","url":"https://drug.fda.moph.go.th/media.php?id=808604508509839360&amp;name=Pizotifen_sugarcoatedtablet-syrup_PIL.pdf","published_date":"19/3/2025"},{"type":"SMPC","url":"https://drug.fda.moph.go.th/media.php?id=808607455159394304&amp;name=Pizotifen_tablet_SmPC.pdf","published_date":"29/11/2024"}]</x:v>
      </x:c>
      <x:c r="I233" s="31" t="str">
        <x:v>Draft</x:v>
      </x:c>
      <x:c r="J233" s="31"/>
      <x:c r="K233" s="37" t="str">
        <x:v>https://drug.fda.moph.go.th/media.php?id=808604508509839360&amp;name=Pizotifen_sugarcoatedtablet-syrup_PIL.pdf</x:v>
      </x:c>
      <x:c r="L233" s="37" t="str">
        <x:v>https://drug.fda.moph.go.th/media.php?id=808607455159394304&amp;name=Pizotifen_tablet_SmPC.pdf</x:v>
      </x:c>
      <x:c r="M233" s="31" t="str">
        <x:v>YES</x:v>
      </x:c>
      <x:c r="N233" s="37" t="str">
        <x:v>Clinical review required before Published</x:v>
      </x:c>
    </x:row>
    <x:row r="234">
      <x:c r="A234" s="31" t="str">
        <x:v>potassium_chloride</x:v>
      </x:c>
      <x:c r="B234" s="31" t="str">
        <x:v>Potassium chloride</x:v>
      </x:c>
      <x:c r="C234" s="37" t="str">
        <x:v>โพ-แทส-เซียม-คลอ-ไรด์</x:v>
      </x:c>
      <x:c r="D234" s="31" t="str">
        <x:v>รอตรวจสอบ</x:v>
      </x:c>
      <x:c r="E234" s="31" t="str">
        <x:v>[]</x:v>
      </x:c>
      <x:c r="F234" s="37" t="str">
        <x:v>ใช ้เพื่อรักษาภาวะโพแทสเซียมในเลือดต ่า</x:v>
      </x:c>
      <x:c r="G234" s="32" t="b">
        <x:v>0</x:v>
      </x:c>
      <x:c r="H234" s="37" t="str">
        <x:v>[{"type":"PIL","url":"https://drug.fda.moph.go.th/media.php?id=730446222506205184&amp;name=pil_Potassium chloride(TABLET - ENTERIC COATED TABLET).pdf","published_date":"9/11/2023"},{"type":"SMPC","url":"https://drug.fda.moph.go.th/media.php?id=810436745484181504&amp;name=SMPC_Potassium Chloride_Concentrate for injection.pdf","published_date":"27/11/2024"}]</x:v>
      </x:c>
      <x:c r="I234" s="31" t="str">
        <x:v>Draft</x:v>
      </x:c>
      <x:c r="J234" s="31"/>
      <x:c r="K234" s="37" t="str">
        <x:v>https://drug.fda.moph.go.th/media.php?id=730446222506205184&amp;name=pil_Potassium chloride(TABLET - ENTERIC COATED TABLET).pdf</x:v>
      </x:c>
      <x:c r="L234" s="37" t="str">
        <x:v>https://drug.fda.moph.go.th/media.php?id=810436745484181504&amp;name=SMPC_Potassium Chloride_Concentrate for injection.pdf</x:v>
      </x:c>
      <x:c r="M234" s="31" t="str">
        <x:v>YES</x:v>
      </x:c>
      <x:c r="N234" s="37" t="str">
        <x:v>Clinical review required before Published</x:v>
      </x:c>
    </x:row>
    <x:row r="235">
      <x:c r="A235" s="31" t="str">
        <x:v>povidone_iodine</x:v>
      </x:c>
      <x:c r="B235" s="31" t="str">
        <x:v>Povidone-iodine</x:v>
      </x:c>
      <x:c r="C235" s="37" t="str">
        <x:v>ยาใส่แผล โพวิโดน-ไอโอดีน ชนิดนํ้า</x:v>
      </x:c>
      <x:c r="D235" s="31" t="str">
        <x:v>รอตรวจสอบ</x:v>
      </x:c>
      <x:c r="E235" s="31" t="str">
        <x:v>[]</x:v>
      </x:c>
      <x:c r="F235" s="37" t="str">
        <x:v>ใช ้รักษาแผลสด</x:v>
      </x:c>
      <x:c r="G235" s="32" t="b">
        <x:v>0</x:v>
      </x:c>
      <x:c r="H235" s="37" t="str">
        <x:v>[{"type":"PIL","url":"https://drug.fda.moph.go.th/media.php?id=733926310765797376&amp;name=PIL ยาใส่แผลโพวิโดน-ไอโอดีน povidone-iodine (17102024).pdf","published_date":"17/10/2024"}]</x:v>
      </x:c>
      <x:c r="I235" s="31" t="str">
        <x:v>Draft</x:v>
      </x:c>
      <x:c r="J235" s="31"/>
      <x:c r="K235" s="37" t="str">
        <x:v>https://drug.fda.moph.go.th/media.php?id=733926310765797376&amp;name=PIL ยาใส่แผลโพวิโดน-ไอโอดีน povidone-iodine (17102024).pdf</x:v>
      </x:c>
      <x:c r="L235" s="37"/>
      <x:c r="M235" s="31" t="str">
        <x:v>YES</x:v>
      </x:c>
      <x:c r="N235" s="37" t="str">
        <x:v>Clinical review required before Published</x:v>
      </x:c>
    </x:row>
    <x:row r="236">
      <x:c r="A236" s="31" t="str">
        <x:v>prazosin</x:v>
      </x:c>
      <x:c r="B236" s="31" t="str">
        <x:v>Prazosin hydrochloride</x:v>
      </x:c>
      <x:c r="C236" s="37" t="str">
        <x:v>พราโซซิน</x:v>
      </x:c>
      <x:c r="D236" s="31" t="str">
        <x:v>รอตรวจสอบ</x:v>
      </x:c>
      <x:c r="E236" s="31" t="str">
        <x:v>[]</x:v>
      </x:c>
      <x:c r="F236" s="37" t="str">
        <x:v>ใช ้รักษาโรคความดันโลหิตสูง • ใช ้รักษาโรคต่อมหลูกหมากโต • ใช ้รักษาอาการเจ็บ เย็น หรือ ชาที่ปลายมือปลายเท ้ า ที่มีสาเหตุจากโรคเรเนาด์</x:v>
      </x:c>
      <x:c r="G236" s="32" t="b">
        <x:v>0</x:v>
      </x:c>
      <x:c r="H236" s="37" t="str">
        <x:v>[{"type":"PIL","url":"https://drug.fda.moph.go.th/media.php?id=730446325333762048&amp;name=pil_Prazosin hydrochloride (TABLET 1 mg, 2 mg).pdf","published_date":"9/8/2023"},{"type":"SMPC","url":"https://drug.fda.moph.go.th/media.php?id=810438580303437824&amp;name=SMPC_Prazosin_Tablets.pdf","published_date":"26/11/2024"}]</x:v>
      </x:c>
      <x:c r="I236" s="31" t="str">
        <x:v>Draft</x:v>
      </x:c>
      <x:c r="J236" s="31" t="str">
        <x:v>1 mg, 2 mg</x:v>
      </x:c>
      <x:c r="K236" s="37" t="str">
        <x:v>https://drug.fda.moph.go.th/media.php?id=730446325333762048&amp;name=pil_Prazosin hydrochloride (TABLET 1 mg, 2 mg).pdf</x:v>
      </x:c>
      <x:c r="L236" s="37" t="str">
        <x:v>https://drug.fda.moph.go.th/media.php?id=810438580303437824&amp;name=SMPC_Prazosin_Tablets.pdf</x:v>
      </x:c>
      <x:c r="M236" s="31" t="str">
        <x:v>YES</x:v>
      </x:c>
      <x:c r="N236" s="37" t="str">
        <x:v>Clinical review required before Published</x:v>
      </x:c>
    </x:row>
    <x:row r="237">
      <x:c r="A237" s="31" t="str">
        <x:v>prednisolone</x:v>
      </x:c>
      <x:c r="B237" s="31" t="str">
        <x:v>Prednisolone</x:v>
      </x:c>
      <x:c r="C237" s="37" t="str">
        <x:v>เพรด-นิ-โซ-โลน</x:v>
      </x:c>
      <x:c r="D237" s="31" t="str">
        <x:v>รอตรวจสอบ</x:v>
      </x:c>
      <x:c r="E237" s="31" t="str">
        <x:v>[]</x:v>
      </x:c>
      <x:c r="F237" s="37" t="str">
        <x:v>ใช ้เพื่อบรรเทาอาการแพ ้ ลดการอักเสบที่รุนแรง หรือใช ้ รักษาโรคบางชนิดที่เกิดจากภูมิคุ ้ มกันผิดปกติ ที่แพทย์ พิจารณาว่าต ้องใช ้ยานี้</x:v>
      </x:c>
      <x:c r="G237" s="32" t="b">
        <x:v>0</x:v>
      </x:c>
      <x:c r="H237" s="37" t="str">
        <x:v>[{"type":"PIL","url":"https://drug.fda.moph.go.th/media.php?id=730446474630012928&amp;name=pil_Prednisolone (TABLET - CAPSULE, HARD).pdf","published_date":"9/11/2023"},{"type":"PIL","url":"https://drug.fda.moph.go.th/media.php?id=730446440161222656&amp;name=pil_Prednisolone (CREAM).pdf","published_date":"9/11/2023"},{"type":"SMPC","url":"https://drug.fda.moph.go.th/media.php?id=810442650741252096&amp;name=SMPC_Prednisolone_Eye Drops Suspension.pdf","published_date":"27/11/2024"}]</x:v>
      </x:c>
      <x:c r="I237" s="31" t="str">
        <x:v>Draft</x:v>
      </x:c>
      <x:c r="J237" s="31"/>
      <x:c r="K237" s="37" t="str">
        <x:v>https://drug.fda.moph.go.th/media.php?id=730446474630012928&amp;name=pil_Prednisolone (TABLET - CAPSULE, HARD).pdf
https://drug.fda.moph.go.th/media.php?id=730446440161222656&amp;name=pil_Prednisolone (CREAM).pdf</x:v>
      </x:c>
      <x:c r="L237" s="37" t="str">
        <x:v>https://drug.fda.moph.go.th/media.php?id=810442650741252096&amp;name=SMPC_Prednisolone_Eye Drops Suspension.pdf</x:v>
      </x:c>
      <x:c r="M237" s="31" t="str">
        <x:v>YES</x:v>
      </x:c>
      <x:c r="N237" s="37" t="str">
        <x:v>Clinical review required before Published</x:v>
      </x:c>
    </x:row>
    <x:row r="238">
      <x:c r="A238" s="31" t="str">
        <x:v>procaterol</x:v>
      </x:c>
      <x:c r="B238" s="31" t="str">
        <x:v>procaterol</x:v>
      </x:c>
      <x:c r="C238" s="37" t="str">
        <x:v>โพร-คา-เทอ-รอล-ไฮ-โดร-คลอ-ไรด์</x:v>
      </x:c>
      <x:c r="D238" s="31" t="str">
        <x:v>รอตรวจสอบ</x:v>
      </x:c>
      <x:c r="E238" s="31" t="str">
        <x:v>[]</x:v>
      </x:c>
      <x:c r="F238" s="37" t="str">
        <x:v>ใช ้รักษาอาการหลอดลมตีบในผู ้ ป ่ วยหอบหืด หรือโรค เกี่ยวกับทางเดินหายใจ</x:v>
      </x:c>
      <x:c r="G238" s="32" t="b">
        <x:v>0</x:v>
      </x:c>
      <x:c r="H238" s="37" t="str">
        <x:v>[{"type":"PIL","url":"https://drug.fda.moph.go.th/media.php?id=862918390623379456&amp;name=29.Procaterol_syrup_PIL_Final.pdf","published_date":"13/2/2026"}]</x:v>
      </x:c>
      <x:c r="I238" s="31" t="str">
        <x:v>Draft</x:v>
      </x:c>
      <x:c r="J238" s="31"/>
      <x:c r="K238" s="37" t="str">
        <x:v>https://drug.fda.moph.go.th/media.php?id=862918390623379456&amp;name=29.Procaterol_syrup_PIL_Final.pdf</x:v>
      </x:c>
      <x:c r="L238" s="37"/>
      <x:c r="M238" s="31" t="str">
        <x:v>YES</x:v>
      </x:c>
      <x:c r="N238" s="37" t="str">
        <x:v>Clinical review required before Published</x:v>
      </x:c>
    </x:row>
    <x:row r="239">
      <x:c r="A239" s="31" t="str">
        <x:v>progesterone</x:v>
      </x:c>
      <x:c r="B239" s="31" t="str">
        <x:v>Progesterone</x:v>
      </x:c>
      <x:c r="C239" s="37" t="str">
        <x:v>โพรเจสเทอโรน</x:v>
      </x:c>
      <x:c r="D239" s="31" t="str">
        <x:v>รอตรวจสอบ</x:v>
      </x:c>
      <x:c r="E239" s="31" t="str">
        <x:v>[]</x:v>
      </x:c>
      <x:c r="F239" s="37" t="str">
        <x:v>ใช ้เป็ นฮอร์โมนทดแทนร่วมกับเอสโทรเจนในผู ้ หญิงหลัง หมดประจ าเดือนที่ยังมีมดลูกอยู่ ทั้งนี้ยานี้ไม่ใช่ยา คุมก าเนิด ห ้ามใช ้เป็ นยาคุมก าเนิด</x:v>
      </x:c>
      <x:c r="G239" s="32" t="b">
        <x:v>0</x:v>
      </x:c>
      <x:c r="H239" s="37" t="str">
        <x:v>[{"type":"PIL","url":"https://drug.fda.moph.go.th/media.php?id=733964826350592000&amp;name=pil_Progesterone CAPSULE SOFT 100mg.pdf","published_date":"1/12/2024"},{"type":"PIL","url":"https://drug.fda.moph.go.th/media.php?id=733965125794537472&amp;name=pil_Progesterone CAPSULE SOFT 200mg.pdf","published_date":"1/12/2024"}]</x:v>
      </x:c>
      <x:c r="I239" s="31" t="str">
        <x:v>Draft</x:v>
      </x:c>
      <x:c r="J239" s="31" t="str">
        <x:v>100 mg; 200 mg</x:v>
      </x:c>
      <x:c r="K239" s="37" t="str">
        <x:v>https://drug.fda.moph.go.th/media.php?id=733964826350592000&amp;name=pil_Progesterone CAPSULE SOFT 100mg.pdf
https://drug.fda.moph.go.th/media.php?id=733965125794537472&amp;name=pil_Progesterone CAPSULE SOFT 200mg.pdf</x:v>
      </x:c>
      <x:c r="L239" s="37"/>
      <x:c r="M239" s="31" t="str">
        <x:v>YES</x:v>
      </x:c>
      <x:c r="N239" s="37" t="str">
        <x:v>Clinical review required before Published</x:v>
      </x:c>
    </x:row>
    <x:row r="240">
      <x:c r="A240" s="31" t="str">
        <x:v>progesterone_vaginal</x:v>
      </x:c>
      <x:c r="B240" s="31" t="str">
        <x:v>Progesterone Vaginal</x:v>
      </x:c>
      <x:c r="C240" s="37" t="str">
        <x:v>โพรเจสเทอโรน</x:v>
      </x:c>
      <x:c r="D240" s="31" t="str">
        <x:v>รอตรวจสอบ</x:v>
      </x:c>
      <x:c r="E240" s="31" t="str">
        <x:v>[]</x:v>
      </x:c>
      <x:c r="F240" s="37" t="str">
        <x:v>เพื่อเตรียมมดลูกส าหรับการท าเด็กหลอดแก ้ว • ป ้องกันการคลอดก่อนก าหนด ทั้งนี้ยานี้ไม่ใช่ยาคุมก าเนิด ห ้ามใช ้เป็ นยาคุมก าเนิด</x:v>
      </x:c>
      <x:c r="G240" s="32" t="b">
        <x:v>0</x:v>
      </x:c>
      <x:c r="H240" s="37" t="str">
        <x:v>[{"type":"PIL","url":"https://drug.fda.moph.go.th/media.php?id=733966286706581504&amp;name=pil_Progesterone Vaginal CAPSULE SOFT 200mg.pdf","published_date":"1/12/2024"},{"type":"PIL","url":"https://drug.fda.moph.go.th/media.php?id=733966313554321408&amp;name=pil_Progesterone Vaginal CAPSULE SOFT 300mg.pdf","published_date":"1/12/2024"}]</x:v>
      </x:c>
      <x:c r="I240" s="31" t="str">
        <x:v>Draft</x:v>
      </x:c>
      <x:c r="J240" s="31" t="str">
        <x:v>200 MG; 300 MG</x:v>
      </x:c>
      <x:c r="K240" s="37" t="str">
        <x:v>https://drug.fda.moph.go.th/media.php?id=733966286706581504&amp;name=pil_Progesterone Vaginal CAPSULE SOFT 200mg.pdf
https://drug.fda.moph.go.th/media.php?id=733966313554321408&amp;name=pil_Progesterone Vaginal CAPSULE SOFT 300mg.pdf</x:v>
      </x:c>
      <x:c r="L240" s="37"/>
      <x:c r="M240" s="31" t="str">
        <x:v>YES</x:v>
      </x:c>
      <x:c r="N240" s="37" t="str">
        <x:v>Clinical review required before Published</x:v>
      </x:c>
    </x:row>
    <x:row r="241">
      <x:c r="A241" s="31" t="str">
        <x:v>propofol</x:v>
      </x:c>
      <x:c r="B241" s="31" t="str">
        <x:v>Propofol</x:v>
      </x:c>
      <x:c r="C241" s="37" t="str">
        <x:v>โพรโพฟอล</x:v>
      </x:c>
      <x:c r="D241" s="31" t="str">
        <x:v>รอตรวจสอบ</x:v>
      </x:c>
      <x:c r="E241" s="31" t="str">
        <x:v>[]</x:v>
      </x:c>
      <x:c r="F241" s="37" t="str">
        <x:v>ใช ้เพื่อน าสลบและคงสภาวะการสลบ • ใ ช ้เ พื่อ ร ะ งั บป ร ะ ส า ทใ น ผู ้ที่ต ้อ ง เ ข ้า รั บ ก า ร ต ร ว จ วินิจฉัยโรคและผู ้ ที่ได ้ รับการผ่าตัด • ใช ้เพื่อระงับประสาทในผู ้ใช ้เครื่องช่วยหายใจที่อยู่ในหอ ผู ้ ป ่ วยวิกฤตในผู ้ ป ่ วยอายุมากกว่า 16 ปี</x:v>
      </x:c>
      <x:c r="G241" s="32" t="b">
        <x:v>0</x:v>
      </x:c>
      <x:c r="H241" s="37" t="str">
        <x:v>[{"type":"PIL","url":"https://drug.fda.moph.go.th/media.php?id=904601732196212736&amp;name=4. Ref PIL_ PROPOFOL.pdf","published_date":"8/6/2026"},{"type":"SMPC","url":"https://drug.fda.moph.go.th/media.php?id=904966130077147136&amp;name=4. Ref SmPC_PROPOFOL.pdf","published_date":"8/6/2026"}]</x:v>
      </x:c>
      <x:c r="I241" s="31" t="str">
        <x:v>Draft</x:v>
      </x:c>
      <x:c r="J241" s="31"/>
      <x:c r="K241" s="37" t="str">
        <x:v>https://drug.fda.moph.go.th/media.php?id=904601732196212736&amp;name=4. Ref PIL_ PROPOFOL.pdf</x:v>
      </x:c>
      <x:c r="L241" s="37" t="str">
        <x:v>https://drug.fda.moph.go.th/media.php?id=904966130077147136&amp;name=4. Ref SmPC_PROPOFOL.pdf</x:v>
      </x:c>
      <x:c r="M241" s="31" t="str">
        <x:v>YES</x:v>
      </x:c>
      <x:c r="N241" s="37" t="str">
        <x:v>Clinical review required before Published</x:v>
      </x:c>
    </x:row>
    <x:row r="242">
      <x:c r="A242" s="31" t="str">
        <x:v>propranolol</x:v>
      </x:c>
      <x:c r="B242" s="31" t="str">
        <x:v>Propranolol</x:v>
      </x:c>
      <x:c r="C242" s="37" t="str">
        <x:v>โพรพราโนลอล</x:v>
      </x:c>
      <x:c r="D242" s="31" t="str">
        <x:v>รอตรวจสอบ</x:v>
      </x:c>
      <x:c r="E242" s="31" t="str">
        <x:v>[]</x:v>
      </x:c>
      <x:c r="F242" s="37" t="str">
        <x:v>รักษาภาวะความดันโลหิตสูง • รักษาอาการเจ็บเค ้ นหน ้ าอก • รักษาภาวะหัวใจเต ้ นผิดจังหวะ • ป้องกันความผิดปกติของหัวใจหลังภาวะหัวใจวาย • ป้องกันโรคปวดหัวไมเกรน</x:v>
      </x:c>
      <x:c r="G242" s="32" t="b">
        <x:v>0</x:v>
      </x:c>
      <x:c r="H242" s="37" t="str">
        <x:v>[{"type":"PIL","url":"https://drug.fda.moph.go.th/media.php?id=730445010499149824&amp;name=pil_Propranolol (TABLET 10 mg, 40 mg).pdf","published_date":"4/8/2023"}]</x:v>
      </x:c>
      <x:c r="I242" s="31" t="str">
        <x:v>Draft</x:v>
      </x:c>
      <x:c r="J242" s="31" t="str">
        <x:v>10 mg, 40 mg</x:v>
      </x:c>
      <x:c r="K242" s="37" t="str">
        <x:v>https://drug.fda.moph.go.th/media.php?id=730445010499149824&amp;name=pil_Propranolol (TABLET 10 mg, 40 mg).pdf</x:v>
      </x:c>
      <x:c r="L242" s="37"/>
      <x:c r="M242" s="31" t="str">
        <x:v>YES</x:v>
      </x:c>
      <x:c r="N242" s="37" t="str">
        <x:v>Clinical review required before Published</x:v>
      </x:c>
    </x:row>
    <x:row r="243">
      <x:c r="A243" s="31" t="str">
        <x:v>propylthiouracil</x:v>
      </x:c>
      <x:c r="B243" s="31" t="str">
        <x:v>Propylthiouracil</x:v>
      </x:c>
      <x:c r="C243" s="37" t="str">
        <x:v>โพรพิลไทโอยูราซิล</x:v>
      </x:c>
      <x:c r="D243" s="31" t="str">
        <x:v>รอตรวจสอบ</x:v>
      </x:c>
      <x:c r="E243" s="31" t="str">
        <x:v>[]</x:v>
      </x:c>
      <x:c r="F243" s="37" t="str">
        <x:v>ใช ้รักษาภาวะไทรอยด์เป ็ นพิษ (ฮอร์โมนไทรอยด์สูง)</x:v>
      </x:c>
      <x:c r="G243" s="32" t="b">
        <x:v>0</x:v>
      </x:c>
      <x:c r="H243" s="37" t="str">
        <x:v>[{"type":"PIL","url":"https://drug.fda.moph.go.th/media.php?id=730444886557466624&amp;name=pil_Propylthiouracil (TABLET)50 mg.pdf","published_date":"4/8/2023"},{"type":"SMPC","url":"https://drug.fda.moph.go.th/media.php?id=810444421324742656&amp;name=SMPC_Propylthiouracil_Tablet.pdf","published_date":"29/11/2024"}]</x:v>
      </x:c>
      <x:c r="I243" s="31" t="str">
        <x:v>Draft</x:v>
      </x:c>
      <x:c r="J243" s="31" t="str">
        <x:v>50 mg</x:v>
      </x:c>
      <x:c r="K243" s="37" t="str">
        <x:v>https://drug.fda.moph.go.th/media.php?id=730444886557466624&amp;name=pil_Propylthiouracil (TABLET)50 mg.pdf</x:v>
      </x:c>
      <x:c r="L243" s="37" t="str">
        <x:v>https://drug.fda.moph.go.th/media.php?id=810444421324742656&amp;name=SMPC_Propylthiouracil_Tablet.pdf</x:v>
      </x:c>
      <x:c r="M243" s="31" t="str">
        <x:v>YES</x:v>
      </x:c>
      <x:c r="N243" s="37" t="str">
        <x:v>Clinical review required before Published</x:v>
      </x:c>
    </x:row>
    <x:row r="244">
      <x:c r="A244" s="31" t="str">
        <x:v>pyridoxine</x:v>
      </x:c>
      <x:c r="B244" s="31" t="str">
        <x:v>Pyridoxine</x:v>
      </x:c>
      <x:c r="C244" s="37" t="str">
        <x:v>ไพ-ริ-ด็อก-ซีน-ไฮ-โดร-คลอ-ไรด์</x:v>
      </x:c>
      <x:c r="D244" s="31" t="str">
        <x:v>รอตรวจสอบ</x:v>
      </x:c>
      <x:c r="E244" s="31" t="str">
        <x:v>[]</x:v>
      </x:c>
      <x:c r="F244" s="37" t="str">
        <x:v>ใช ้รักษาภาวะขาดวิตามินบี 6 • ใช ้ป้องกันหรือรักษาอาการปลายประสาทอักเสบจากการ ใช ้ยารักษาวัณโรค</x:v>
      </x:c>
      <x:c r="G244" s="32" t="b">
        <x:v>0</x:v>
      </x:c>
      <x:c r="H244" s="37" t="str">
        <x:v>[{"type":"PIL","url":"https://drug.fda.moph.go.th/media.php?id=730444571007393792&amp;name=pil_Pyridoxine (TABLET 50 mg).pdf","published_date":"9/11/2023"},{"type":"SMPC","url":"https://drug.fda.moph.go.th/media.php?id=810444996493844480&amp;name=SMPC_Pyridoxine_Tablet.pdf","published_date":"26/11/2024"}]</x:v>
      </x:c>
      <x:c r="I244" s="31" t="str">
        <x:v>Draft</x:v>
      </x:c>
      <x:c r="J244" s="31"/>
      <x:c r="K244" s="37" t="str">
        <x:v>https://drug.fda.moph.go.th/media.php?id=730444571007393792&amp;name=pil_Pyridoxine (TABLET 50 mg).pdf</x:v>
      </x:c>
      <x:c r="L244" s="37" t="str">
        <x:v>https://drug.fda.moph.go.th/media.php?id=810444996493844480&amp;name=SMPC_Pyridoxine_Tablet.pdf</x:v>
      </x:c>
      <x:c r="M244" s="31" t="str">
        <x:v>YES</x:v>
      </x:c>
      <x:c r="N244" s="37" t="str">
        <x:v>Clinical review required before Published</x:v>
      </x:c>
    </x:row>
    <x:row r="245">
      <x:c r="A245" s="31" t="str">
        <x:v>pyrimethamine</x:v>
      </x:c>
      <x:c r="B245" s="31" t="str">
        <x:v>pyrimethamine</x:v>
      </x:c>
      <x:c r="C245" s="37" t="str">
        <x:v>ไพ-ริ-เม-ทา-มีน</x:v>
      </x:c>
      <x:c r="D245" s="31" t="str">
        <x:v>รอตรวจสอบ</x:v>
      </x:c>
      <x:c r="E245" s="31" t="str">
        <x:v>[]</x:v>
      </x:c>
      <x:c r="F245" s="37" t="str">
        <x:v>ใช ้รักษาการติดเชื้อโปรโตซัว</x:v>
      </x:c>
      <x:c r="G245" s="32" t="b">
        <x:v>0</x:v>
      </x:c>
      <x:c r="H245" s="37" t="str">
        <x:v>[{"type":"PIL","url":"https://drug.fda.moph.go.th/media.php?id=862918388308123648&amp;name=31.Pyrimethamine_tablet_PIL_final.pdf","published_date":"13/2/2026"}]</x:v>
      </x:c>
      <x:c r="I245" s="31" t="str">
        <x:v>Draft</x:v>
      </x:c>
      <x:c r="J245" s="31"/>
      <x:c r="K245" s="37" t="str">
        <x:v>https://drug.fda.moph.go.th/media.php?id=862918388308123648&amp;name=31.Pyrimethamine_tablet_PIL_final.pdf</x:v>
      </x:c>
      <x:c r="L245" s="37"/>
      <x:c r="M245" s="31" t="str">
        <x:v>YES</x:v>
      </x:c>
      <x:c r="N245" s="37" t="str">
        <x:v>Clinical review required before Published</x:v>
      </x:c>
    </x:row>
    <x:row r="246">
      <x:c r="A246" s="31" t="str">
        <x:v>quinine</x:v>
      </x:c>
      <x:c r="B246" s="31" t="str">
        <x:v>Quinine hydrochloride</x:v>
      </x:c>
      <x:c r="C246" s="37" t="str">
        <x:v>ควิ-นีน-ซัล-เฟต</x:v>
      </x:c>
      <x:c r="D246" s="31" t="str">
        <x:v>รอตรวจสอบ</x:v>
      </x:c>
      <x:c r="E246" s="31" t="str">
        <x:v>[]</x:v>
      </x:c>
      <x:c r="F246" s="37" t="str">
        <x:v>ใช ้รักษาการติดเชื้อมาลาเรีย</x:v>
      </x:c>
      <x:c r="G246" s="32" t="b">
        <x:v>0</x:v>
      </x:c>
      <x:c r="H246" s="37" t="str">
        <x:v>[{"type":"SMPC","url":"https://drug.fda.moph.go.th/media.php?id=810445665753767936&amp;name=SMPC_Quinine dihydrochloride_solutions for injections or infusions.pdf","published_date":"29/11/2024"},{"type":"PIL","url":"https://drug.fda.moph.go.th/media.php?id=862918387930636288&amp;name=32. Quinine_tablet_PIL_final.pdf","published_date":"13/2/2026"}]</x:v>
      </x:c>
      <x:c r="I246" s="31" t="str">
        <x:v>Draft</x:v>
      </x:c>
      <x:c r="J246" s="31"/>
      <x:c r="K246" s="37" t="str">
        <x:v>https://drug.fda.moph.go.th/media.php?id=862918387930636288&amp;name=32. Quinine_tablet_PIL_final.pdf</x:v>
      </x:c>
      <x:c r="L246" s="37" t="str">
        <x:v>https://drug.fda.moph.go.th/media.php?id=810445665753767936&amp;name=SMPC_Quinine dihydrochloride_solutions for injections or infusions.pdf</x:v>
      </x:c>
      <x:c r="M246" s="31" t="str">
        <x:v>YES</x:v>
      </x:c>
      <x:c r="N246" s="37" t="str">
        <x:v>Clinical review required before Published</x:v>
      </x:c>
    </x:row>
    <x:row r="247">
      <x:c r="A247" s="31" t="str">
        <x:v>ranitidine</x:v>
      </x:c>
      <x:c r="B247" s="31" t="str">
        <x:v>Ranitidine</x:v>
      </x:c>
      <x:c r="C247" s="37" t="str">
        <x:v>รอตรวจสอบชื่อภาษาไทย</x:v>
      </x:c>
      <x:c r="D247" s="31" t="str">
        <x:v>รอตรวจสอบ</x:v>
      </x:c>
      <x:c r="E247" s="31" t="str">
        <x:v>[]</x:v>
      </x:c>
      <x:c r="F247" s="37" t="str">
        <x:v>ข้อมูลฉบับร่างจากเอกสารอ้างอิง อย. รอตรวจทานโดยผู้เชี่ยวชาญ</x:v>
      </x:c>
      <x:c r="G247" s="32" t="b">
        <x:v>0</x:v>
      </x:c>
      <x:c r="H247" s="37" t="str">
        <x:v>[{"type":"SMPC","url":"https://drug.fda.moph.go.th/media.php?id=810446254327865344&amp;name=SMPC_Ranitidine_Tablet.pdf","published_date":"26/11/2024"},{"type":"SMPC","url":"https://drug.fda.moph.go.th/media.php?id=810446887676157952&amp;name=SMPC_Ranitidine_solution for injection and infusion.pdf","published_date":"26/11/2024"}]</x:v>
      </x:c>
      <x:c r="I247" s="31" t="str">
        <x:v>Draft</x:v>
      </x:c>
      <x:c r="J247" s="31" t="str">
        <x:v>300 mg</x:v>
      </x:c>
      <x:c r="K247" s="37"/>
      <x:c r="L247" s="37" t="str">
        <x:v>https://drug.fda.moph.go.th/media.php?id=810446254327865344&amp;name=SMPC_Ranitidine_Tablet.pdf
https://drug.fda.moph.go.th/media.php?id=810446887676157952&amp;name=SMPC_Ranitidine_solution for injection and infusion.pdf</x:v>
      </x:c>
      <x:c r="M247" s="31" t="str">
        <x:v>YES</x:v>
      </x:c>
      <x:c r="N247" s="37" t="str">
        <x:v>Clinical review required before Published</x:v>
      </x:c>
    </x:row>
    <x:row r="248">
      <x:c r="A248" s="31" t="str">
        <x:v>retinol</x:v>
      </x:c>
      <x:c r="B248" s="31" t="str">
        <x:v>Retinol</x:v>
      </x:c>
      <x:c r="C248" s="37" t="str">
        <x:v>เร-ติ-นอล</x:v>
      </x:c>
      <x:c r="D248" s="31" t="str">
        <x:v>รอตรวจสอบ</x:v>
      </x:c>
      <x:c r="E248" s="31" t="str">
        <x:v>[]</x:v>
      </x:c>
      <x:c r="F248" s="37" t="str">
        <x:v>ใช ้เพื่อรักษาภาวะขาดวิตามินเอ</x:v>
      </x:c>
      <x:c r="G248" s="32" t="b">
        <x:v>0</x:v>
      </x:c>
      <x:c r="H248" s="37" t="str">
        <x:v>[{"type":"PIL","url":"https://drug.fda.moph.go.th/media.php?id=730444441944465408&amp;name=pil_Retinol (CAPSULE SOFT).pdf","published_date":"9/11/2023"},{"type":"SMPC","url":"https://drug.fda.moph.go.th/media.php?id=810447473809170432&amp;name=SMPC_Retinol_Capsules.pdf","published_date":"26/11/2024"}]</x:v>
      </x:c>
      <x:c r="I248" s="31" t="str">
        <x:v>Draft</x:v>
      </x:c>
      <x:c r="J248" s="31"/>
      <x:c r="K248" s="37" t="str">
        <x:v>https://drug.fda.moph.go.th/media.php?id=730444441944465408&amp;name=pil_Retinol (CAPSULE SOFT).pdf</x:v>
      </x:c>
      <x:c r="L248" s="37" t="str">
        <x:v>https://drug.fda.moph.go.th/media.php?id=810447473809170432&amp;name=SMPC_Retinol_Capsules.pdf</x:v>
      </x:c>
      <x:c r="M248" s="31" t="str">
        <x:v>YES</x:v>
      </x:c>
      <x:c r="N248" s="37" t="str">
        <x:v>Clinical review required before Published</x:v>
      </x:c>
    </x:row>
    <x:row r="249">
      <x:c r="A249" s="31" t="str">
        <x:v>riboflavin</x:v>
      </x:c>
      <x:c r="B249" s="31" t="str">
        <x:v>Riboflavin</x:v>
      </x:c>
      <x:c r="C249" s="37" t="str">
        <x:v>ไร-โบ-ฟลา-วิน</x:v>
      </x:c>
      <x:c r="D249" s="31" t="str">
        <x:v>รอตรวจสอบ</x:v>
      </x:c>
      <x:c r="E249" s="31" t="str">
        <x:v>[]</x:v>
      </x:c>
      <x:c r="F249" s="37" t="str">
        <x:v>ใช ้เพื่อรักษาภาวะขาดวิตามินบี 2</x:v>
      </x:c>
      <x:c r="G249" s="32" t="b">
        <x:v>0</x:v>
      </x:c>
      <x:c r="H249" s="37" t="str">
        <x:v>[{"type":"PIL","url":"https://drug.fda.moph.go.th/media.php?id=730444317851787264&amp;name=pil_Riboflavin (TABLET).pdf","published_date":"21/2/2024"}]</x:v>
      </x:c>
      <x:c r="I249" s="31" t="str">
        <x:v>Draft</x:v>
      </x:c>
      <x:c r="J249" s="31"/>
      <x:c r="K249" s="37" t="str">
        <x:v>https://drug.fda.moph.go.th/media.php?id=730444317851787264&amp;name=pil_Riboflavin (TABLET).pdf</x:v>
      </x:c>
      <x:c r="L249" s="37"/>
      <x:c r="M249" s="31" t="str">
        <x:v>YES</x:v>
      </x:c>
      <x:c r="N249" s="37" t="str">
        <x:v>Clinical review required before Published</x:v>
      </x:c>
    </x:row>
    <x:row r="250">
      <x:c r="A250" s="31" t="str">
        <x:v>rifampicin</x:v>
      </x:c>
      <x:c r="B250" s="31" t="str">
        <x:v>Rifampicin</x:v>
      </x:c>
      <x:c r="C250" s="37" t="str">
        <x:v>รอตรวจสอบชื่อภาษาไทย</x:v>
      </x:c>
      <x:c r="D250" s="31" t="str">
        <x:v>รอตรวจสอบ</x:v>
      </x:c>
      <x:c r="E250" s="31" t="str">
        <x:v>[]</x:v>
      </x:c>
      <x:c r="F250" s="37" t="str">
        <x:v>ข้อมูลฉบับร่างจากเอกสารอ้างอิง อย. รอตรวจทานโดยผู้เชี่ยวชาญ</x:v>
      </x:c>
      <x:c r="G250" s="32" t="b">
        <x:v>0</x:v>
      </x:c>
      <x:c r="H250" s="37" t="str">
        <x:v>[{"type":"SMPC","url":"https://drug.fda.moph.go.th/media.php?id=810448559467012096&amp;name=SMPC_Rifampicin_Tablets.pdf","published_date":"29/11/2024"}]</x:v>
      </x:c>
      <x:c r="I250" s="31" t="str">
        <x:v>Draft</x:v>
      </x:c>
      <x:c r="J250" s="31"/>
      <x:c r="K250" s="37"/>
      <x:c r="L250" s="37" t="str">
        <x:v>https://drug.fda.moph.go.th/media.php?id=810448559467012096&amp;name=SMPC_Rifampicin_Tablets.pdf</x:v>
      </x:c>
      <x:c r="M250" s="31" t="str">
        <x:v>YES</x:v>
      </x:c>
      <x:c r="N250" s="37" t="str">
        <x:v>Clinical review required before Published</x:v>
      </x:c>
    </x:row>
    <x:row r="251">
      <x:c r="A251" s="31" t="str">
        <x:v>roxithromycin</x:v>
      </x:c>
      <x:c r="B251" s="31" t="str">
        <x:v>roxithromycin</x:v>
      </x:c>
      <x:c r="C251" s="37" t="str">
        <x:v>ร็อกซิโทรไมซิน</x:v>
      </x:c>
      <x:c r="D251" s="31" t="str">
        <x:v>รอตรวจสอบ</x:v>
      </x:c>
      <x:c r="E251" s="31" t="str">
        <x:v>[]</x:v>
      </x:c>
      <x:c r="F251" s="37" t="str">
        <x:v>ใช ้รักษาการติดเชื้อแบคทีเรีย</x:v>
      </x:c>
      <x:c r="G251" s="32" t="b">
        <x:v>0</x:v>
      </x:c>
      <x:c r="H251" s="37" t="str">
        <x:v>[{"type":"PIL","url":"https://drug.fda.moph.go.th/media.php?id=862918388656250880&amp;name=21.Roxithromycin_tablet_PIL_final.pdf","published_date":"13/2/2026"}]</x:v>
      </x:c>
      <x:c r="I251" s="31" t="str">
        <x:v>Draft</x:v>
      </x:c>
      <x:c r="J251" s="31"/>
      <x:c r="K251" s="37" t="str">
        <x:v>https://drug.fda.moph.go.th/media.php?id=862918388656250880&amp;name=21.Roxithromycin_tablet_PIL_final.pdf</x:v>
      </x:c>
      <x:c r="L251" s="37"/>
      <x:c r="M251" s="31" t="str">
        <x:v>YES</x:v>
      </x:c>
      <x:c r="N251" s="37" t="str">
        <x:v>Clinical review required before Published</x:v>
      </x:c>
    </x:row>
    <x:row r="252">
      <x:c r="A252" s="31" t="str">
        <x:v>salbutamol</x:v>
      </x:c>
      <x:c r="B252" s="31" t="str">
        <x:v>Salbutamol sulfate</x:v>
      </x:c>
      <x:c r="C252" s="37" t="str">
        <x:v>ซาลบูทามอล</x:v>
      </x:c>
      <x:c r="D252" s="31" t="str">
        <x:v>รอตรวจสอบ</x:v>
      </x:c>
      <x:c r="E252" s="31" t="str">
        <x:v>[]</x:v>
      </x:c>
      <x:c r="F252" s="37" t="str">
        <x:v>ข้อมูลฉบับร่างจากเอกสารอ้างอิง อย. รอตรวจทานโดยผู้เชี่ยวชาญ</x:v>
      </x:c>
      <x:c r="G252" s="32" t="b">
        <x:v>0</x:v>
      </x:c>
      <x:c r="H252" s="37" t="str">
        <x:v>[{"type":"PIL","url":"https://drug.fda.moph.go.th/media.php?id=808610253401890816&amp;name=Salbutamol_compressedTablet_PIL.pdf","published_date":"19/3/2025"},{"type":"SMPC","url":"https://drug.fda.moph.go.th/media.php?id=810449076385619968&amp;name=SMPC_Salbutamol_Syrup.pdf","published_date":"27/11/2024"}]</x:v>
      </x:c>
      <x:c r="I252" s="31" t="str">
        <x:v>Draft</x:v>
      </x:c>
      <x:c r="J252" s="31"/>
      <x:c r="K252" s="37" t="str">
        <x:v>https://drug.fda.moph.go.th/media.php?id=808610253401890816&amp;name=Salbutamol_compressedTablet_PIL.pdf</x:v>
      </x:c>
      <x:c r="L252" s="37" t="str">
        <x:v>https://drug.fda.moph.go.th/media.php?id=810449076385619968&amp;name=SMPC_Salbutamol_Syrup.pdf</x:v>
      </x:c>
      <x:c r="M252" s="31" t="str">
        <x:v>YES</x:v>
      </x:c>
      <x:c r="N252" s="37" t="str">
        <x:v>Clinical review required before Published</x:v>
      </x:c>
    </x:row>
    <x:row r="253">
      <x:c r="A253" s="31" t="str">
        <x:v>simethicone</x:v>
      </x:c>
      <x:c r="B253" s="31" t="str">
        <x:v>Simethicone</x:v>
      </x:c>
      <x:c r="C253" s="37" t="str">
        <x:v>หากท่านมีภาวะต่อไปนี้</x:v>
      </x:c>
      <x:c r="D253" s="31" t="str">
        <x:v>รอตรวจสอบ</x:v>
      </x:c>
      <x:c r="E253" s="31" t="str">
        <x:v>[]</x:v>
      </x:c>
      <x:c r="F253" s="37" t="str">
        <x:v>ใช ้บรรเทาอาการท ้ องอืด ท ้อ ง เ ฟ้ อ จุกเสียดเนื่องจากมี แก๊สในทางเดินอาหาร ในผู้ ใหญ่ที่มีอายุ 18 ปีขึ้นไป</x:v>
      </x:c>
      <x:c r="G253" s="32" t="b">
        <x:v>0</x:v>
      </x:c>
      <x:c r="H253" s="37" t="str">
        <x:v>[{"type":"PIL","url":"https://drug.fda.moph.go.th/media.php?id=733924770743197696&amp;name=PIL_Simethicone_ยาเม็ดแก้ท้องอืด ท้องเฟ้อ  ไซเมธิโคน(15032024).pdf","published_date":"15/3/2024"}]</x:v>
      </x:c>
      <x:c r="I253" s="31" t="str">
        <x:v>Draft</x:v>
      </x:c>
      <x:c r="J253" s="31" t="str">
        <x:v>40 mg, 80 mg</x:v>
      </x:c>
      <x:c r="K253" s="37" t="str">
        <x:v>https://drug.fda.moph.go.th/media.php?id=733924770743197696&amp;name=PIL_Simethicone_ยาเม็ดแก้ท้องอืด ท้องเฟ้อ  ไซเมธิโคน(15032024).pdf</x:v>
      </x:c>
      <x:c r="L253" s="37"/>
      <x:c r="M253" s="31" t="str">
        <x:v>YES</x:v>
      </x:c>
      <x:c r="N253" s="37" t="str">
        <x:v>Clinical review required before Published</x:v>
      </x:c>
    </x:row>
    <x:row r="254">
      <x:c r="A254" s="31" t="str">
        <x:v>simvastatin</x:v>
      </x:c>
      <x:c r="B254" s="31" t="str">
        <x:v>Simvastatin</x:v>
      </x:c>
      <x:c r="C254" s="37" t="str">
        <x:v>ซิมวาสแตทิน</x:v>
      </x:c>
      <x:c r="D254" s="31" t="str">
        <x:v>รอตรวจสอบ</x:v>
      </x:c>
      <x:c r="E254" s="31" t="str">
        <x:v>[]</x:v>
      </x:c>
      <x:c r="F254" s="37" t="str">
        <x:v>ข้อมูลฉบับร่างจากเอกสารอ้างอิง อย. รอตรวจทานโดยผู้เชี่ยวชาญ</x:v>
      </x:c>
      <x:c r="G254" s="32" t="b">
        <x:v>0</x:v>
      </x:c>
      <x:c r="H254" s="37" t="str">
        <x:v>[{"type":"PIL","url":"https://drug.fda.moph.go.th/media.php?id=808610458117480448&amp;name=simvastatin_PIL.pdf","published_date":"19/3/2025"}]</x:v>
      </x:c>
      <x:c r="I254" s="31" t="str">
        <x:v>Draft</x:v>
      </x:c>
      <x:c r="J254" s="31"/>
      <x:c r="K254" s="37" t="str">
        <x:v>https://drug.fda.moph.go.th/media.php?id=808610458117480448&amp;name=simvastatin_PIL.pdf</x:v>
      </x:c>
      <x:c r="L254" s="37"/>
      <x:c r="M254" s="31" t="str">
        <x:v>YES</x:v>
      </x:c>
      <x:c r="N254" s="37" t="str">
        <x:v>Clinical review required before Published</x:v>
      </x:c>
    </x:row>
    <x:row r="255">
      <x:c r="A255" s="31" t="str">
        <x:v>sodium_alginate_sodium_bicarbonate_calcium_carbonate</x:v>
      </x:c>
      <x:c r="B255" s="31" t="str">
        <x:v>Sodium alginate + Sodium bicarbonate + Calcium carbonate</x:v>
      </x:c>
      <x:c r="C255" s="37" t="str">
        <x:v>เพื่อบรรเทาอาการแสบร ้อนบริเวณกลางอก ร่วมกับเรอ</x:v>
      </x:c>
      <x:c r="D255" s="31" t="str">
        <x:v>รอตรวจสอบ</x:v>
      </x:c>
      <x:c r="E255" s="31" t="str">
        <x:v>[]</x:v>
      </x:c>
      <x:c r="F255" s="37" t="str">
        <x:v>เพื่อบรรเทาอาการแสบร ้อนบริเวณกลางอก ร่วมกับเรอ เปรี้ยว และอาหารไม่ย่อยเนื่องจากกรดไหลย ้อ น</x:v>
      </x:c>
      <x:c r="G255" s="32" t="b">
        <x:v>0</x:v>
      </x:c>
      <x:c r="H255" s="37" t="str">
        <x:v>[{"type":"PIL","url":"https://drug.fda.moph.go.th/media.php?id=733940757777489920&amp;name=PIL_Sodium alginate + Sodium bicarbonate + Calcium carbonate ชนิดน้ำ.pdf","published_date":null},{"type":"PIL","url":"https://drug.fda.moph.go.th/media.php?id=733940824714387456&amp;name=PIL_Sodium alginate + Sodium bicarbonate + Calcium carbonate ชนิดเม็ด.pdf","published_date":null},{"type":"PIL","url":"https://drug.fda.moph.go.th/media.php?id=733939702767427584&amp;name=PIL_Sodium alginate + Sodium bicarbonate + Calcium carbonat.pdf","published_date":null},{"type":"PIL","url":"https://drug.fda.moph.go.th/media.php?id=733939962545840128&amp;name=PIL_Sodium alginate + Sodium bicarbonate + Calcium carbonate ชนิดเม็ด.pdf","published_date":null}]</x:v>
      </x:c>
      <x:c r="I255" s="31" t="str">
        <x:v>Draft</x:v>
      </x:c>
      <x:c r="J255" s="31"/>
      <x:c r="K255" s="37" t="str">
        <x:v>https://drug.fda.moph.go.th/media.php?id=733940757777489920&amp;name=PIL_Sodium alginate + Sodium bicarbonate + Calcium carbonate ชนิดน้ำ.pdf
https://drug.fda.moph.go.th/media.php?id=733940824714387456&amp;name=PIL_Sodium alginate + Sodium bicarbonate + Calcium carbonate ชนิดเม็ด.pdf
https://drug.fda.moph.go.th/media.php?id=733939702767427584&amp;name=PIL_Sodium alginate + Sodium bicarbonate + Calcium carbonat.pdf
https://drug.fda.moph.go.th/media.php?id=733939962545840128&amp;name=PIL_Sodium alginate + Sodium bicarbonate + Calcium carbonate ชนิดเม็ด.pdf</x:v>
      </x:c>
      <x:c r="L255" s="37"/>
      <x:c r="M255" s="31" t="str">
        <x:v>YES</x:v>
      </x:c>
      <x:c r="N255" s="37" t="str">
        <x:v>Clinical review required before Published</x:v>
      </x:c>
    </x:row>
    <x:row r="256">
      <x:c r="A256" s="31" t="str">
        <x:v>sodium_bicarbonate</x:v>
      </x:c>
      <x:c r="B256" s="31" t="str">
        <x:v>Sodium Bicarbonate</x:v>
      </x:c>
      <x:c r="C256" s="37" t="str">
        <x:v>ยานํ้าแก ้ท้องอืด ท้องเฟ ้ อ โซเดียมไบคาร์บอเนต ชนิดนํ้า</x:v>
      </x:c>
      <x:c r="D256" s="31" t="str">
        <x:v>รอตรวจสอบ</x:v>
      </x:c>
      <x:c r="E256" s="31" t="str">
        <x:v>[]</x:v>
      </x:c>
      <x:c r="F256" s="37" t="str">
        <x:v>ใช ้เพื่อบรรเทาอาการท ้ องอืด ท ้ องขึ้น ท ้ องเฟ้อ เนื่องจากมีกรดมากในกระเพาะอาหาร</x:v>
      </x:c>
      <x:c r="G256" s="32" t="b">
        <x:v>0</x:v>
      </x:c>
      <x:c r="H256" s="37" t="str">
        <x:v>[{"type":"SMPC","url":"https://drug.fda.moph.go.th/media.php?id=810453894575562752&amp;name=SMPC_Sodium Bicarbonate_powder.pdf","published_date":"22/11/2024"},{"type":"PIL","url":"https://drug.fda.moph.go.th/media.php?id=733938312682807296&amp;name=PIL_Sodium bicarbonate ยาน้ำแก้ท้องอืด ท้องเฟ้อ(15032024).pdf","published_date":"15/3/2024"},{"type":"SMPC","url":"https://drug.fda.moph.go.th/media.php?id=810454498920243200&amp;name=SMPC_Sodium Bicarbonate_oral solution.pdf","published_date":"26/11/2024"}]</x:v>
      </x:c>
      <x:c r="I256" s="31" t="str">
        <x:v>Draft</x:v>
      </x:c>
      <x:c r="J256" s="31" t="str">
        <x:v>84 mg/ml</x:v>
      </x:c>
      <x:c r="K256" s="37" t="str">
        <x:v>https://drug.fda.moph.go.th/media.php?id=733938312682807296&amp;name=PIL_Sodium bicarbonate ยาน้ำแก้ท้องอืด ท้องเฟ้อ(15032024).pdf</x:v>
      </x:c>
      <x:c r="L256" s="37" t="str">
        <x:v>https://drug.fda.moph.go.th/media.php?id=810453894575562752&amp;name=SMPC_Sodium Bicarbonate_powder.pdf
https://drug.fda.moph.go.th/media.php?id=810454498920243200&amp;name=SMPC_Sodium Bicarbonate_oral solution.pdf</x:v>
      </x:c>
      <x:c r="M256" s="31" t="str">
        <x:v>YES</x:v>
      </x:c>
      <x:c r="N256" s="37" t="str">
        <x:v>Clinical review required before Published</x:v>
      </x:c>
    </x:row>
    <x:row r="257">
      <x:c r="A257" s="31" t="str">
        <x:v>sodium_bicarbonate_peppermint_oil</x:v>
      </x:c>
      <x:c r="B257" s="31" t="str">
        <x:v>Sodium bicarbonate + Peppermint oil</x:v>
      </x:c>
      <x:c r="C257" s="37" t="str">
        <x:v>รอตรวจสอบชื่อภาษาไทย</x:v>
      </x:c>
      <x:c r="D257" s="31" t="str">
        <x:v>รอตรวจสอบ</x:v>
      </x:c>
      <x:c r="E257" s="31" t="str">
        <x:v>[]</x:v>
      </x:c>
      <x:c r="F257" s="37" t="str">
        <x:v>ใช ้เพื่อบรรเทาอาการจุกเสียด ลดอาการระคายเคือง เนื่องจากมีกรดมากในกระเพาะอาหาร</x:v>
      </x:c>
      <x:c r="G257" s="32" t="b">
        <x:v>0</x:v>
      </x:c>
      <x:c r="H257" s="37" t="str">
        <x:v>[{"type":"PIL","url":"https://drug.fda.moph.go.th/media.php?id=733937916107169792&amp;name=PIL_Sodium bicarbonate + Peppermint oil (15032024).pdf","published_date":"15/3/2024"}]</x:v>
      </x:c>
      <x:c r="I257" s="31" t="str">
        <x:v>Draft</x:v>
      </x:c>
      <x:c r="J257" s="31"/>
      <x:c r="K257" s="37" t="str">
        <x:v>https://drug.fda.moph.go.th/media.php?id=733937916107169792&amp;name=PIL_Sodium bicarbonate + Peppermint oil (15032024).pdf</x:v>
      </x:c>
      <x:c r="L257" s="37"/>
      <x:c r="M257" s="31" t="str">
        <x:v>YES</x:v>
      </x:c>
      <x:c r="N257" s="37" t="str">
        <x:v>Clinical review required before Published</x:v>
      </x:c>
    </x:row>
    <x:row r="258">
      <x:c r="A258" s="31" t="str">
        <x:v>sodium_chloride</x:v>
      </x:c>
      <x:c r="B258" s="31" t="str">
        <x:v>Sodium chloride</x:v>
      </x:c>
      <x:c r="C258" s="37" t="str">
        <x:v>นํ้าเกลือล้างแผล ชนิดนํ้า</x:v>
      </x:c>
      <x:c r="D258" s="31" t="str">
        <x:v>รอตรวจสอบ</x:v>
      </x:c>
      <x:c r="E258" s="31" t="str">
        <x:v>[]</x:v>
      </x:c>
      <x:c r="F258" s="37" t="str">
        <x:v>ใช ้ทําความสะอาดบาดแผล</x:v>
      </x:c>
      <x:c r="G258" s="32" t="b">
        <x:v>0</x:v>
      </x:c>
      <x:c r="H258" s="37" t="str">
        <x:v>[{"type":"PIL","url":"https://drug.fda.moph.go.th/media.php?id=733937516763291648&amp;name=PIL_Sodium chloride_น้ำเกลือล้างแผล (150320204).pdf","published_date":"15/3/2024"},{"type":"PIL","url":"https://drug.fda.moph.go.th/media.php?id=733937174893961216&amp;name=PIL ยาระบาย Sodium chloride ชนิดสวนทวาร (15032024).pdf","published_date":"15/3/2024"},{"type":"PIL","url":"https://drug.fda.moph.go.th/media.php?id=733936761784377344&amp;name=PIL Sodium chloride_ยาล้างตา_(15032024).pdf","published_date":"15/3/2024"}]</x:v>
      </x:c>
      <x:c r="I258" s="31" t="str">
        <x:v>Draft</x:v>
      </x:c>
      <x:c r="J258" s="31" t="str">
        <x:v>0.9 gm/100 ml</x:v>
      </x:c>
      <x:c r="K258" s="37" t="str">
        <x:v>https://drug.fda.moph.go.th/media.php?id=733937516763291648&amp;name=PIL_Sodium chloride_น้ำเกลือล้างแผล (150320204).pdf
https://drug.fda.moph.go.th/media.php?id=733937174893961216&amp;name=PIL ยาระบาย Sodium chloride ชนิดสวนทวาร (15032024).pdf
https://drug.fda.moph.go.th/media.php?id=733936761784377344&amp;name=PIL Sodium chloride_ยาล้างตา_(15032024).pdf</x:v>
      </x:c>
      <x:c r="L258" s="37"/>
      <x:c r="M258" s="31" t="str">
        <x:v>YES</x:v>
      </x:c>
      <x:c r="N258" s="37" t="str">
        <x:v>Clinical review required before Published</x:v>
      </x:c>
    </x:row>
    <x:row r="259">
      <x:c r="A259" s="31" t="str">
        <x:v>sodium_dihydrogen</x:v>
      </x:c>
      <x:c r="B259" s="31" t="str">
        <x:v>Sodium dihydrogen phosphate</x:v>
      </x:c>
      <x:c r="C259" s="37" t="str">
        <x:v>รอตรวจสอบชื่อภาษาไทย</x:v>
      </x:c>
      <x:c r="D259" s="31" t="str">
        <x:v>รอตรวจสอบ</x:v>
      </x:c>
      <x:c r="E259" s="31" t="str">
        <x:v>[]</x:v>
      </x:c>
      <x:c r="F259" s="37" t="str">
        <x:v>ข้อมูลฉบับร่างจากเอกสารอ้างอิง อย. รอตรวจทานโดยผู้เชี่ยวชาญ</x:v>
      </x:c>
      <x:c r="G259" s="32" t="b">
        <x:v>0</x:v>
      </x:c>
      <x:c r="H259" s="37" t="str">
        <x:v>[{"type":"SMPC","url":"https://drug.fda.moph.go.th/media.php?id=810461583477186560&amp;name=SMPC_Sodium dihydrogen phosphate_enema.pdf","published_date":"26/11/2024"}]</x:v>
      </x:c>
      <x:c r="I259" s="31" t="str">
        <x:v>Draft</x:v>
      </x:c>
      <x:c r="J259" s="31"/>
      <x:c r="K259" s="37"/>
      <x:c r="L259" s="37" t="str">
        <x:v>https://drug.fda.moph.go.th/media.php?id=810461583477186560&amp;name=SMPC_Sodium dihydrogen phosphate_enema.pdf</x:v>
      </x:c>
      <x:c r="M259" s="31" t="str">
        <x:v>YES</x:v>
      </x:c>
      <x:c r="N259" s="37" t="str">
        <x:v>Clinical review required before Published</x:v>
      </x:c>
    </x:row>
    <x:row r="260">
      <x:c r="A260" s="31" t="str">
        <x:v>sodium_phosphate</x:v>
      </x:c>
      <x:c r="B260" s="31" t="str">
        <x:v>Sodium phosphate</x:v>
      </x:c>
      <x:c r="C260" s="37" t="str">
        <x:v>รอตรวจสอบชื่อภาษาไทย</x:v>
      </x:c>
      <x:c r="D260" s="31" t="str">
        <x:v>รอตรวจสอบ</x:v>
      </x:c>
      <x:c r="E260" s="31" t="str">
        <x:v>[]</x:v>
      </x:c>
      <x:c r="F260" s="37" t="str">
        <x:v>ข้อมูลฉบับร่างจากเอกสารอ้างอิง อย. รอตรวจทานโดยผู้เชี่ยวชาญ</x:v>
      </x:c>
      <x:c r="G260" s="32" t="b">
        <x:v>0</x:v>
      </x:c>
      <x:c r="H260" s="37" t="str">
        <x:v>[{"type":"SMPC","url":"https://drug.fda.moph.go.th/media.php?id=810462163935305728&amp;name=SMPC_Sodium phosphate_enema.pdf","published_date":"26/11/2024"}]</x:v>
      </x:c>
      <x:c r="I260" s="31" t="str">
        <x:v>Draft</x:v>
      </x:c>
      <x:c r="J260" s="31"/>
      <x:c r="K260" s="37"/>
      <x:c r="L260" s="37" t="str">
        <x:v>https://drug.fda.moph.go.th/media.php?id=810462163935305728&amp;name=SMPC_Sodium phosphate_enema.pdf</x:v>
      </x:c>
      <x:c r="M260" s="31" t="str">
        <x:v>YES</x:v>
      </x:c>
      <x:c r="N260" s="37" t="str">
        <x:v>Clinical review required before Published</x:v>
      </x:c>
    </x:row>
    <x:row r="261">
      <x:c r="A261" s="31" t="str">
        <x:v>sodium_phosphate_sodium_biphosphate</x:v>
      </x:c>
      <x:c r="B261" s="31" t="str">
        <x:v>Sodium phosphate + Sodium biphosphate</x:v>
      </x:c>
      <x:c r="C261" s="37" t="str">
        <x:v>รอตรวจสอบชื่อภาษาไทย</x:v>
      </x:c>
      <x:c r="D261" s="31" t="str">
        <x:v>รอตรวจสอบ</x:v>
      </x:c>
      <x:c r="E261" s="31" t="str">
        <x:v>[]</x:v>
      </x:c>
      <x:c r="F261" s="37" t="str">
        <x:v>ใช ้เพื่อรักษาอาการท ้องผูก • ใช ้เพื่อท าความสะอาดล าไส ้ส าหรับการเตรียมผ่าตัดหรือ การตรวจวินิจฉัยโรค</x:v>
      </x:c>
      <x:c r="G261" s="32" t="b">
        <x:v>0</x:v>
      </x:c>
      <x:c r="H261" s="37" t="str">
        <x:v>[{"type":"PIL","url":"https://drug.fda.moph.go.th/media.php?id=733966685354205184&amp;name=pil_Sodium phosphate + Sodium biphosphate ENEMA.pdf","published_date":"9/11/2023"}]</x:v>
      </x:c>
      <x:c r="I261" s="31" t="str">
        <x:v>Draft</x:v>
      </x:c>
      <x:c r="J261" s="31"/>
      <x:c r="K261" s="37" t="str">
        <x:v>https://drug.fda.moph.go.th/media.php?id=733966685354205184&amp;name=pil_Sodium phosphate + Sodium biphosphate ENEMA.pdf</x:v>
      </x:c>
      <x:c r="L261" s="37"/>
      <x:c r="M261" s="31" t="str">
        <x:v>YES</x:v>
      </x:c>
      <x:c r="N261" s="37" t="str">
        <x:v>Clinical review required before Published</x:v>
      </x:c>
    </x:row>
    <x:row r="262">
      <x:c r="A262" s="31" t="str">
        <x:v>sodium_thiosulfate</x:v>
      </x:c>
      <x:c r="B262" s="31" t="str">
        <x:v>Sodium thiosulfate</x:v>
      </x:c>
      <x:c r="C262" s="37" t="str">
        <x:v>โซเดียมไทโอซัลเฟต</x:v>
      </x:c>
      <x:c r="D262" s="31" t="str">
        <x:v>รอตรวจสอบ</x:v>
      </x:c>
      <x:c r="E262" s="31" t="str">
        <x:v>[]</x:v>
      </x:c>
      <x:c r="F262" s="37" t="str">
        <x:v>ยานี้ใช ้เพื่อรักษาเกลื้อน</x:v>
      </x:c>
      <x:c r="G262" s="32" t="b">
        <x:v>0</x:v>
      </x:c>
      <x:c r="H262" s="37" t="str">
        <x:v>[{"type":"PIL","url":"https://drug.fda.moph.go.th/media.php?id=733936327577444352&amp;name=PIL_ยารักษาเกลื้อน Sodium thiosulfate (15032024).pdf","published_date":"15/3/2024"}]</x:v>
      </x:c>
      <x:c r="I262" s="31" t="str">
        <x:v>Draft</x:v>
      </x:c>
      <x:c r="J262" s="31"/>
      <x:c r="K262" s="37" t="str">
        <x:v>https://drug.fda.moph.go.th/media.php?id=733936327577444352&amp;name=PIL_ยารักษาเกลื้อน Sodium thiosulfate (15032024).pdf</x:v>
      </x:c>
      <x:c r="L262" s="37"/>
      <x:c r="M262" s="31" t="str">
        <x:v>YES</x:v>
      </x:c>
      <x:c r="N262" s="37" t="str">
        <x:v>Clinical review required before Published</x:v>
      </x:c>
    </x:row>
    <x:row r="263">
      <x:c r="A263" s="31" t="str">
        <x:v>sodium_valproate</x:v>
      </x:c>
      <x:c r="B263" s="31" t="str">
        <x:v>Sodium valproate</x:v>
      </x:c>
      <x:c r="C263" s="37" t="str">
        <x:v>รอตรวจสอบชื่อภาษาไทย</x:v>
      </x:c>
      <x:c r="D263" s="31" t="str">
        <x:v>รอตรวจสอบ</x:v>
      </x:c>
      <x:c r="E263" s="31" t="str">
        <x:v>[]</x:v>
      </x:c>
      <x:c r="F263" s="37" t="str">
        <x:v>ข้อมูลฉบับร่างจากเอกสารอ้างอิง อย. รอตรวจทานโดยผู้เชี่ยวชาญ</x:v>
      </x:c>
      <x:c r="G263" s="32" t="b">
        <x:v>0</x:v>
      </x:c>
      <x:c r="H263" s="37" t="str">
        <x:v>[{"type":"SMPC","url":"https://drug.fda.moph.go.th/media.php?id=810462806720782336&amp;name=SMPC_Sodium Valproate_Enteric-coated tablet.pdf","published_date":"29/11/2024"}]</x:v>
      </x:c>
      <x:c r="I263" s="31" t="str">
        <x:v>Draft</x:v>
      </x:c>
      <x:c r="J263" s="31"/>
      <x:c r="K263" s="37"/>
      <x:c r="L263" s="37" t="str">
        <x:v>https://drug.fda.moph.go.th/media.php?id=810462806720782336&amp;name=SMPC_Sodium Valproate_Enteric-coated tablet.pdf</x:v>
      </x:c>
      <x:c r="M263" s="31" t="str">
        <x:v>YES</x:v>
      </x:c>
      <x:c r="N263" s="37" t="str">
        <x:v>Clinical review required before Published</x:v>
      </x:c>
    </x:row>
    <x:row r="264">
      <x:c r="A264" s="31" t="str">
        <x:v>sublimed_sulphur</x:v>
      </x:c>
      <x:c r="B264" s="31" t="str">
        <x:v>Sublimed sulphur</x:v>
      </x:c>
      <x:c r="C264" s="37" t="str">
        <x:v>รอตรวจสอบชื่อภาษาไทย</x:v>
      </x:c>
      <x:c r="D264" s="31" t="str">
        <x:v>รอตรวจสอบ</x:v>
      </x:c>
      <x:c r="E264" s="31" t="str">
        <x:v>[]</x:v>
      </x:c>
      <x:c r="F264" s="37" t="str">
        <x:v>ยานี้ใช ้เพื่อรักษาโรคหิด</x:v>
      </x:c>
      <x:c r="G264" s="32" t="b">
        <x:v>0</x:v>
      </x:c>
      <x:c r="H264" s="37" t="str">
        <x:v>[{"type":"PIL","url":"https://drug.fda.moph.go.th/media.php?id=733935842904645632&amp;name=PIL_Sublimed sulphur_ยารักษาหิด ขี้ผึ้งกำมะถัน (15032024).pdf","published_date":"15/3/2024"}]</x:v>
      </x:c>
      <x:c r="I264" s="31" t="str">
        <x:v>Draft</x:v>
      </x:c>
      <x:c r="J264" s="31" t="str">
        <x:v>10%w/w</x:v>
      </x:c>
      <x:c r="K264" s="37" t="str">
        <x:v>https://drug.fda.moph.go.th/media.php?id=733935842904645632&amp;name=PIL_Sublimed sulphur_ยารักษาหิด ขี้ผึ้งกำมะถัน (15032024).pdf</x:v>
      </x:c>
      <x:c r="L264" s="37"/>
      <x:c r="M264" s="31" t="str">
        <x:v>YES</x:v>
      </x:c>
      <x:c r="N264" s="37" t="str">
        <x:v>Clinical review required before Published</x:v>
      </x:c>
    </x:row>
    <x:row r="265">
      <x:c r="A265" s="31" t="str">
        <x:v>sucralfate</x:v>
      </x:c>
      <x:c r="B265" s="31" t="str">
        <x:v>Sucralfate</x:v>
      </x:c>
      <x:c r="C265" s="37" t="str">
        <x:v>ซูคราลเฟต ชนิดน ้าแขวนตะกอน</x:v>
      </x:c>
      <x:c r="D265" s="31" t="str">
        <x:v>รอตรวจสอบ</x:v>
      </x:c>
      <x:c r="E265" s="31" t="str">
        <x:v>[]</x:v>
      </x:c>
      <x:c r="F265" s="37" t="str">
        <x:v>รักษาแผลในกระเพาะอาหารและล าไส ้เล็กส่วนต ้น • ป้องกันภาวะเลือดออกในทางเดินอาหารที่มีสาเหตุ จากแผลในทางเดินอาหารเนื่องจากภาวะเครียด</x:v>
      </x:c>
      <x:c r="G265" s="32" t="b">
        <x:v>0</x:v>
      </x:c>
      <x:c r="H265" s="37" t="str">
        <x:v>[{"type":"PIL","url":"https://drug.fda.moph.go.th/media.php?id=730445749044781056&amp;name=pil_Sucralfate (ORAL SUSPENSION).pdf","published_date":"4/8/2023"},{"type":"PIL","url":"https://drug.fda.moph.go.th/media.php?id=730445568010231808&amp;name=pil_Sucralfate (TABLET).pdf","published_date":"28/3/2023"},{"type":"SMPC","url":"https://drug.fda.moph.go.th/media.php?id=810463510696960000&amp;name=SMPC_Sucralfate_suspension.pdf","published_date":"29/11/2024"}]</x:v>
      </x:c>
      <x:c r="I265" s="31" t="str">
        <x:v>Draft</x:v>
      </x:c>
      <x:c r="J265" s="31"/>
      <x:c r="K265" s="37" t="str">
        <x:v>https://drug.fda.moph.go.th/media.php?id=730445749044781056&amp;name=pil_Sucralfate (ORAL SUSPENSION).pdf
https://drug.fda.moph.go.th/media.php?id=730445568010231808&amp;name=pil_Sucralfate (TABLET).pdf</x:v>
      </x:c>
      <x:c r="L265" s="37" t="str">
        <x:v>https://drug.fda.moph.go.th/media.php?id=810463510696960000&amp;name=SMPC_Sucralfate_suspension.pdf</x:v>
      </x:c>
      <x:c r="M265" s="31" t="str">
        <x:v>YES</x:v>
      </x:c>
      <x:c r="N265" s="37" t="str">
        <x:v>Clinical review required before Published</x:v>
      </x:c>
    </x:row>
    <x:row r="266">
      <x:c r="A266" s="31" t="str">
        <x:v>sulfasalazine</x:v>
      </x:c>
      <x:c r="B266" s="31" t="str">
        <x:v>Sulfasalazine</x:v>
      </x:c>
      <x:c r="C266" s="37" t="str">
        <x:v>ซ ัลฟาซาลาซีน</x:v>
      </x:c>
      <x:c r="D266" s="31" t="str">
        <x:v>รอตรวจสอบ</x:v>
      </x:c>
      <x:c r="E266" s="31" t="str">
        <x:v>[]</x:v>
      </x:c>
      <x:c r="F266" s="37" t="str">
        <x:v>ใช ้รักษาโรคที่มีการอักเสบของทางเดินอาหาร ได ้แก่ o โรคล าไส ้ใหญ่อักเสบ o โรคโครห์น</x:v>
      </x:c>
      <x:c r="G266" s="32" t="b">
        <x:v>0</x:v>
      </x:c>
      <x:c r="H266" s="37" t="str">
        <x:v>[{"type":"PIL","url":"https://drug.fda.moph.go.th/media.php?id=730445434027384832&amp;name=pil_Sulfasalazine (ENTERIC COATED TABLET 500 mg).pdf","published_date":"9/8/2023"}]</x:v>
      </x:c>
      <x:c r="I266" s="31" t="str">
        <x:v>Draft</x:v>
      </x:c>
      <x:c r="J266" s="31" t="str">
        <x:v>500 mg</x:v>
      </x:c>
      <x:c r="K266" s="37" t="str">
        <x:v>https://drug.fda.moph.go.th/media.php?id=730445434027384832&amp;name=pil_Sulfasalazine (ENTERIC COATED TABLET 500 mg).pdf</x:v>
      </x:c>
      <x:c r="L266" s="37"/>
      <x:c r="M266" s="31" t="str">
        <x:v>YES</x:v>
      </x:c>
      <x:c r="N266" s="37" t="str">
        <x:v>Clinical review required before Published</x:v>
      </x:c>
    </x:row>
    <x:row r="267">
      <x:c r="A267" s="31" t="str">
        <x:v>tamoxifen</x:v>
      </x:c>
      <x:c r="B267" s="31" t="str">
        <x:v>Tamoxifen citrate</x:v>
      </x:c>
      <x:c r="C267" s="37" t="str">
        <x:v>ทาม็อกซิเฟน</x:v>
      </x:c>
      <x:c r="D267" s="31" t="str">
        <x:v>รอตรวจสอบ</x:v>
      </x:c>
      <x:c r="E267" s="31" t="str">
        <x:v>[]</x:v>
      </x:c>
      <x:c r="F267" s="37" t="str">
        <x:v>ใช ้รักษามะเร็งเต ้ านม • ใช ้รักษาผู ้ ที่มีภาวะมีบุตรยาก • ใช ้ลดความเสี่ยงในการเกิดโรคมะเร็งเต ้านมในผู ้ ที่มี ความเสี่ยงสูง ซึ่งแพทย์วินิจฉัยแล ้วว่าจ าเป็ นต ้องใช ้ ยานี้</x:v>
      </x:c>
      <x:c r="G267" s="32" t="b">
        <x:v>0</x:v>
      </x:c>
      <x:c r="H267" s="37" t="str">
        <x:v>[{"type":"SMPC","url":"https://drug.fda.moph.go.th/media.php?id=810464618991460352&amp;name=SMPC_Tamoxifen_Tablets.pdf","published_date":"29/11/2024"},{"type":"PIL","url":"https://drug.fda.moph.go.th/media.php?id=862918389235064832&amp;name=16.Tamoxifen_Tablets_PIL_final.pdf","published_date":"13/2/2026"}]</x:v>
      </x:c>
      <x:c r="I267" s="31" t="str">
        <x:v>Draft</x:v>
      </x:c>
      <x:c r="J267" s="31"/>
      <x:c r="K267" s="37" t="str">
        <x:v>https://drug.fda.moph.go.th/media.php?id=862918389235064832&amp;name=16.Tamoxifen_Tablets_PIL_final.pdf</x:v>
      </x:c>
      <x:c r="L267" s="37" t="str">
        <x:v>https://drug.fda.moph.go.th/media.php?id=810464618991460352&amp;name=SMPC_Tamoxifen_Tablets.pdf</x:v>
      </x:c>
      <x:c r="M267" s="31" t="str">
        <x:v>YES</x:v>
      </x:c>
      <x:c r="N267" s="37" t="str">
        <x:v>Clinical review required before Published</x:v>
      </x:c>
    </x:row>
    <x:row r="268">
      <x:c r="A268" s="31" t="str">
        <x:v>teicoplanin</x:v>
      </x:c>
      <x:c r="B268" s="31" t="str">
        <x:v>Teicoplanin</x:v>
      </x:c>
      <x:c r="C268" s="37" t="str">
        <x:v>รอตรวจสอบชื่อภาษาไทย</x:v>
      </x:c>
      <x:c r="D268" s="31" t="str">
        <x:v>รอตรวจสอบ</x:v>
      </x:c>
      <x:c r="E268" s="31" t="str">
        <x:v>[]</x:v>
      </x:c>
      <x:c r="F268" s="37" t="str">
        <x:v>ข้อมูลฉบับร่างจากเอกสารอ้างอิง อย. รอตรวจทานโดยผู้เชี่ยวชาญ</x:v>
      </x:c>
      <x:c r="G268" s="32" t="b">
        <x:v>0</x:v>
      </x:c>
      <x:c r="H268" s="37" t="str">
        <x:v>[{"type":"SMPC","url":"https://drug.fda.moph.go.th/media.php?id=810465319775772672&amp;name=SMPC_Teicoplanin_powder for solution for injection-infusion or oral solution.pdf","published_date":"26/11/2024"}]</x:v>
      </x:c>
      <x:c r="I268" s="31" t="str">
        <x:v>Draft</x:v>
      </x:c>
      <x:c r="J268" s="31"/>
      <x:c r="K268" s="37"/>
      <x:c r="L268" s="37" t="str">
        <x:v>https://drug.fda.moph.go.th/media.php?id=810465319775772672&amp;name=SMPC_Teicoplanin_powder for solution for injection-infusion or oral solution.pdf</x:v>
      </x:c>
      <x:c r="M268" s="31" t="str">
        <x:v>YES</x:v>
      </x:c>
      <x:c r="N268" s="37" t="str">
        <x:v>Clinical review required before Published</x:v>
      </x:c>
    </x:row>
    <x:row r="269">
      <x:c r="A269" s="31" t="str">
        <x:v>tenoxicam</x:v>
      </x:c>
      <x:c r="B269" s="31" t="str">
        <x:v>Tenoxicam</x:v>
      </x:c>
      <x:c r="C269" s="37" t="str">
        <x:v>รอตรวจสอบชื่อภาษาไทย</x:v>
      </x:c>
      <x:c r="D269" s="31" t="str">
        <x:v>รอตรวจสอบ</x:v>
      </x:c>
      <x:c r="E269" s="31" t="str">
        <x:v>[]</x:v>
      </x:c>
      <x:c r="F269" s="37" t="str">
        <x:v>ข้อมูลฉบับร่างจากเอกสารอ้างอิง อย. รอตรวจทานโดยผู้เชี่ยวชาญ</x:v>
      </x:c>
      <x:c r="G269" s="32" t="b">
        <x:v>0</x:v>
      </x:c>
      <x:c r="H269" s="37" t="str">
        <x:v>[{"type":"SMPC","url":"https://drug.fda.moph.go.th/media.php?id=810466026549551104&amp;name=SMPC_Tenoxicam_Tablets.pdf","published_date":"29/11/2024"}]</x:v>
      </x:c>
      <x:c r="I269" s="31" t="str">
        <x:v>Draft</x:v>
      </x:c>
      <x:c r="J269" s="31"/>
      <x:c r="K269" s="37"/>
      <x:c r="L269" s="37" t="str">
        <x:v>https://drug.fda.moph.go.th/media.php?id=810466026549551104&amp;name=SMPC_Tenoxicam_Tablets.pdf</x:v>
      </x:c>
      <x:c r="M269" s="31" t="str">
        <x:v>YES</x:v>
      </x:c>
      <x:c r="N269" s="37" t="str">
        <x:v>Clinical review required before Published</x:v>
      </x:c>
    </x:row>
    <x:row r="270">
      <x:c r="A270" s="31" t="str">
        <x:v>terbutaline</x:v>
      </x:c>
      <x:c r="B270" s="31" t="str">
        <x:v>Terbutaline sulfate</x:v>
      </x:c>
      <x:c r="C270" s="37" t="str">
        <x:v>เทอร์บูทาลีน</x:v>
      </x:c>
      <x:c r="D270" s="31" t="str">
        <x:v>รอตรวจสอบ</x:v>
      </x:c>
      <x:c r="E270" s="31" t="str">
        <x:v>[]</x:v>
      </x:c>
      <x:c r="F270" s="37" t="str">
        <x:v>ข้อมูลฉบับร่างจากเอกสารอ้างอิง อย. รอตรวจทานโดยผู้เชี่ยวชาญ</x:v>
      </x:c>
      <x:c r="G270" s="32" t="b">
        <x:v>0</x:v>
      </x:c>
      <x:c r="H270" s="37" t="str">
        <x:v>[{"type":"PIL","url":"https://drug.fda.moph.go.th/media.php?id=808611557641691136&amp;name=Terbutaline_compressedTablet_PIL.pdf","published_date":"19/3/2025"},{"type":"SMPC","url":"https://drug.fda.moph.go.th/media.php?id=810466986881589248&amp;name=SMPC_Terbutaline_Solution for injection or infusion.pdf","published_date":"27/11/2024"},{"type":"SMPC","url":"https://drug.fda.moph.go.th/media.php?id=810467535672713216&amp;name=SMPC_Terbutaline_Syrup.pdf","published_date":"27/11/2024"}]</x:v>
      </x:c>
      <x:c r="I270" s="31" t="str">
        <x:v>Draft</x:v>
      </x:c>
      <x:c r="J270" s="31"/>
      <x:c r="K270" s="37" t="str">
        <x:v>https://drug.fda.moph.go.th/media.php?id=808611557641691136&amp;name=Terbutaline_compressedTablet_PIL.pdf</x:v>
      </x:c>
      <x:c r="L270" s="37" t="str">
        <x:v>https://drug.fda.moph.go.th/media.php?id=810466986881589248&amp;name=SMPC_Terbutaline_Solution for injection or infusion.pdf
https://drug.fda.moph.go.th/media.php?id=810467535672713216&amp;name=SMPC_Terbutaline_Syrup.pdf</x:v>
      </x:c>
      <x:c r="M270" s="31" t="str">
        <x:v>YES</x:v>
      </x:c>
      <x:c r="N270" s="37" t="str">
        <x:v>Clinical review required before Published</x:v>
      </x:c>
    </x:row>
    <x:row r="271">
      <x:c r="A271" s="31" t="str">
        <x:v>tetracycline</x:v>
      </x:c>
      <x:c r="B271" s="31" t="str">
        <x:v>Tetracycline hydrochloride</x:v>
      </x:c>
      <x:c r="C271" s="37" t="str">
        <x:v>เต-ตระ-ไซ-คลิน-ไฮ-โดร-คลอ-ไรด์</x:v>
      </x:c>
      <x:c r="D271" s="31" t="str">
        <x:v>รอตรวจสอบ</x:v>
      </x:c>
      <x:c r="E271" s="31" t="str">
        <x:v>[]</x:v>
      </x:c>
      <x:c r="F271" s="37" t="str">
        <x:v>ใช ้เพื่อรักษาการติดเชื้อแบคทีเรีย ที่ได ้ รับการวินิจฉัยว่า ต ้องใช ้ยานี้</x:v>
      </x:c>
      <x:c r="G271" s="32" t="b">
        <x:v>0</x:v>
      </x:c>
      <x:c r="H271" s="37" t="str">
        <x:v>[{"type":"PIL","url":"https://drug.fda.moph.go.th/media.php?id=730445324153397248&amp;name=pil_Tetracycline hydrochloride (CAPSULE, HARD).pdf","published_date":"9/11/2023"},{"type":"SMPC","url":"https://drug.fda.moph.go.th/media.php?id=810476861875429376&amp;name=SMPC_Tetracycline_Tablets.pdf","published_date":"29/11/2024"}]</x:v>
      </x:c>
      <x:c r="I271" s="31" t="str">
        <x:v>Draft</x:v>
      </x:c>
      <x:c r="J271" s="31"/>
      <x:c r="K271" s="37" t="str">
        <x:v>https://drug.fda.moph.go.th/media.php?id=730445324153397248&amp;name=pil_Tetracycline hydrochloride (CAPSULE, HARD).pdf</x:v>
      </x:c>
      <x:c r="L271" s="37" t="str">
        <x:v>https://drug.fda.moph.go.th/media.php?id=810476861875429376&amp;name=SMPC_Tetracycline_Tablets.pdf</x:v>
      </x:c>
      <x:c r="M271" s="31" t="str">
        <x:v>YES</x:v>
      </x:c>
      <x:c r="N271" s="37" t="str">
        <x:v>Clinical review required before Published</x:v>
      </x:c>
    </x:row>
    <x:row r="272">
      <x:c r="A272" s="31" t="str">
        <x:v>theophylline</x:v>
      </x:c>
      <x:c r="B272" s="31" t="str">
        <x:v>Theophylline</x:v>
      </x:c>
      <x:c r="C272" s="37" t="str">
        <x:v>ทีออฟิลลีน</x:v>
      </x:c>
      <x:c r="D272" s="31" t="str">
        <x:v>รอตรวจสอบ</x:v>
      </x:c>
      <x:c r="E272" s="31" t="str">
        <x:v>[]</x:v>
      </x:c>
      <x:c r="F272" s="37" t="str">
        <x:v>ข้อมูลฉบับร่างจากเอกสารอ้างอิง อย. รอตรวจทานโดยผู้เชี่ยวชาญ</x:v>
      </x:c>
      <x:c r="G272" s="32" t="b">
        <x:v>0</x:v>
      </x:c>
      <x:c r="H272" s="37" t="str">
        <x:v>[{"type":"PIL","url":"https://drug.fda.moph.go.th/media.php?id=808611857748336640&amp;name=Theophylline_compressedTablet_PIL.pdf","published_date":"19/3/2025"}]</x:v>
      </x:c>
      <x:c r="I272" s="31" t="str">
        <x:v>Draft</x:v>
      </x:c>
      <x:c r="J272" s="31"/>
      <x:c r="K272" s="37" t="str">
        <x:v>https://drug.fda.moph.go.th/media.php?id=808611857748336640&amp;name=Theophylline_compressedTablet_PIL.pdf</x:v>
      </x:c>
      <x:c r="L272" s="37"/>
      <x:c r="M272" s="31" t="str">
        <x:v>YES</x:v>
      </x:c>
      <x:c r="N272" s="37" t="str">
        <x:v>Clinical review required before Published</x:v>
      </x:c>
    </x:row>
    <x:row r="273">
      <x:c r="A273" s="31" t="str">
        <x:v>thiamine</x:v>
      </x:c>
      <x:c r="B273" s="31" t="str">
        <x:v>Thiamine hydrochloride</x:v>
      </x:c>
      <x:c r="C273" s="37" t="str">
        <x:v>ไท-อา-มีน</x:v>
      </x:c>
      <x:c r="D273" s="31" t="str">
        <x:v>รอตรวจสอบ</x:v>
      </x:c>
      <x:c r="E273" s="31" t="str">
        <x:v>[]</x:v>
      </x:c>
      <x:c r="F273" s="37" t="str">
        <x:v>ใช ้เพื่อรักษาภาวะขาดวิตามินบี 1</x:v>
      </x:c>
      <x:c r="G273" s="32" t="b">
        <x:v>0</x:v>
      </x:c>
      <x:c r="H273" s="37" t="str">
        <x:v>[{"type":"PIL","url":"https://drug.fda.moph.go.th/media.php?id=730445219878805504&amp;name=pil_Thiamine hydrochloride (TABLET).pdf","published_date":"9/11/2023"},{"type":"SMPC","url":"https://drug.fda.moph.go.th/media.php?id=810477458427092992&amp;name=SMPC_Thiamine hydrochloride_Tablets.pdf","published_date":"26/11/2024"},{"type":"SMPC","url":"https://drug.fda.moph.go.th/media.php?id=810478221882695680&amp;name=SMPC_Thiamine hydrochloride_Solution for Injection.pdf","published_date":"22/11/2024"}]</x:v>
      </x:c>
      <x:c r="I273" s="31" t="str">
        <x:v>Draft</x:v>
      </x:c>
      <x:c r="J273" s="31"/>
      <x:c r="K273" s="37" t="str">
        <x:v>https://drug.fda.moph.go.th/media.php?id=730445219878805504&amp;name=pil_Thiamine hydrochloride (TABLET).pdf</x:v>
      </x:c>
      <x:c r="L273" s="37" t="str">
        <x:v>https://drug.fda.moph.go.th/media.php?id=810477458427092992&amp;name=SMPC_Thiamine hydrochloride_Tablets.pdf
https://drug.fda.moph.go.th/media.php?id=810478221882695680&amp;name=SMPC_Thiamine hydrochloride_Solution for Injection.pdf</x:v>
      </x:c>
      <x:c r="M273" s="31" t="str">
        <x:v>YES</x:v>
      </x:c>
      <x:c r="N273" s="37" t="str">
        <x:v>Clinical review required before Published</x:v>
      </x:c>
    </x:row>
    <x:row r="274">
      <x:c r="A274" s="31" t="str">
        <x:v>thimerosal</x:v>
      </x:c>
      <x:c r="B274" s="31" t="str">
        <x:v>Thimerosal</x:v>
      </x:c>
      <x:c r="C274" s="37" t="str">
        <x:v>ยาใส่แผล ทิงเจอร์ไทเมอรอซอล ชนิดนํ้า</x:v>
      </x:c>
      <x:c r="D274" s="31" t="str">
        <x:v>รอตรวจสอบ</x:v>
      </x:c>
      <x:c r="E274" s="31" t="str">
        <x:v>[]</x:v>
      </x:c>
      <x:c r="F274" s="37" t="str">
        <x:v>ใช ้รักษาแผลสด</x:v>
      </x:c>
      <x:c r="G274" s="32" t="b">
        <x:v>0</x:v>
      </x:c>
      <x:c r="H274" s="37" t="str">
        <x:v>[{"type":"PIL","url":"https://drug.fda.moph.go.th/media.php?id=733935364602994688&amp;name=PIL_Thimerosal ยาใส่แผลทิงเจอร์ (15032024).pdf","published_date":"15/3/2024"}]</x:v>
      </x:c>
      <x:c r="I274" s="31" t="str">
        <x:v>Draft</x:v>
      </x:c>
      <x:c r="J274" s="31"/>
      <x:c r="K274" s="37" t="str">
        <x:v>https://drug.fda.moph.go.th/media.php?id=733935364602994688&amp;name=PIL_Thimerosal ยาใส่แผลทิงเจอร์ (15032024).pdf</x:v>
      </x:c>
      <x:c r="L274" s="37"/>
      <x:c r="M274" s="31" t="str">
        <x:v>YES</x:v>
      </x:c>
      <x:c r="N274" s="37" t="str">
        <x:v>Clinical review required before Published</x:v>
      </x:c>
    </x:row>
    <x:row r="275">
      <x:c r="A275" s="31" t="str">
        <x:v>thioridazine</x:v>
      </x:c>
      <x:c r="B275" s="31" t="str">
        <x:v>Thioridazine hydrochloride</x:v>
      </x:c>
      <x:c r="C275" s="37" t="str">
        <x:v>ไทโอริดาซีน</x:v>
      </x:c>
      <x:c r="D275" s="31" t="str">
        <x:v>รอตรวจสอบ</x:v>
      </x:c>
      <x:c r="E275" s="31" t="str">
        <x:v>[]</x:v>
      </x:c>
      <x:c r="F275" s="37" t="str">
        <x:v>ข้อมูลฉบับร่างจากเอกสารอ้างอิง อย. รอตรวจทานโดยผู้เชี่ยวชาญ</x:v>
      </x:c>
      <x:c r="G275" s="32" t="b">
        <x:v>0</x:v>
      </x:c>
      <x:c r="H275" s="37" t="str">
        <x:v>[{"type":"PIL","url":"https://drug.fda.moph.go.th/media.php?id=808612106248265728&amp;name=Thioridazine hydrochloride_sugarCoatedTablet_PIL.pdf","published_date":"19/3/2025"}]</x:v>
      </x:c>
      <x:c r="I275" s="31" t="str">
        <x:v>Draft</x:v>
      </x:c>
      <x:c r="J275" s="31"/>
      <x:c r="K275" s="37" t="str">
        <x:v>https://drug.fda.moph.go.th/media.php?id=808612106248265728&amp;name=Thioridazine hydrochloride_sugarCoatedTablet_PIL.pdf</x:v>
      </x:c>
      <x:c r="L275" s="37"/>
      <x:c r="M275" s="31" t="str">
        <x:v>YES</x:v>
      </x:c>
      <x:c r="N275" s="37" t="str">
        <x:v>Clinical review required before Published</x:v>
      </x:c>
    </x:row>
    <x:row r="276">
      <x:c r="A276" s="31" t="str">
        <x:v>thyrothricin_benzocaine</x:v>
      </x:c>
      <x:c r="B276" s="31" t="str">
        <x:v>Thyrothricin + Benzocaine</x:v>
      </x:c>
      <x:c r="C276" s="37" t="str">
        <x:v>รอตรวจสอบชื่อภาษาไทย</x:v>
      </x:c>
      <x:c r="D276" s="31" t="str">
        <x:v>รอตรวจสอบ</x:v>
      </x:c>
      <x:c r="E276" s="31" t="str">
        <x:v>[]</x:v>
      </x:c>
      <x:c r="F276" s="37" t="str">
        <x:v>ข้อมูลฉบับร่างจากเอกสารอ้างอิง อย. รอตรวจทานโดยผู้เชี่ยวชาญ</x:v>
      </x:c>
      <x:c r="G276" s="32" t="b">
        <x:v>0</x:v>
      </x:c>
      <x:c r="H276" s="37" t="str">
        <x:v>[{"type":"SMPC","url":"https://drug.fda.moph.go.th/media.php?id=810481677779476480&amp;name=SMPC_Tyrothricin and Benzocaine_Lozenge.pdf","published_date":"29/11/2024"}]</x:v>
      </x:c>
      <x:c r="I276" s="31" t="str">
        <x:v>Draft</x:v>
      </x:c>
      <x:c r="J276" s="31"/>
      <x:c r="K276" s="37"/>
      <x:c r="L276" s="37" t="str">
        <x:v>https://drug.fda.moph.go.th/media.php?id=810481677779476480&amp;name=SMPC_Tyrothricin and Benzocaine_Lozenge.pdf</x:v>
      </x:c>
      <x:c r="M276" s="31" t="str">
        <x:v>YES</x:v>
      </x:c>
      <x:c r="N276" s="37" t="str">
        <x:v>Clinical review required before Published</x:v>
      </x:c>
    </x:row>
    <x:row r="277">
      <x:c r="A277" s="31" t="str">
        <x:v>timolol</x:v>
      </x:c>
      <x:c r="B277" s="31" t="str">
        <x:v>Timolol maleate</x:v>
      </x:c>
      <x:c r="C277" s="37" t="str">
        <x:v>ทิโมลอล</x:v>
      </x:c>
      <x:c r="D277" s="31" t="str">
        <x:v>รอตรวจสอบ</x:v>
      </x:c>
      <x:c r="E277" s="31" t="str">
        <x:v>[]</x:v>
      </x:c>
      <x:c r="F277" s="37" t="str">
        <x:v>ใช ้เพื่อรักษาโรคต ้ อหิน</x:v>
      </x:c>
      <x:c r="G277" s="32" t="b">
        <x:v>0</x:v>
      </x:c>
      <x:c r="H277" s="37" t="str">
        <x:v>[{"type":"SMPC","url":"https://drug.fda.moph.go.th/media.php?id=810482237991690240&amp;name=SMPC_Timolol_Eye Drops Solution.pdf","published_date":"29/11/2024"},{"type":"PIL","url":"https://drug.fda.moph.go.th/media.php?id=862918387385376768&amp;name=39.Timolol_eyedrop_PIL_final.pdf","published_date":"13/2/2026"}]</x:v>
      </x:c>
      <x:c r="I277" s="31" t="str">
        <x:v>Draft</x:v>
      </x:c>
      <x:c r="J277" s="31"/>
      <x:c r="K277" s="37" t="str">
        <x:v>https://drug.fda.moph.go.th/media.php?id=862918387385376768&amp;name=39.Timolol_eyedrop_PIL_final.pdf</x:v>
      </x:c>
      <x:c r="L277" s="37" t="str">
        <x:v>https://drug.fda.moph.go.th/media.php?id=810482237991690240&amp;name=SMPC_Timolol_Eye Drops Solution.pdf</x:v>
      </x:c>
      <x:c r="M277" s="31" t="str">
        <x:v>YES</x:v>
      </x:c>
      <x:c r="N277" s="37" t="str">
        <x:v>Clinical review required before Published</x:v>
      </x:c>
    </x:row>
    <x:row r="278">
      <x:c r="A278" s="31" t="str">
        <x:v>tinidazole</x:v>
      </x:c>
      <x:c r="B278" s="31" t="str">
        <x:v>Tinidazole</x:v>
      </x:c>
      <x:c r="C278" s="37" t="str">
        <x:v>ทินิดาโซล</x:v>
      </x:c>
      <x:c r="D278" s="31" t="str">
        <x:v>รอตรวจสอบ</x:v>
      </x:c>
      <x:c r="E278" s="31" t="str">
        <x:v>[]</x:v>
      </x:c>
      <x:c r="F278" s="37" t="str">
        <x:v>ข้อมูลฉบับร่างจากเอกสารอ้างอิง อย. รอตรวจทานโดยผู้เชี่ยวชาญ</x:v>
      </x:c>
      <x:c r="G278" s="32" t="b">
        <x:v>0</x:v>
      </x:c>
      <x:c r="H278" s="37" t="str">
        <x:v>[{"type":"PIL","url":"https://drug.fda.moph.go.th/media.php?id=808854193703100416&amp;name=Tinidazole_capsuleCompressedTabletFilmCoatedTabletEntericFilmCoatedTablet_PIL.pdf","published_date":"19/3/2025"},{"type":"SMPC","url":"https://drug.fda.moph.go.th/media.php?id=810482703316164608&amp;name=SMPC_Tinidazole_Film-coated Tablet.pdf","published_date":"26/11/2024"}]</x:v>
      </x:c>
      <x:c r="I278" s="31" t="str">
        <x:v>Draft</x:v>
      </x:c>
      <x:c r="J278" s="31" t="str">
        <x:v>500 mg</x:v>
      </x:c>
      <x:c r="K278" s="37" t="str">
        <x:v>https://drug.fda.moph.go.th/media.php?id=808854193703100416&amp;name=Tinidazole_capsuleCompressedTabletFilmCoatedTabletEntericFilmCoatedTablet_PIL.pdf</x:v>
      </x:c>
      <x:c r="L278" s="37" t="str">
        <x:v>https://drug.fda.moph.go.th/media.php?id=810482703316164608&amp;name=SMPC_Tinidazole_Film-coated Tablet.pdf</x:v>
      </x:c>
      <x:c r="M278" s="31" t="str">
        <x:v>YES</x:v>
      </x:c>
      <x:c r="N278" s="37" t="str">
        <x:v>Clinical review required before Published</x:v>
      </x:c>
    </x:row>
    <x:row r="279">
      <x:c r="A279" s="31" t="str">
        <x:v>tocopherol</x:v>
      </x:c>
      <x:c r="B279" s="31" t="str">
        <x:v>Tocopherol</x:v>
      </x:c>
      <x:c r="C279" s="37" t="str">
        <x:v>โท-โค-ฟี-รอล</x:v>
      </x:c>
      <x:c r="D279" s="31" t="str">
        <x:v>รอตรวจสอบ</x:v>
      </x:c>
      <x:c r="E279" s="31" t="str">
        <x:v>[]</x:v>
      </x:c>
      <x:c r="F279" s="37" t="str">
        <x:v>ใช ้เพื่อรักษาภาวะขาดวิตามินอี</x:v>
      </x:c>
      <x:c r="G279" s="32" t="b">
        <x:v>0</x:v>
      </x:c>
      <x:c r="H279" s="37" t="str">
        <x:v>[{"type":"PIL","url":"https://drug.fda.moph.go.th/media.php?id=730443346484535296&amp;name=pil_Tocopherol (CAPSULE, SOFT).pdf","published_date":"9/11/2023"},{"type":"SMPC","url":"https://drug.fda.moph.go.th/media.php?id=810483084486123520&amp;name=SMPC_Tocopherol_soft capsules.pdf","published_date":"26/11/2024"}]</x:v>
      </x:c>
      <x:c r="I279" s="31" t="str">
        <x:v>Draft</x:v>
      </x:c>
      <x:c r="J279" s="31"/>
      <x:c r="K279" s="37" t="str">
        <x:v>https://drug.fda.moph.go.th/media.php?id=730443346484535296&amp;name=pil_Tocopherol (CAPSULE, SOFT).pdf</x:v>
      </x:c>
      <x:c r="L279" s="37" t="str">
        <x:v>https://drug.fda.moph.go.th/media.php?id=810483084486123520&amp;name=SMPC_Tocopherol_soft capsules.pdf</x:v>
      </x:c>
      <x:c r="M279" s="31" t="str">
        <x:v>YES</x:v>
      </x:c>
      <x:c r="N279" s="37" t="str">
        <x:v>Clinical review required before Published</x:v>
      </x:c>
    </x:row>
    <x:row r="280">
      <x:c r="A280" s="31" t="str">
        <x:v>tramadol</x:v>
      </x:c>
      <x:c r="B280" s="31" t="str">
        <x:v>Tramadol hydrochloride</x:v>
      </x:c>
      <x:c r="C280" s="37" t="str">
        <x:v>ทรา-มา-ดอล-ไฮ-โดร-คลอ-ไรด์</x:v>
      </x:c>
      <x:c r="D280" s="31" t="str">
        <x:v>รอตรวจสอบ</x:v>
      </x:c>
      <x:c r="E280" s="31" t="str">
        <x:v>[]</x:v>
      </x:c>
      <x:c r="F280" s="37" t="str">
        <x:v>ใช ้รักษาอาการปวดระดับปานกลางถึงรุนแรง</x:v>
      </x:c>
      <x:c r="G280" s="32" t="b">
        <x:v>0</x:v>
      </x:c>
      <x:c r="H280" s="37" t="str">
        <x:v>[{"type":"PIL","url":"https://drug.fda.moph.go.th/media.php?id=808855984142426112&amp;name=Tramadol_capsuleCompressedtablet_PIL.pdf","published_date":"19/3/2025"},{"type":"SMPC","url":"https://drug.fda.moph.go.th/media.php?id=810483663501402112&amp;name=SMPC_Tramadol_Capsules.pdf","published_date":"27/11/2024"},{"type":"SMPC","url":"https://drug.fda.moph.go.th/media.php?id=810484035766853632&amp;name=SMPC_Tramadol_solution for injection or infusion.pdf","published_date":"27/11/2024"}]</x:v>
      </x:c>
      <x:c r="I280" s="31" t="str">
        <x:v>Draft</x:v>
      </x:c>
      <x:c r="J280" s="31"/>
      <x:c r="K280" s="37" t="str">
        <x:v>https://drug.fda.moph.go.th/media.php?id=808855984142426112&amp;name=Tramadol_capsuleCompressedtablet_PIL.pdf</x:v>
      </x:c>
      <x:c r="L280" s="37" t="str">
        <x:v>https://drug.fda.moph.go.th/media.php?id=810483663501402112&amp;name=SMPC_Tramadol_Capsules.pdf
https://drug.fda.moph.go.th/media.php?id=810484035766853632&amp;name=SMPC_Tramadol_solution for injection or infusion.pdf</x:v>
      </x:c>
      <x:c r="M280" s="31" t="str">
        <x:v>YES</x:v>
      </x:c>
      <x:c r="N280" s="37" t="str">
        <x:v>Clinical review required before Published</x:v>
      </x:c>
    </x:row>
    <x:row r="281">
      <x:c r="A281" s="31" t="str">
        <x:v>trazodone</x:v>
      </x:c>
      <x:c r="B281" s="31" t="str">
        <x:v>Trazodone</x:v>
      </x:c>
      <x:c r="C281" s="37" t="str">
        <x:v>ทรา-โซ-โดน-ไฮ-โดร-คลอ-ไรด์</x:v>
      </x:c>
      <x:c r="D281" s="31" t="str">
        <x:v>รอตรวจสอบ</x:v>
      </x:c>
      <x:c r="E281" s="31" t="str">
        <x:v>[]</x:v>
      </x:c>
      <x:c r="F281" s="37" t="str">
        <x:v>ใช ้รักษาโรคซึมเศร ้า</x:v>
      </x:c>
      <x:c r="G281" s="32" t="b">
        <x:v>0</x:v>
      </x:c>
      <x:c r="H281" s="37" t="str">
        <x:v>[{"type":"SMPC","url":"https://drug.fda.moph.go.th/media.php?id=810484413367459840&amp;name=SMPC_Trazodone_Tablets.pdf","published_date":"26/11/2024"},{"type":"PIL","url":"https://drug.fda.moph.go.th/media.php?id=862918385716043776&amp;name=47.Trazodone_tablet_PIL.pdf","published_date":"13/2/2026"}]</x:v>
      </x:c>
      <x:c r="I281" s="31" t="str">
        <x:v>Draft</x:v>
      </x:c>
      <x:c r="J281" s="31"/>
      <x:c r="K281" s="37" t="str">
        <x:v>https://drug.fda.moph.go.th/media.php?id=862918385716043776&amp;name=47.Trazodone_tablet_PIL.pdf</x:v>
      </x:c>
      <x:c r="L281" s="37" t="str">
        <x:v>https://drug.fda.moph.go.th/media.php?id=810484413367459840&amp;name=SMPC_Trazodone_Tablets.pdf</x:v>
      </x:c>
      <x:c r="M281" s="31" t="str">
        <x:v>YES</x:v>
      </x:c>
      <x:c r="N281" s="37" t="str">
        <x:v>Clinical review required before Published</x:v>
      </x:c>
    </x:row>
    <x:row r="282">
      <x:c r="A282" s="31" t="str">
        <x:v>tretinoin</x:v>
      </x:c>
      <x:c r="B282" s="31" t="str">
        <x:v>Tretinoin</x:v>
      </x:c>
      <x:c r="C282" s="37" t="str">
        <x:v>รอตรวจสอบชื่อภาษาไทย</x:v>
      </x:c>
      <x:c r="D282" s="31" t="str">
        <x:v>รอตรวจสอบ</x:v>
      </x:c>
      <x:c r="E282" s="31" t="str">
        <x:v>[]</x:v>
      </x:c>
      <x:c r="F282" s="37" t="str">
        <x:v>ข้อมูลฉบับร่างจากเอกสารอ้างอิง อย. รอตรวจทานโดยผู้เชี่ยวชาญ</x:v>
      </x:c>
      <x:c r="G282" s="32" t="b">
        <x:v>0</x:v>
      </x:c>
      <x:c r="H282" s="37" t="str">
        <x:v>[{"type":"SMPC","url":"https://drug.fda.moph.go.th/media.php?id=810484794516447232&amp;name=SMPC_Tretinoin_Gel.pdf","published_date":"22/11/2024"}]</x:v>
      </x:c>
      <x:c r="I282" s="31" t="str">
        <x:v>Draft</x:v>
      </x:c>
      <x:c r="J282" s="31"/>
      <x:c r="K282" s="37"/>
      <x:c r="L282" s="37" t="str">
        <x:v>https://drug.fda.moph.go.th/media.php?id=810484794516447232&amp;name=SMPC_Tretinoin_Gel.pdf</x:v>
      </x:c>
      <x:c r="M282" s="31" t="str">
        <x:v>YES</x:v>
      </x:c>
      <x:c r="N282" s="37" t="str">
        <x:v>Clinical review required before Published</x:v>
      </x:c>
    </x:row>
    <x:row r="283">
      <x:c r="A283" s="31" t="str">
        <x:v>triamcinolone_acetonide</x:v>
      </x:c>
      <x:c r="B283" s="31" t="str">
        <x:v>Triamcinolone acetonide</x:v>
      </x:c>
      <x:c r="C283" s="37" t="str">
        <x:v>ไตร-แอม-ซิ-โน-โลน-อะ-ซี-โท-ไนด์</x:v>
      </x:c>
      <x:c r="D283" s="31" t="str">
        <x:v>รอตรวจสอบ</x:v>
      </x:c>
      <x:c r="E283" s="31" t="str">
        <x:v>[]</x:v>
      </x:c>
      <x:c r="F283" s="37" t="str">
        <x:v>ใช ้เพื่อลดอาการ แดง คัน ที่เกิดจากการอักเสบบริเวณ ผิวหนัง</x:v>
      </x:c>
      <x:c r="G283" s="32" t="b">
        <x:v>0</x:v>
      </x:c>
      <x:c r="H283" s="37" t="str">
        <x:v>[{"type":"PIL","url":"https://drug.fda.moph.go.th/media.php?id=730442794375716864&amp;name=pil_Triamcinolone acetonide (CREAM - LOTION).pdf","published_date":"9/11/2023"},{"type":"SMPC","url":"https://drug.fda.moph.go.th/media.php?id=810493020255428608&amp;name=SMPC_Triamcinolone_Suspensions for injections or infusions.pdf","published_date":"29/11/2024"}]</x:v>
      </x:c>
      <x:c r="I283" s="31" t="str">
        <x:v>Draft</x:v>
      </x:c>
      <x:c r="J283" s="31"/>
      <x:c r="K283" s="37" t="str">
        <x:v>https://drug.fda.moph.go.th/media.php?id=730442794375716864&amp;name=pil_Triamcinolone acetonide (CREAM - LOTION).pdf</x:v>
      </x:c>
      <x:c r="L283" s="37" t="str">
        <x:v>https://drug.fda.moph.go.th/media.php?id=810493020255428608&amp;name=SMPC_Triamcinolone_Suspensions for injections or infusions.pdf</x:v>
      </x:c>
      <x:c r="M283" s="31" t="str">
        <x:v>YES</x:v>
      </x:c>
      <x:c r="N283" s="37" t="str">
        <x:v>Clinical review required before Published</x:v>
      </x:c>
    </x:row>
    <x:row r="284">
      <x:c r="A284" s="31" t="str">
        <x:v>trifluoperazine</x:v>
      </x:c>
      <x:c r="B284" s="31" t="str">
        <x:v>Trifluoperazine hydrochloride</x:v>
      </x:c>
      <x:c r="C284" s="37" t="str">
        <x:v>รอตรวจสอบชื่อภาษาไทย</x:v>
      </x:c>
      <x:c r="D284" s="31" t="str">
        <x:v>รอตรวจสอบ</x:v>
      </x:c>
      <x:c r="E284" s="31" t="str">
        <x:v>[]</x:v>
      </x:c>
      <x:c r="F284" s="37" t="str">
        <x:v>ข้อมูลฉบับร่างจากเอกสารอ้างอิง อย. รอตรวจทานโดยผู้เชี่ยวชาญ</x:v>
      </x:c>
      <x:c r="G284" s="32" t="b">
        <x:v>0</x:v>
      </x:c>
      <x:c r="H284" s="37" t="str">
        <x:v>[{"type":"SMPC","url":"https://drug.fda.moph.go.th/media.php?id=810493611467743232&amp;name=SMPC_Trifluoperazine_Tablets.pdf","published_date":"29/11/2024"}]</x:v>
      </x:c>
      <x:c r="I284" s="31" t="str">
        <x:v>Draft</x:v>
      </x:c>
      <x:c r="J284" s="31"/>
      <x:c r="K284" s="37"/>
      <x:c r="L284" s="37" t="str">
        <x:v>https://drug.fda.moph.go.th/media.php?id=810493611467743232&amp;name=SMPC_Trifluoperazine_Tablets.pdf</x:v>
      </x:c>
      <x:c r="M284" s="31" t="str">
        <x:v>YES</x:v>
      </x:c>
      <x:c r="N284" s="37" t="str">
        <x:v>Clinical review required before Published</x:v>
      </x:c>
    </x:row>
    <x:row r="285">
      <x:c r="A285" s="31" t="str">
        <x:v>trihexyphenidyl</x:v>
      </x:c>
      <x:c r="B285" s="31" t="str">
        <x:v>trihexyphenidyl</x:v>
      </x:c>
      <x:c r="C285" s="37" t="str">
        <x:v>ไทร-เฮ็ก-ซี-เฟ-นิ-ดิล</x:v>
      </x:c>
      <x:c r="D285" s="31" t="str">
        <x:v>รอตรวจสอบ</x:v>
      </x:c>
      <x:c r="E285" s="31" t="str">
        <x:v>[]</x:v>
      </x:c>
      <x:c r="F285" s="37" t="str">
        <x:v>ใช ้รักษาอาการของโรคพาร์กินสัน • ใช ้ป้องกันและควบคุมอาการข ้างเคียงจากยาอื่น ที่มีอาการคล ้ายโรคพาร์กินสัน</x:v>
      </x:c>
      <x:c r="G285" s="32" t="b">
        <x:v>0</x:v>
      </x:c>
      <x:c r="H285" s="37" t="str">
        <x:v>[{"type":"PIL","url":"https://drug.fda.moph.go.th/media.php?id=862918385552465920&amp;name=48.Trihexyphenidyl_tablet_PIL.pdf","published_date":"13/2/2026"}]</x:v>
      </x:c>
      <x:c r="I285" s="31" t="str">
        <x:v>Draft</x:v>
      </x:c>
      <x:c r="J285" s="31"/>
      <x:c r="K285" s="37" t="str">
        <x:v>https://drug.fda.moph.go.th/media.php?id=862918385552465920&amp;name=48.Trihexyphenidyl_tablet_PIL.pdf</x:v>
      </x:c>
      <x:c r="L285" s="37"/>
      <x:c r="M285" s="31" t="str">
        <x:v>YES</x:v>
      </x:c>
      <x:c r="N285" s="37" t="str">
        <x:v>Clinical review required before Published</x:v>
      </x:c>
    </x:row>
    <x:row r="286">
      <x:c r="A286" s="31" t="str">
        <x:v>trimethoprim_sulfamethoxazole</x:v>
      </x:c>
      <x:c r="B286" s="31" t="str">
        <x:v>Trimethoprim + Sulfamethoxazole</x:v>
      </x:c>
      <x:c r="C286" s="37" t="str">
        <x:v>รอตรวจสอบชื่อภาษาไทย</x:v>
      </x:c>
      <x:c r="D286" s="31" t="str">
        <x:v>รอตรวจสอบ</x:v>
      </x:c>
      <x:c r="E286" s="31" t="str">
        <x:v>[]</x:v>
      </x:c>
      <x:c r="F286" s="37" t="str">
        <x:v>ข้อมูลฉบับร่างจากเอกสารอ้างอิง อย. รอตรวจทานโดยผู้เชี่ยวชาญ</x:v>
      </x:c>
      <x:c r="G286" s="32" t="b">
        <x:v>0</x:v>
      </x:c>
      <x:c r="H286" s="37" t="str">
        <x:v>[{"type":"SMPC","url":"https://drug.fda.moph.go.th/media.php?id=810494133834752000&amp;name=SMPC_Trimethoprim + Sulfamethoxazole_Solution for Infusion.pdf","published_date":"27/11/2024"}]</x:v>
      </x:c>
      <x:c r="I286" s="31" t="str">
        <x:v>Draft</x:v>
      </x:c>
      <x:c r="J286" s="31"/>
      <x:c r="K286" s="37"/>
      <x:c r="L286" s="37" t="str">
        <x:v>https://drug.fda.moph.go.th/media.php?id=810494133834752000&amp;name=SMPC_Trimethoprim + Sulfamethoxazole_Solution for Infusion.pdf</x:v>
      </x:c>
      <x:c r="M286" s="31" t="str">
        <x:v>YES</x:v>
      </x:c>
      <x:c r="N286" s="37" t="str">
        <x:v>Clinical review required before Published</x:v>
      </x:c>
    </x:row>
    <x:row r="287">
      <x:c r="A287" s="31" t="str">
        <x:v>vancomycin</x:v>
      </x:c>
      <x:c r="B287" s="31" t="str">
        <x:v>Vancomycin hydrochloride</x:v>
      </x:c>
      <x:c r="C287" s="37" t="str">
        <x:v>แวนโคมัยซินไฮโดรคลอไรด์</x:v>
      </x:c>
      <x:c r="D287" s="31" t="str">
        <x:v>รอตรวจสอบ</x:v>
      </x:c>
      <x:c r="E287" s="31" t="str">
        <x:v>[]</x:v>
      </x:c>
      <x:c r="F287" s="37" t="str">
        <x:v>● ใช ้รักษาการติดเชื้อแบคทีเรียบางชนิดที่ไวต่อยานี้</x:v>
      </x:c>
      <x:c r="G287" s="32" t="b">
        <x:v>0</x:v>
      </x:c>
      <x:c r="H287" s="37" t="str">
        <x:v>[{"type":"PIL","url":"https://drug.fda.moph.go.th/media.php?id=904601732376567808&amp;name=5. Ref_PIL Vancomycin.pdf","published_date":"8/6/2026"},{"type":"SMPC","url":"https://drug.fda.moph.go.th/media.php?id=904966130962145280&amp;name=5. Ref SmPC_Vancomycin.pdf","published_date":"8/6/2026"}]</x:v>
      </x:c>
      <x:c r="I287" s="31" t="str">
        <x:v>Draft</x:v>
      </x:c>
      <x:c r="J287" s="31" t="str">
        <x:v>1000 mgต่อขวด</x:v>
      </x:c>
      <x:c r="K287" s="37" t="str">
        <x:v>https://drug.fda.moph.go.th/media.php?id=904601732376567808&amp;name=5. Ref_PIL Vancomycin.pdf</x:v>
      </x:c>
      <x:c r="L287" s="37" t="str">
        <x:v>https://drug.fda.moph.go.th/media.php?id=904966130962145280&amp;name=5. Ref SmPC_Vancomycin.pdf</x:v>
      </x:c>
      <x:c r="M287" s="31" t="str">
        <x:v>YES</x:v>
      </x:c>
      <x:c r="N287" s="37" t="str">
        <x:v>Clinical review required before Published</x:v>
      </x:c>
    </x:row>
    <x:row r="288">
      <x:c r="A288" s="31" t="str">
        <x:v>verapamil</x:v>
      </x:c>
      <x:c r="B288" s="31" t="str">
        <x:v>Verapamil hydrochloride</x:v>
      </x:c>
      <x:c r="C288" s="37" t="str">
        <x:v>เวอราพามิล</x:v>
      </x:c>
      <x:c r="D288" s="31" t="str">
        <x:v>รอตรวจสอบ</x:v>
      </x:c>
      <x:c r="E288" s="31" t="str">
        <x:v>[]</x:v>
      </x:c>
      <x:c r="F288" s="37" t="str">
        <x:v>ใช ้รักษาโรคความดันโลหิตสูง • ใช ้รักษาและป้องกันอาการเจ็บเค ้นหน ้าอก • ใช ้รักษาและป้องกันภาวะหัวใจเต ้ นเร็วผิดปกติ</x:v>
      </x:c>
      <x:c r="G288" s="32" t="b">
        <x:v>0</x:v>
      </x:c>
      <x:c r="H288" s="37" t="str">
        <x:v>[{"type":"PIL","url":"https://drug.fda.moph.go.th/media.php?id=730442671180619776&amp;name=pil_Verapamil hydrochloride (TABLET 40 mg, 80 mg).pdf","published_date":"13/4/2023"}]</x:v>
      </x:c>
      <x:c r="I288" s="31" t="str">
        <x:v>Draft</x:v>
      </x:c>
      <x:c r="J288" s="31" t="str">
        <x:v>40 mg, 80 mg</x:v>
      </x:c>
      <x:c r="K288" s="37" t="str">
        <x:v>https://drug.fda.moph.go.th/media.php?id=730442671180619776&amp;name=pil_Verapamil hydrochloride (TABLET 40 mg, 80 mg).pdf</x:v>
      </x:c>
      <x:c r="L288" s="37"/>
      <x:c r="M288" s="31" t="str">
        <x:v>YES</x:v>
      </x:c>
      <x:c r="N288" s="37" t="str">
        <x:v>Clinical review required before Published</x:v>
      </x:c>
    </x:row>
    <x:row r="289">
      <x:c r="A289" s="31" t="str">
        <x:v>vitamin_b1_b6_b12</x:v>
      </x:c>
      <x:c r="B289" s="31" t="str">
        <x:v>Vitamin B1 B6 B12</x:v>
      </x:c>
      <x:c r="C289" s="37" t="str">
        <x:v>ให้ปรึกษาแพทย์หรือเภส ัชกรในกรณีต่อไปนี้</x:v>
      </x:c>
      <x:c r="D289" s="31" t="str">
        <x:v>รอตรวจสอบ</x:v>
      </x:c>
      <x:c r="E289" s="31" t="str">
        <x:v>[]</x:v>
      </x:c>
      <x:c r="F289" s="37" t="str">
        <x:v>รักษาผู ้ ที่มีภาวะขาดวิตามินบี1-6-12</x:v>
      </x:c>
      <x:c r="G289" s="32" t="b">
        <x:v>0</x:v>
      </x:c>
      <x:c r="H289" s="37" t="str">
        <x:v>[{"type":"PIL","url":"https://drug.fda.moph.go.th/media.php?id=808856449353654272&amp;name=VitaminB1B6B12_tablet_PIL.pdf","published_date":"19/3/2025"}]</x:v>
      </x:c>
      <x:c r="I289" s="31" t="str">
        <x:v>Draft</x:v>
      </x:c>
      <x:c r="J289" s="31"/>
      <x:c r="K289" s="37" t="str">
        <x:v>https://drug.fda.moph.go.th/media.php?id=808856449353654272&amp;name=VitaminB1B6B12_tablet_PIL.pdf</x:v>
      </x:c>
      <x:c r="L289" s="37"/>
      <x:c r="M289" s="31" t="str">
        <x:v>YES</x:v>
      </x:c>
      <x:c r="N289" s="37" t="str">
        <x:v>Clinical review required before Published</x:v>
      </x:c>
    </x:row>
    <x:row r="290">
      <x:c r="A290" s="31" t="str">
        <x:v>vitamin_b_complex</x:v>
      </x:c>
      <x:c r="B290" s="31" t="str">
        <x:v>Vitamin B-complex</x:v>
      </x:c>
      <x:c r="C290" s="37" t="str">
        <x:v>ไม่เพียงพอ เพื่อลดความเสี่ยงการขาดวิตามินบี</x:v>
      </x:c>
      <x:c r="D290" s="31" t="str">
        <x:v>รอตรวจสอบ</x:v>
      </x:c>
      <x:c r="E290" s="31" t="str">
        <x:v>[]</x:v>
      </x:c>
      <x:c r="F290" s="37" t="str">
        <x:v>รักษาผู้ที่มีภาวะขาดวิตามินบี • รักษาผู้ที่ขาดสารอาหารหรือรับประทานอาหาร ไม่เพียงพอ เพื่อลดความเสี่ยงการขาดวิตามินบี • ใช ้บํารุงร่างกาย • เสริมสร ้างสุขภาพหรือการเจริญเติบโตของร่างกาย</x:v>
      </x:c>
      <x:c r="G290" s="32" t="b">
        <x:v>0</x:v>
      </x:c>
      <x:c r="H290" s="37" t="str">
        <x:v>[{"type":"PIL","url":"https://drug.fda.moph.go.th/media.php?id=733934898674540544&amp;name=PIL_Vitamin B-complex ชนิดเม็ดและแคปซูล_(11042024).pdf","published_date":"10/4/2024"}]</x:v>
      </x:c>
      <x:c r="I290" s="31" t="str">
        <x:v>Draft</x:v>
      </x:c>
      <x:c r="J290" s="31"/>
      <x:c r="K290" s="37" t="str">
        <x:v>https://drug.fda.moph.go.th/media.php?id=733934898674540544&amp;name=PIL_Vitamin B-complex ชนิดเม็ดและแคปซูล_(11042024).pdf</x:v>
      </x:c>
      <x:c r="L290" s="37"/>
      <x:c r="M290" s="31" t="str">
        <x:v>YES</x:v>
      </x:c>
      <x:c r="N290" s="37" t="str">
        <x:v>Clinical review required before Published</x:v>
      </x:c>
    </x:row>
    <x:row r="291">
      <x:c r="A291" s="31" t="str">
        <x:v>vitamin_c</x:v>
      </x:c>
      <x:c r="B291" s="31" t="str">
        <x:v>Vitamin C</x:v>
      </x:c>
      <x:c r="C291" s="37" t="str">
        <x:v>หากท่านมีภาวะต่อไปนี้</x:v>
      </x:c>
      <x:c r="D291" s="31" t="str">
        <x:v>รอตรวจสอบ</x:v>
      </x:c>
      <x:c r="E291" s="31" t="str">
        <x:v>[]</x:v>
      </x:c>
      <x:c r="F291" s="37" t="str">
        <x:v>ใช ้ป้องกันการขาดวิตามินซี</x:v>
      </x:c>
      <x:c r="G291" s="32" t="b">
        <x:v>0</x:v>
      </x:c>
      <x:c r="H291" s="37" t="str">
        <x:v>[{"type":"PIL","url":"https://drug.fda.moph.go.th/media.php?id=733933363483779072&amp;name=PIL ยาเม็ดวิตามินซี (15032024).pdf","published_date":"15/3/2024"}]</x:v>
      </x:c>
      <x:c r="I291" s="31" t="str">
        <x:v>Draft</x:v>
      </x:c>
      <x:c r="J291" s="31" t="str">
        <x:v>100 mg</x:v>
      </x:c>
      <x:c r="K291" s="37" t="str">
        <x:v>https://drug.fda.moph.go.th/media.php?id=733933363483779072&amp;name=PIL ยาเม็ดวิตามินซี (15032024).pdf</x:v>
      </x:c>
      <x:c r="L291" s="37"/>
      <x:c r="M291" s="31" t="str">
        <x:v>YES</x:v>
      </x:c>
      <x:c r="N291" s="37" t="str">
        <x:v>Clinical review required before Published</x:v>
      </x:c>
    </x:row>
    <x:row r="292">
      <x:c r="A292" s="31" t="str">
        <x:v>water_for_injection</x:v>
      </x:c>
      <x:c r="B292" s="31" t="str">
        <x:v>Water For Injection</x:v>
      </x:c>
      <x:c r="C292" s="37" t="str">
        <x:v>รอตรวจสอบชื่อภาษาไทย</x:v>
      </x:c>
      <x:c r="D292" s="31" t="str">
        <x:v>รอตรวจสอบ</x:v>
      </x:c>
      <x:c r="E292" s="31" t="str">
        <x:v>[]</x:v>
      </x:c>
      <x:c r="F292" s="37" t="str">
        <x:v>ข้อมูลฉบับร่างจากเอกสารอ้างอิง อย. รอตรวจทานโดยผู้เชี่ยวชาญ</x:v>
      </x:c>
      <x:c r="G292" s="32" t="b">
        <x:v>0</x:v>
      </x:c>
      <x:c r="H292" s="37" t="str">
        <x:v>[{"type":"SMPC","url":"https://drug.fda.moph.go.th/media.php?id=810494575130058752&amp;name=SMPC_Water for Injections_solvent for parenteral use.pdf","published_date":"27/11/2024"}]</x:v>
      </x:c>
      <x:c r="I292" s="31" t="str">
        <x:v>Draft</x:v>
      </x:c>
      <x:c r="J292" s="31"/>
      <x:c r="K292" s="37"/>
      <x:c r="L292" s="37" t="str">
        <x:v>https://drug.fda.moph.go.th/media.php?id=810494575130058752&amp;name=SMPC_Water for Injections_solvent for parenteral use.pdf</x:v>
      </x:c>
      <x:c r="M292" s="31" t="str">
        <x:v>YES</x:v>
      </x:c>
      <x:c r="N292" s="37" t="str">
        <x:v>Clinical review required before Published</x:v>
      </x:c>
    </x:row>
    <x:row r="293">
      <x:c r="A293" s="31" t="str">
        <x:v>zidovudine</x:v>
      </x:c>
      <x:c r="B293" s="31" t="str">
        <x:v>Zidovudine</x:v>
      </x:c>
      <x:c r="C293" s="37" t="str">
        <x:v>รอตรวจสอบชื่อภาษาไทย</x:v>
      </x:c>
      <x:c r="D293" s="31" t="str">
        <x:v>รอตรวจสอบ</x:v>
      </x:c>
      <x:c r="E293" s="31" t="str">
        <x:v>[]</x:v>
      </x:c>
      <x:c r="F293" s="37" t="str">
        <x:v>ข้อมูลฉบับร่างจากเอกสารอ้างอิง อย. รอตรวจทานโดยผู้เชี่ยวชาญ</x:v>
      </x:c>
      <x:c r="G293" s="32" t="b">
        <x:v>0</x:v>
      </x:c>
      <x:c r="H293" s="37" t="str">
        <x:v>[{"type":"SMPC","url":"https://drug.fda.moph.go.th/media.php?id=810494978483691520&amp;name=SMPC_Zidovudine_Capsules.pdf","published_date":"29/11/2024"}]</x:v>
      </x:c>
      <x:c r="I293" s="31" t="str">
        <x:v>Draft</x:v>
      </x:c>
      <x:c r="J293" s="31"/>
      <x:c r="K293" s="37"/>
      <x:c r="L293" s="37" t="str">
        <x:v>https://drug.fda.moph.go.th/media.php?id=810494978483691520&amp;name=SMPC_Zidovudine_Capsules.pdf</x:v>
      </x:c>
      <x:c r="M293" s="31" t="str">
        <x:v>YES</x:v>
      </x:c>
      <x:c r="N293" s="37" t="str">
        <x:v>Clinical review required before Published</x:v>
      </x:c>
    </x:row>
    <x:row r="294">
      <x:c r="A294" s="31" t="str">
        <x:v>zinc</x:v>
      </x:c>
      <x:c r="B294" s="31" t="str">
        <x:v>Zinc sulfate</x:v>
      </x:c>
      <x:c r="C294" s="37" t="str">
        <x:v>ซิงค์-ซัล-เฟต</x:v>
      </x:c>
      <x:c r="D294" s="31" t="str">
        <x:v>รอตรวจสอบ</x:v>
      </x:c>
      <x:c r="E294" s="31" t="str">
        <x:v>[]</x:v>
      </x:c>
      <x:c r="F294" s="37" t="str">
        <x:v>ใช ้เพื่อรักษาภาวะขาดธาตุสังกะสี</x:v>
      </x:c>
      <x:c r="G294" s="32" t="b">
        <x:v>0</x:v>
      </x:c>
      <x:c r="H294" s="37" t="str">
        <x:v>[{"type":"PIL","url":"https://drug.fda.moph.go.th/media.php?id=730442096309313536&amp;name=pil_Zinc sulfate (TABLET - CAPSULE, HARD).pdf","published_date":"9/11/2023"},{"type":"SMPC","url":"https://drug.fda.moph.go.th/media.php?id=810495775787327488&amp;name=SMPC_Zinc sulfate_hardcapsules.pdf","published_date":"26/11/2024"}]</x:v>
      </x:c>
      <x:c r="I294" s="31" t="str">
        <x:v>Draft</x:v>
      </x:c>
      <x:c r="J294" s="31" t="str">
        <x:v>220 mg</x:v>
      </x:c>
      <x:c r="K294" s="37" t="str">
        <x:v>https://drug.fda.moph.go.th/media.php?id=730442096309313536&amp;name=pil_Zinc sulfate (TABLET - CAPSULE, HARD).pdf</x:v>
      </x:c>
      <x:c r="L294" s="37" t="str">
        <x:v>https://drug.fda.moph.go.th/media.php?id=810495775787327488&amp;name=SMPC_Zinc sulfate_hardcapsules.pdf</x:v>
      </x:c>
      <x:c r="M294" s="31" t="str">
        <x:v>YES</x:v>
      </x:c>
      <x:c r="N294" s="37" t="str">
        <x:v>Clinical review required before Published</x:v>
      </x:c>
    </x:row>
    <x:row r="295">
      <x:c r="A295" s="31" t="str">
        <x:v>zinc_oxide</x:v>
      </x:c>
      <x:c r="B295" s="31" t="str">
        <x:v>Zinc oxide</x:v>
      </x:c>
      <x:c r="C295" s="37" t="str">
        <x:v>ซิงค์-ออก-ไซด์</x:v>
      </x:c>
      <x:c r="D295" s="31" t="str">
        <x:v>รอตรวจสอบ</x:v>
      </x:c>
      <x:c r="E295" s="31" t="str">
        <x:v>[]</x:v>
      </x:c>
      <x:c r="F295" s="37" t="str">
        <x:v>ใช ้บรรเทาการระคายเคืองที่ผิวหนัง แผลผิวตื้น หรือแผล ไฟไหม ้ น ้าร ้ อนลวก</x:v>
      </x:c>
      <x:c r="G295" s="32" t="b">
        <x:v>0</x:v>
      </x:c>
      <x:c r="H295" s="37" t="str">
        <x:v>[{"type":"PIL","url":"https://drug.fda.moph.go.th/media.php?id=730441990902259712&amp;name=pil_Zinc oxide (CREAM).pdf","published_date":"9/11/2023"},{"type":"SMPC","url":"https://drug.fda.moph.go.th/media.php?id=810495384341323776&amp;name=SMPC_Zinc oxide_Ointment.pdf","published_date":"26/11/2024"}]</x:v>
      </x:c>
      <x:c r="I295" s="31" t="str">
        <x:v>Draft</x:v>
      </x:c>
      <x:c r="J295" s="31" t="str">
        <x:v>7.5 w/w</x:v>
      </x:c>
      <x:c r="K295" s="37" t="str">
        <x:v>https://drug.fda.moph.go.th/media.php?id=730441990902259712&amp;name=pil_Zinc oxide (CREAM).pdf</x:v>
      </x:c>
      <x:c r="L295" s="37" t="str">
        <x:v>https://drug.fda.moph.go.th/media.php?id=810495384341323776&amp;name=SMPC_Zinc oxide_Ointment.pdf</x:v>
      </x:c>
      <x:c r="M295" s="31" t="str">
        <x:v>YES</x:v>
      </x:c>
      <x:c r="N295" s="37" t="str">
        <x:v>Clinical review required before Published</x:v>
      </x:c>
    </x:row>
  </x:sheetData>
  <x:pageMargins left="0.7" right="0.7" top="0.75" bottom="0.75" header="0.3" footer="0.3"/>
  <x:tableParts count="1">
    <x:tablePart xmlns:r="http://schemas.openxmlformats.org/officeDocument/2006/relationships" r:id="R50d3bdc6b60b404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29" hidden="0" customWidth="1"/>
    <x:col min="3" max="3" width="31" hidden="0" customWidth="1"/>
    <x:col min="4" max="4" width="20" hidden="0" customWidth="1"/>
    <x:col min="5" max="5" width="19" hidden="0" customWidth="1"/>
    <x:col min="6" max="6" width="52" hidden="0" customWidth="1"/>
    <x:col min="7" max="7" width="11" hidden="0" customWidth="1"/>
    <x:col min="8" max="8" width="62" hidden="0" customWidth="1"/>
    <x:col min="9" max="9" width="12" hidden="0" customWidth="1"/>
    <x:col min="10" max="10" width="55" hidden="0" customWidth="1"/>
  </x:cols>
  <x:sheetData>
    <x:row r="1" ht="30" customHeight="1">
      <x:c r="A1" s="36" t="str">
        <x:v>code</x:v>
      </x:c>
      <x:c r="B1" s="36" t="str">
        <x:v>name_en</x:v>
      </x:c>
      <x:c r="C1" s="36" t="str">
        <x:v>name_th</x:v>
      </x:c>
      <x:c r="D1" s="36" t="str">
        <x:v>category</x:v>
      </x:c>
      <x:c r="E1" s="36" t="str">
        <x:v>common_dosages_mg</x:v>
      </x:c>
      <x:c r="F1" s="36" t="str">
        <x:v>description_th</x:v>
      </x:c>
      <x:c r="G1" s="36" t="str">
        <x:v>active</x:v>
      </x:c>
      <x:c r="H1" s="36" t="str">
        <x:v>source_references</x:v>
      </x:c>
      <x:c r="I1" s="36" t="str">
        <x:v>status</x:v>
      </x:c>
      <x:c r="J1" s="36" t="str">
        <x:v>review_notes</x:v>
      </x:c>
    </x:row>
    <x:row r="2">
      <x:c r="A2" s="31" t="str">
        <x:v>acetylcysteine</x:v>
      </x:c>
      <x:c r="B2" s="31" t="str">
        <x:v>Acetylcysteine</x:v>
      </x:c>
      <x:c r="C2" s="38" t="str">
        <x:v>อะ-เซ-ทิล-ซิส-เท-อีน</x:v>
      </x:c>
      <x:c r="D2" s="39" t="str">
        <x:v>รอตรวจสอบ</x:v>
      </x:c>
      <x:c r="E2" s="39" t="str">
        <x:v>[]</x:v>
      </x:c>
      <x:c r="F2" s="38" t="str">
        <x:v>ใช้เพื่อละลายเสมหะในทางเดินหายใจ บรรเทาอาการ ไอที่มีเสมหะ</x:v>
      </x:c>
      <x:c r="G2" s="32" t="b">
        <x:v>0</x:v>
      </x:c>
      <x:c r="H2" s="37" t="str">
        <x:v>["https://drug.fda.moph.go.th/media.php?id=805122388374200320&amp;name=Acetylcysteine granules PIL 190325.pdf","https://drug.fda.moph.go.th/media.php?id=805129885323501568&amp;name=acetylcysteine eye drop, solution SmPC.pdf","https://drug.fda.moph.go.th/media.php?id=809595104229728256&amp;name=SMPC_Acetylcysteine_Powder for Oral Solution.pdf","https://drug.fda.moph.go.th/media.php?id=809596981939937280&amp;name=SMPC_Acetylcysteine_Solutions for injections or infusions.pdf"]</x:v>
      </x:c>
      <x:c r="I2" s="31" t="str">
        <x:v>draft</x:v>
      </x:c>
      <x:c r="J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3">
      <x:c r="A3" s="31" t="str">
        <x:v>aciclovir</x:v>
      </x:c>
      <x:c r="B3" s="31" t="str">
        <x:v>Aciclovir</x:v>
      </x:c>
      <x:c r="C3" s="38" t="str">
        <x:v>อะ-ไซ-โคล-เวียร์</x:v>
      </x:c>
      <x:c r="D3" s="39" t="str">
        <x:v>รอตรวจสอบ</x:v>
      </x:c>
      <x:c r="E3" s="39" t="str">
        <x:v>[]</x:v>
      </x:c>
      <x:c r="F3" s="38" t="str">
        <x:v>ใช้รักษาเริม หรืองูสวัด • ใช้ป้องกันการกลับมาเป็ นเริมซ้า • ใช้ป้องกันการติดไวรัสเริมหรืองูสวัด ในผู้ ที่มีภูมิคุ้ มกันต่า</x:v>
      </x:c>
      <x:c r="G3" s="32" t="b">
        <x:v>0</x:v>
      </x:c>
      <x:c r="H3" s="37" t="str">
        <x:v>["https://drug.fda.moph.go.th/media.php?id=805389800621350912&amp;name=46 Aciclovir_compressedtablet_PIL.pdf","https://drug.fda.moph.go.th/media.php?id=805391326362345472&amp;name=47 Aciclovir_cream_PIL.pdf","https://drug.fda.moph.go.th/media.php?id=805393409417289728&amp;name=smpc_Aciclovir (CREAM).pdf"]</x:v>
      </x:c>
      <x:c r="I3" s="31" t="str">
        <x:v>draft</x:v>
      </x:c>
      <x:c r="J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4">
      <x:c r="A4" s="31" t="str">
        <x:v>activated_charcoal</x:v>
      </x:c>
      <x:c r="B4" s="31" t="str">
        <x:v>Activated charcoal</x:v>
      </x:c>
      <x:c r="C4" s="38" t="str">
        <x:v>ยาผงถ่านรักษาอาการท้องเสีย</x:v>
      </x:c>
      <x:c r="D4" s="39" t="str">
        <x:v>รอตรวจสอบ</x:v>
      </x:c>
      <x:c r="E4" s="39" t="str">
        <x:v>[]</x:v>
      </x:c>
      <x:c r="F4" s="38" t="str">
        <x:v>ใช้เพื่อรักษาอาการท้ องเสีย</x:v>
      </x:c>
      <x:c r="G4" s="32" t="b">
        <x:v>0</x:v>
      </x:c>
      <x:c r="H4" s="37" t="str">
        <x:v>["https://drug.fda.moph.go.th/media.php?id=809597713694990336&amp;name=SMPC_Activated charcoal powder.pdf","https://drug.fda.moph.go.th/media.php?id=733927490405408768&amp;name=PIL ผงถ่านรักษาท้องเสีย (15032024).pdf"]</x:v>
      </x:c>
      <x:c r="I4" s="31" t="str">
        <x:v>draft</x:v>
      </x:c>
      <x:c r="J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5">
      <x:c r="A5" s="31" t="str">
        <x:v>albendazole</x:v>
      </x:c>
      <x:c r="B5" s="31" t="str">
        <x:v>Albendazole</x:v>
      </x:c>
      <x:c r="C5" s="38" t="str">
        <x:v>อัล-เบน-ดา-โซล</x:v>
      </x:c>
      <x:c r="D5" s="39" t="str">
        <x:v>รอตรวจสอบ</x:v>
      </x:c>
      <x:c r="E5" s="39" t="str">
        <x:v>[]</x:v>
      </x:c>
      <x:c r="F5" s="38" t="str">
        <x:v>ใช้ก าจัดพยาธิ ได้แก่ พยาธิเส้นด้าย พยาธิเข็มหมุด พยาธิไส้เดือน พยาธิปากขอ พยาธิแส้ม้า พยาธิสตรองจิลอยด์ พยาธิตัวตืด และพยาธิใบไม้ ในตับ</x:v>
      </x:c>
      <x:c r="G5" s="32" t="b">
        <x:v>0</x:v>
      </x:c>
      <x:c r="H5" s="37" t="str">
        <x:v>["https://drug.fda.moph.go.th/media.php?id=808216494428266496&amp;name=Albendazole_filmcotedtablet_PIL.pdf","https://drug.fda.moph.go.th/media.php?id=808225793334452224&amp;name=Albendazole_suspension_PIL.pdf","https://drug.fda.moph.go.th/media.php?id=809599347237986304&amp;name=SMPC_albendazole_tablet.pdf"]</x:v>
      </x:c>
      <x:c r="I5" s="31" t="str">
        <x:v>draft</x:v>
      </x:c>
      <x:c r="J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6">
      <x:c r="A6" s="31" t="str">
        <x:v>albumin</x:v>
      </x:c>
      <x:c r="B6" s="31" t="str">
        <x:v>Albumin</x:v>
      </x:c>
      <x:c r="C6" s="38" t="str">
        <x:v>รอตรวจสอบชื่อภาษาไทย</x:v>
      </x:c>
      <x:c r="D6" s="39" t="str">
        <x:v>รอตรวจสอบ</x:v>
      </x:c>
      <x:c r="E6" s="39" t="str">
        <x:v>[]</x:v>
      </x:c>
      <x:c r="F6" s="38" t="str">
        <x:v>ข้อมูลฉบับร่างจากเอกสารอ้างอิง อย. รอตรวจทานโดยผู้เชี่ยวชาญ</x:v>
      </x:c>
      <x:c r="G6" s="32" t="b">
        <x:v>0</x:v>
      </x:c>
      <x:c r="H6" s="37" t="str">
        <x:v>["https://drug.fda.moph.go.th/media.php?id=809608080450002944&amp;name=SMPC_Albumin_Solution for Infusion.pdf"]</x:v>
      </x:c>
      <x:c r="I6" s="31" t="str">
        <x:v>draft</x:v>
      </x:c>
      <x:c r="J6" s="38" t="str">
        <x:v>Import batch thai_fda_20260718_v1: ต้องตรวจหมวดหมู่; ยังไม่กำหนดขนาดยาที่พบบ่อย; ต้องตรวจชื่อภาษาไทย; ห้ามเผยแพร่ก่อน Clinical review</x:v>
      </x:c>
    </x:row>
    <x:row r="7">
      <x:c r="A7" s="31" t="str">
        <x:v>alteplase</x:v>
      </x:c>
      <x:c r="B7" s="31" t="str">
        <x:v>Alteplase</x:v>
      </x:c>
      <x:c r="C7" s="38" t="str">
        <x:v>รอตรวจสอบชื่อภาษาไทย</x:v>
      </x:c>
      <x:c r="D7" s="39" t="str">
        <x:v>รอตรวจสอบ</x:v>
      </x:c>
      <x:c r="E7" s="39" t="str">
        <x:v>[]</x:v>
      </x:c>
      <x:c r="F7" s="38" t="str">
        <x:v>ข้อมูลฉบับร่างจากเอกสารอ้างอิง อย. รอตรวจทานโดยผู้เชี่ยวชาญ</x:v>
      </x:c>
      <x:c r="G7" s="32" t="b">
        <x:v>0</x:v>
      </x:c>
      <x:c r="H7" s="37" t="str">
        <x:v>["https://drug.fda.moph.go.th/media.php?id=809611851246739456&amp;name=SMPC_Alteplase_Powder and Solvent for Solution for Injection and Infusion.pdf","https://drug.fda.moph.go.th/media.php?id=809649071521406976&amp;name=SMPC_Alteplase_10-20-50_Powder and Solvent for Solution for Injection and Infusion.pdf"]</x:v>
      </x:c>
      <x:c r="I7" s="31" t="str">
        <x:v>draft</x:v>
      </x:c>
      <x:c r="J7" s="38" t="str">
        <x:v>Import batch thai_fda_20260718_v1: ต้องตรวจหมวดหมู่; ยังไม่กำหนดขนาดยาที่พบบ่อย; ต้องตรวจชื่อภาษาไทย; ห้ามเผยแพร่ก่อน Clinical review</x:v>
      </x:c>
    </x:row>
    <x:row r="8">
      <x:c r="A8" s="31" t="str">
        <x:v>aluminium_hydroxide</x:v>
      </x:c>
      <x:c r="B8" s="31" t="str">
        <x:v>Aluminium hydroxide</x:v>
      </x:c>
      <x:c r="C8" s="38" t="str">
        <x:v>อะ-ลู-มิ-เนียม-ไฮ-ดรอก-ไซด์</x:v>
      </x:c>
      <x:c r="D8" s="39" t="str">
        <x:v>รอตรวจสอบ</x:v>
      </x:c>
      <x:c r="E8" s="39" t="str">
        <x:v>[]</x:v>
      </x:c>
      <x:c r="F8" s="38" t="str">
        <x:v>ใช้เพื่อลดกรดและบรรเทาอาการแสบท้ อง ท้ องอืด ที่เกิด จากกรดในกระเพาะอาหารมากเกิน</x:v>
      </x:c>
      <x:c r="G8" s="32" t="b">
        <x:v>0</x:v>
      </x:c>
      <x:c r="H8" s="37" t="str">
        <x:v>["https://drug.fda.moph.go.th/media.php?id=725941518057218048&amp;name=pil_Aluminium hydroxide (TABLET).pdf"]</x:v>
      </x:c>
      <x:c r="I8" s="31" t="str">
        <x:v>draft</x:v>
      </x:c>
      <x:c r="J8"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9">
      <x:c r="A9" s="31" t="str">
        <x:v>aluminium_hydroxide_magnesium_hydroxide</x:v>
      </x:c>
      <x:c r="B9" s="31" t="str">
        <x:v>Aluminium hydroxide + Magnesium hydroxide</x:v>
      </x:c>
      <x:c r="C9" s="38" t="str">
        <x:v>ยาลดกรด อะลูมินา-แมกนีเซีย ชนิดเม็ดและชนิดนํ้าแขวนตะกอน</x:v>
      </x:c>
      <x:c r="D9" s="39" t="str">
        <x:v>รอตรวจสอบ</x:v>
      </x:c>
      <x:c r="E9" s="39" t="str">
        <x:v>[]</x:v>
      </x:c>
      <x:c r="F9" s="38" t="str">
        <x:v>ใช้เพื่อบรรเทาอาการจุกเสียด ท้ องอืด ท้ องเฟ้อ และ ปวดท้อ งเนื่องจากมีกรดมากในกระเพาะอาหารหรือ แผลในกระเพาะอาหารและลําไส้</x:v>
      </x:c>
      <x:c r="G9" s="32" t="b">
        <x:v>0</x:v>
      </x:c>
      <x:c r="H9" s="37" t="str">
        <x:v>["https://drug.fda.moph.go.th/media.php?id=733956273732722688&amp;name=PIL ยาลดกรด Aluminium hydroxide + Magnesium hydroxide(15032024).pdf","https://drug.fda.moph.go.th/media.php?id=809650671178620928&amp;name=SMPC_aluminium hydroxide and magnesium hydroxide_suspension.pdf"]</x:v>
      </x:c>
      <x:c r="I9" s="31" t="str">
        <x:v>draft</x:v>
      </x:c>
      <x:c r="J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0">
      <x:c r="A10" s="31" t="str">
        <x:v>aluminium_hydroxide_magnesium_hydroxide_simethicone</x:v>
      </x:c>
      <x:c r="B10" s="31" t="str">
        <x:v>Aluminium hydroxide + Magnesium hydroxide + Simethicone</x:v>
      </x:c>
      <x:c r="C10" s="38" t="str">
        <x:v>ยาลดกรด อะลูมินา-แมกนีเซีย-ไซเมธิโคน ชนิดเม็ดและชนิดนํ้าแขวนตะกอน</x:v>
      </x:c>
      <x:c r="D10" s="39" t="str">
        <x:v>รอตรวจสอบ</x:v>
      </x:c>
      <x:c r="E10" s="39" t="str">
        <x:v>[]</x:v>
      </x:c>
      <x:c r="F10" s="38" t="str">
        <x:v>ใช้เพื่อบรรเทาอาการจุกเสียด ท้ องอืด ท้ องเฟ้อ และปวดท้อ งเนื่องจากมีกรดมากในกระเพาะ อาหารหรือแผลในกระเพาะอาหารและลําไส้ และช่วยขับลม</x:v>
      </x:c>
      <x:c r="G10" s="32" t="b">
        <x:v>0</x:v>
      </x:c>
      <x:c r="H10" s="37" t="str">
        <x:v>["https://drug.fda.moph.go.th/media.php?id=733956003812483072&amp;name=PIL ยาลดกรด Aluminium hydroxide + Magnesium hydroxide + Simethicone (1503202.pdf"]</x:v>
      </x:c>
      <x:c r="I10" s="31" t="str">
        <x:v>draft</x:v>
      </x:c>
      <x:c r="J10"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1">
      <x:c r="A11" s="31" t="str">
        <x:v>ambroxol</x:v>
      </x:c>
      <x:c r="B11" s="31" t="str">
        <x:v>Ambroxol</x:v>
      </x:c>
      <x:c r="C11" s="38" t="str">
        <x:v>แอม-บร็อก-ซอล</x:v>
      </x:c>
      <x:c r="D11" s="39" t="str">
        <x:v>รอตรวจสอบ</x:v>
      </x:c>
      <x:c r="E11" s="39" t="str">
        <x:v>[]</x:v>
      </x:c>
      <x:c r="F11" s="38" t="str">
        <x:v>ใช้เพื่อละลายเสมหะ บรรเทาอาการไอที่มีเสมหะ</x:v>
      </x:c>
      <x:c r="G11" s="32" t="b">
        <x:v>0</x:v>
      </x:c>
      <x:c r="H11" s="37" t="str">
        <x:v>["https://drug.fda.moph.go.th/media.php?id=808234855765778432&amp;name=Ambroxol_syrup_PIL.pdf","https://drug.fda.moph.go.th/media.php?id=809651334000287744&amp;name=SMPC_Ambroxol_Syrup.pdf"]</x:v>
      </x:c>
      <x:c r="I11" s="31" t="str">
        <x:v>draft</x:v>
      </x:c>
      <x:c r="J11"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2">
      <x:c r="A12" s="31" t="str">
        <x:v>amikacin</x:v>
      </x:c>
      <x:c r="B12" s="31" t="str">
        <x:v>amikacin sulfate</x:v>
      </x:c>
      <x:c r="C12" s="38" t="str">
        <x:v>อะมิคาซิน</x:v>
      </x:c>
      <x:c r="D12" s="39" t="str">
        <x:v>รอตรวจสอบ</x:v>
      </x:c>
      <x:c r="E12" s="39" t="str">
        <x:v>[]</x:v>
      </x:c>
      <x:c r="F12" s="38" t="str">
        <x:v>ใช้รักษาโรคติดเชื้อแบคทีเรียที่ไวต่อยานี้</x:v>
      </x:c>
      <x:c r="G12" s="32" t="b">
        <x:v>0</x:v>
      </x:c>
      <x:c r="H12" s="37" t="str">
        <x:v>["https://drug.fda.moph.go.th/media.php?id=862918393123184640&amp;name=24.amikacin sulfate_sterile solution_PIL_final.pdf"]</x:v>
      </x:c>
      <x:c r="I12" s="31" t="str">
        <x:v>draft</x:v>
      </x:c>
      <x:c r="J1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3">
      <x:c r="A13" s="31" t="str">
        <x:v>amino_acid</x:v>
      </x:c>
      <x:c r="B13" s="31" t="str">
        <x:v>Amino acid</x:v>
      </x:c>
      <x:c r="C13" s="38" t="str">
        <x:v>สารละลายกรดอะมิโน</x:v>
      </x:c>
      <x:c r="D13" s="39" t="str">
        <x:v>รอตรวจสอบ</x:v>
      </x:c>
      <x:c r="E13" s="39" t="str">
        <x:v>[]</x:v>
      </x:c>
      <x:c r="F13" s="38" t="str">
        <x:v>● ยานี้ใช้เพื่อให้กรดอะมิโนในทารกและเด็ก</x:v>
      </x:c>
      <x:c r="G13" s="32" t="b">
        <x:v>0</x:v>
      </x:c>
      <x:c r="H13" s="37" t="str">
        <x:v>["https://drug.fda.moph.go.th/media.php?id=904601731533512704&amp;name=1. Ref PIL_Amino acid.pdf","https://drug.fda.moph.go.th/media.php?id=904601730573017088&amp;name=1. Ref SmPC_Amino acid.pdf"]</x:v>
      </x:c>
      <x:c r="I13" s="31" t="str">
        <x:v>draft</x:v>
      </x:c>
      <x:c r="J1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4">
      <x:c r="A14" s="31" t="str">
        <x:v>aminophylline</x:v>
      </x:c>
      <x:c r="B14" s="31" t="str">
        <x:v>aminophylline</x:v>
      </x:c>
      <x:c r="C14" s="38" t="str">
        <x:v>อะ-มิ-โน-ฟิล-ลีน</x:v>
      </x:c>
      <x:c r="D14" s="39" t="str">
        <x:v>รอตรวจสอบ</x:v>
      </x:c>
      <x:c r="E14" s="39" t="str">
        <x:v>[]</x:v>
      </x:c>
      <x:c r="F14" s="38" t="str">
        <x:v>ใช้รักษาโรคหอบหืด • ใช้รักษาโรคถุงลมโป่ งพอง</x:v>
      </x:c>
      <x:c r="G14" s="32" t="b">
        <x:v>0</x:v>
      </x:c>
      <x:c r="H14" s="37" t="str">
        <x:v>["https://drug.fda.moph.go.th/media.php?id=862918394586996736&amp;name=27. Aminophylline_tablet_PIL_Final.pdf"]</x:v>
      </x:c>
      <x:c r="I14" s="31" t="str">
        <x:v>draft</x:v>
      </x:c>
      <x:c r="J1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5">
      <x:c r="A15" s="31" t="str">
        <x:v>amitriptyline</x:v>
      </x:c>
      <x:c r="B15" s="31" t="str">
        <x:v>Amitriptyline hydrochloride</x:v>
      </x:c>
      <x:c r="C15" s="38" t="str">
        <x:v>อะ-มิ-ทริป-ไท-ลีน-ไฮ-โดร-คลอ-ไรด์</x:v>
      </x:c>
      <x:c r="D15" s="39" t="str">
        <x:v>รอตรวจสอบ</x:v>
      </x:c>
      <x:c r="E15" s="39" t="str">
        <x:v>[]</x:v>
      </x:c>
      <x:c r="F15" s="38" t="str">
        <x:v>● ใช้รักษาโรคซึมเศร้า ● ใช้ป้องกันการเกิดไมเกรน อาการปวดหัวเรื้อรัง ● ใช้รักษาโรคปวดปลายประสาท ● ใช้รักษาอาการปัสสาวะรดที่นอน ในเด็กอายุ 6 ปีขึ้นไป</x:v>
      </x:c>
      <x:c r="G15" s="32" t="b">
        <x:v>0</x:v>
      </x:c>
      <x:c r="H15" s="37" t="str">
        <x:v>["https://drug.fda.moph.go.th/media.php?id=809652580375470080&amp;name=SMPC_Amitriptyline_Tablets.pdf","https://drug.fda.moph.go.th/media.php?id=862918386114502656&amp;name=40.Amitriptyline_tablet_PIL.pdf"]</x:v>
      </x:c>
      <x:c r="I15" s="31" t="str">
        <x:v>draft</x:v>
      </x:c>
      <x:c r="J1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6">
      <x:c r="A16" s="31" t="str">
        <x:v>amoxicillin</x:v>
      </x:c>
      <x:c r="B16" s="31" t="str">
        <x:v>Amoxicillin</x:v>
      </x:c>
      <x:c r="C16" s="38" t="str">
        <x:v>อะ-ม็อก-ซิ-ซิล-ลิน</x:v>
      </x:c>
      <x:c r="D16" s="39" t="str">
        <x:v>รอตรวจสอบ</x:v>
      </x:c>
      <x:c r="E16" s="39" t="str">
        <x:v>[]</x:v>
      </x:c>
      <x:c r="F16" s="38" t="str">
        <x:v>ใช้เพื่อรักษาการติดเชื้อแบคทีเรีย ที่ได้ รับการวินิจฉัยว่า ต้องใช้ยานี้</x:v>
      </x:c>
      <x:c r="G16" s="32" t="b">
        <x:v>0</x:v>
      </x:c>
      <x:c r="H16" s="37" t="str">
        <x:v>["https://drug.fda.moph.go.th/media.php?id=725942083768164352&amp;name=pil_Amoxicillin (CAPSULE, HARD).pdf","https://drug.fda.moph.go.th/media.php?id=725942176474865664&amp;name=pil_Amoxicillin (DRY SYRUP).pdf","https://drug.fda.moph.go.th/media.php?id=809653143766966272&amp;name=SMPC_Amoxicillin_Dry syrup.pdf","https://drug.fda.moph.go.th/media.php?id=809653635419086848&amp;name=SMPC_Amoxicillin_Film-coated tablet.pdf"]</x:v>
      </x:c>
      <x:c r="I16" s="31" t="str">
        <x:v>draft</x:v>
      </x:c>
      <x:c r="J16"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7">
      <x:c r="A17" s="31" t="str">
        <x:v>amoxicillin_trihydrate_potassium_clavulanate</x:v>
      </x:c>
      <x:c r="B17" s="31" t="str">
        <x:v>amoxicillin trihydrate+potassium clavulanate</x:v>
      </x:c>
      <x:c r="C17" s="38" t="str">
        <x:v>อะม็อกซิซิลลิน ผสม กรดคลาวูลานิค</x:v>
      </x:c>
      <x:c r="D17" s="39" t="str">
        <x:v>รอตรวจสอบ</x:v>
      </x:c>
      <x:c r="E17" s="39" t="str">
        <x:v>[]</x:v>
      </x:c>
      <x:c r="F17" s="38" t="str">
        <x:v>ใช้รักษาการติดเชื้อแบคทีเรียข</x:v>
      </x:c>
      <x:c r="G17" s="32" t="b">
        <x:v>0</x:v>
      </x:c>
      <x:c r="H17" s="37" t="str">
        <x:v>["https://drug.fda.moph.go.th/media.php?id=862918390451412992&amp;name=20. amoxicillin+clavulanate_tablets_PIL_final.pdf"]</x:v>
      </x:c>
      <x:c r="I17" s="31" t="str">
        <x:v>draft</x:v>
      </x:c>
      <x:c r="J1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8">
      <x:c r="A18" s="31" t="str">
        <x:v>ampicillin</x:v>
      </x:c>
      <x:c r="B18" s="31" t="str">
        <x:v>Ampicillin</x:v>
      </x:c>
      <x:c r="C18" s="38" t="str">
        <x:v>แอม-พิ-ซิล-ลิน</x:v>
      </x:c>
      <x:c r="D18" s="39" t="str">
        <x:v>รอตรวจสอบ</x:v>
      </x:c>
      <x:c r="E18" s="39" t="str">
        <x:v>[]</x:v>
      </x:c>
      <x:c r="F18" s="38" t="str">
        <x:v>● ใช้รักษาการติดเชื้อแบคทีเรียที่ไวต่อยานี้</x:v>
      </x:c>
      <x:c r="G18" s="32" t="b">
        <x:v>0</x:v>
      </x:c>
      <x:c r="H18" s="37" t="str">
        <x:v>["https://drug.fda.moph.go.th/media.php?id=808235943126507520&amp;name=Ampicillin_capsulehardFilmcoatedtablet_PIL.pdf"]</x:v>
      </x:c>
      <x:c r="I18" s="31" t="str">
        <x:v>draft</x:v>
      </x:c>
      <x:c r="J18"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9">
      <x:c r="A19" s="31" t="str">
        <x:v>amyl_metacresol_2_4_dichloro_benzyl_alcohol_ascorbic_acid</x:v>
      </x:c>
      <x:c r="B19" s="31" t="str">
        <x:v>ยาอมบรรเทาอาการเจ็บคอ ชนิดเม็ด สูตร Amyl metacresol และ 2,4 dichloro benzyl alcohol และอาจมีวิตามินซี (ascorbic acid)</x:v>
      </x:c>
      <x:c r="C19" s="38" t="str">
        <x:v>ยาอม บรรเทาอาการเจ็บคอ ชนิดเม็ด</x:v>
      </x:c>
      <x:c r="D19" s="39" t="str">
        <x:v>รอตรวจสอบ</x:v>
      </x:c>
      <x:c r="E19" s="39" t="str">
        <x:v>[]</x:v>
      </x:c>
      <x:c r="F19" s="38" t="str">
        <x:v>ใช้เพื่อบรรเทาอาการเจ็บคอ</x:v>
      </x:c>
      <x:c r="G19" s="32" t="b">
        <x:v>0</x:v>
      </x:c>
      <x:c r="H19" s="37" t="str">
        <x:v>["https://drug.fda.moph.go.th/media.php?id=733928774151839744&amp;name=PIL ยาอมบรรเทาอาการเจ็บคอ_(150320204).pdf"]</x:v>
      </x:c>
      <x:c r="I19" s="31" t="str">
        <x:v>draft</x:v>
      </x:c>
      <x:c r="J1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0">
      <x:c r="A20" s="31" t="str">
        <x:v>asafoetida_tincture</x:v>
      </x:c>
      <x:c r="B20" s="31" t="str">
        <x:v>Asafoetida tincture</x:v>
      </x:c>
      <x:c r="C20" s="38" t="str">
        <x:v>ยาทาแก้ท้องอืด ท้องเฟ้ อ ทิงเจอร์มหาหิงคุ์ ชนิดนํ้า</x:v>
      </x:c>
      <x:c r="D20" s="39" t="str">
        <x:v>รอตรวจสอบ</x:v>
      </x:c>
      <x:c r="E20" s="39" t="str">
        <x:v>[]</x:v>
      </x:c>
      <x:c r="F20" s="38" t="str">
        <x:v>ใช้เพื่อบรรเทาอาการท้อ งอืด ท้ องเฟ้อ ปวดท้ องในเด็ก</x:v>
      </x:c>
      <x:c r="G20" s="32" t="b">
        <x:v>0</x:v>
      </x:c>
      <x:c r="H20" s="37" t="str">
        <x:v>["https://drug.fda.moph.go.th/media.php?id=733928051582312448&amp;name=PIL asafetida tincture_ทิงเจอร์มหาหิงคุ์ (15032024).pdf"]</x:v>
      </x:c>
      <x:c r="I20" s="31" t="str">
        <x:v>draft</x:v>
      </x:c>
      <x:c r="J20"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1">
      <x:c r="A21" s="31" t="str">
        <x:v>ascorbic_acid</x:v>
      </x:c>
      <x:c r="B21" s="31" t="str">
        <x:v>Ascorbic acid</x:v>
      </x:c>
      <x:c r="C21" s="38" t="str">
        <x:v>รอตรวจสอบชื่อภาษาไทย</x:v>
      </x:c>
      <x:c r="D21" s="39" t="str">
        <x:v>รอตรวจสอบ</x:v>
      </x:c>
      <x:c r="E21" s="39" t="str">
        <x:v>[]</x:v>
      </x:c>
      <x:c r="F21" s="38" t="str">
        <x:v>ข้อมูลฉบับร่างจากเอกสารอ้างอิง อย. รอตรวจทานโดยผู้เชี่ยวชาญ</x:v>
      </x:c>
      <x:c r="G21" s="32" t="b">
        <x:v>0</x:v>
      </x:c>
      <x:c r="H21" s="37" t="str">
        <x:v>["https://drug.fda.moph.go.th/media.php?id=809654213054439424&amp;name=SMPC_Ascorbic acid_solution for injection.pdf","https://drug.fda.moph.go.th/media.php?id=809654735215927296&amp;name=SMPC_Ascorbic acid_Tablet.pdf"]</x:v>
      </x:c>
      <x:c r="I21" s="31" t="str">
        <x:v>draft</x:v>
      </x:c>
      <x:c r="J21" s="38" t="str">
        <x:v>Import batch thai_fda_20260718_v1: ต้องตรวจหมวดหมู่; ยังไม่กำหนดขนาดยาที่พบบ่อย; ต้องตรวจชื่อภาษาไทย; ห้ามเผยแพร่ก่อน Clinical review</x:v>
      </x:c>
    </x:row>
    <x:row r="22">
      <x:c r="A22" s="31" t="str">
        <x:v>atenolol</x:v>
      </x:c>
      <x:c r="B22" s="31" t="str">
        <x:v>Atenolol</x:v>
      </x:c>
      <x:c r="C22" s="38" t="str">
        <x:v>อะทีโนลอล</x:v>
      </x:c>
      <x:c r="D22" s="39" t="str">
        <x:v>รอตรวจสอบ</x:v>
      </x:c>
      <x:c r="E22" s="39" t="str">
        <x:v>[]</x:v>
      </x:c>
      <x:c r="F22" s="38" t="str">
        <x:v>รักษาภาวะความดันโลหิตสูง • รักษาอาการเจ็บเค้ นหน้ าอก • รักษาภาวะหัวใจเต้ นผิดปกติ • ป้องกันความผิดปกติของหัวใจหลังภาวะหัวใจวาย</x:v>
      </x:c>
      <x:c r="G22" s="32" t="b">
        <x:v>0</x:v>
      </x:c>
      <x:c r="H22" s="37" t="str">
        <x:v>["https://drug.fda.moph.go.th/media.php?id=725640787408330752&amp;name=pil_Atenolol (tablet 50 mg, 100 mg).pdf"]</x:v>
      </x:c>
      <x:c r="I22" s="31" t="str">
        <x:v>draft</x:v>
      </x:c>
      <x:c r="J2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3">
      <x:c r="A23" s="31" t="str">
        <x:v>atropine</x:v>
      </x:c>
      <x:c r="B23" s="31" t="str">
        <x:v>Atropine</x:v>
      </x:c>
      <x:c r="C23" s="38" t="str">
        <x:v>รอตรวจสอบชื่อภาษาไทย</x:v>
      </x:c>
      <x:c r="D23" s="39" t="str">
        <x:v>รอตรวจสอบ</x:v>
      </x:c>
      <x:c r="E23" s="39" t="str">
        <x:v>[]</x:v>
      </x:c>
      <x:c r="F23" s="38" t="str">
        <x:v>ข้อมูลฉบับร่างจากเอกสารอ้างอิง อย. รอตรวจทานโดยผู้เชี่ยวชาญ</x:v>
      </x:c>
      <x:c r="G23" s="32" t="b">
        <x:v>0</x:v>
      </x:c>
      <x:c r="H23" s="37" t="str">
        <x:v>["https://drug.fda.moph.go.th/media.php?id=809657437689880576&amp;name=SMPC_Atropine_Tablets.pdf"]</x:v>
      </x:c>
      <x:c r="I23" s="31" t="str">
        <x:v>draft</x:v>
      </x:c>
      <x:c r="J23" s="38" t="str">
        <x:v>Import batch thai_fda_20260718_v1: ต้องตรวจหมวดหมู่; ยังไม่กำหนดขนาดยาที่พบบ่อย; ต้องตรวจชื่อภาษาไทย; ห้ามเผยแพร่ก่อน Clinical review</x:v>
      </x:c>
    </x:row>
    <x:row r="24">
      <x:c r="A24" s="31" t="str">
        <x:v>benzoic_acid_salicylic_acid</x:v>
      </x:c>
      <x:c r="B24" s="31" t="str">
        <x:v>Benzoic acid + Salicylic acid</x:v>
      </x:c>
      <x:c r="C24" s="38" t="str">
        <x:v>รอตรวจสอบชื่อภาษาไทย</x:v>
      </x:c>
      <x:c r="D24" s="39" t="str">
        <x:v>รอตรวจสอบ</x:v>
      </x:c>
      <x:c r="E24" s="39" t="str">
        <x:v>[]</x:v>
      </x:c>
      <x:c r="F24" s="38" t="str">
        <x:v>ยานี้ใช้เพื่อรักษากลากเกลื้อน และโรคนํ้ากัดเท้ า</x:v>
      </x:c>
      <x:c r="G24" s="32" t="b">
        <x:v>0</x:v>
      </x:c>
      <x:c r="H24" s="37" t="str">
        <x:v>["https://drug.fda.moph.go.th/media.php?id=733955509325012992&amp;name=PIL ยารักษากลากเกลื้อนน้ำกัดเท้า Benzoic acid + Salicylic acid ชนิดขี้ผึ้ง.pdf"]</x:v>
      </x:c>
      <x:c r="I24" s="31" t="str">
        <x:v>draft</x:v>
      </x:c>
      <x:c r="J24"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25">
      <x:c r="A25" s="31" t="str">
        <x:v>benzoyl_peroxide</x:v>
      </x:c>
      <x:c r="B25" s="31" t="str">
        <x:v>Benzoyl peroxide</x:v>
      </x:c>
      <x:c r="C25" s="38" t="str">
        <x:v>รอตรวจสอบชื่อภาษาไทย</x:v>
      </x:c>
      <x:c r="D25" s="39" t="str">
        <x:v>รอตรวจสอบ</x:v>
      </x:c>
      <x:c r="E25" s="39" t="str">
        <x:v>[]</x:v>
      </x:c>
      <x:c r="F25" s="38" t="str">
        <x:v>ข้อมูลฉบับร่างจากเอกสารอ้างอิง อย. รอตรวจทานโดยผู้เชี่ยวชาญ</x:v>
      </x:c>
      <x:c r="G25" s="32" t="b">
        <x:v>0</x:v>
      </x:c>
      <x:c r="H25" s="37" t="str">
        <x:v>["https://drug.fda.moph.go.th/media.php?id=809657948493193216&amp;name=SMPC_Benzoyl peroxide_cream.pdf"]</x:v>
      </x:c>
      <x:c r="I25" s="31" t="str">
        <x:v>draft</x:v>
      </x:c>
      <x:c r="J25" s="38" t="str">
        <x:v>Import batch thai_fda_20260718_v1: ต้องตรวจหมวดหมู่; ยังไม่กำหนดขนาดยาที่พบบ่อย; ต้องตรวจชื่อภาษาไทย; ห้ามเผยแพร่ก่อน Clinical review</x:v>
      </x:c>
    </x:row>
    <x:row r="26">
      <x:c r="A26" s="31" t="str">
        <x:v>benzyl_benzoate</x:v>
      </x:c>
      <x:c r="B26" s="31" t="str">
        <x:v>Benzyl benzoate</x:v>
      </x:c>
      <x:c r="C26" s="38" t="str">
        <x:v>เบนซิลเบนโซเอต</x:v>
      </x:c>
      <x:c r="D26" s="39" t="str">
        <x:v>รอตรวจสอบ</x:v>
      </x:c>
      <x:c r="E26" s="39" t="str">
        <x:v>[]</x:v>
      </x:c>
      <x:c r="F26" s="38" t="str">
        <x:v>ยานี้ใช้เพื่อรักษา หิด เหา และโลน</x:v>
      </x:c>
      <x:c r="G26" s="32" t="b">
        <x:v>0</x:v>
      </x:c>
      <x:c r="H26" s="37" t="str">
        <x:v>["https://drug.fda.moph.go.th/media.php?id=733955238301671424&amp;name=PIL ยารักษาหิดเหา Benzyl benzoate (15032024).pdf"]</x:v>
      </x:c>
      <x:c r="I26" s="31" t="str">
        <x:v>draft</x:v>
      </x:c>
      <x:c r="J26"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7">
      <x:c r="A27" s="31" t="str">
        <x:v>benzylpenicillin_penicillin_g</x:v>
      </x:c>
      <x:c r="B27" s="31" t="str">
        <x:v>Benzylpenicillin (Penicillin G)</x:v>
      </x:c>
      <x:c r="C27" s="38" t="str">
        <x:v>รอตรวจสอบชื่อภาษาไทย</x:v>
      </x:c>
      <x:c r="D27" s="39" t="str">
        <x:v>รอตรวจสอบ</x:v>
      </x:c>
      <x:c r="E27" s="39" t="str">
        <x:v>[]</x:v>
      </x:c>
      <x:c r="F27" s="38" t="str">
        <x:v>ข้อมูลฉบับร่างจากเอกสารอ้างอิง อย. รอตรวจทานโดยผู้เชี่ยวชาญ</x:v>
      </x:c>
      <x:c r="G27" s="32" t="b">
        <x:v>0</x:v>
      </x:c>
      <x:c r="H27" s="37" t="str">
        <x:v>["https://drug.fda.moph.go.th/media.php?id=809658888994562048&amp;name=SMPC_Benzylpenicillin Sodium_Powders for solutions for injections or infusions.pdf"]</x:v>
      </x:c>
      <x:c r="I27" s="31" t="str">
        <x:v>draft</x:v>
      </x:c>
      <x:c r="J27" s="38" t="str">
        <x:v>Import batch thai_fda_20260718_v1: ต้องตรวจหมวดหมู่; ยังไม่กำหนดขนาดยาที่พบบ่อย; ต้องตรวจชื่อภาษาไทย; ห้ามเผยแพร่ก่อน Clinical review</x:v>
      </x:c>
    </x:row>
    <x:row r="28">
      <x:c r="A28" s="31" t="str">
        <x:v>betahistine</x:v>
      </x:c>
      <x:c r="B28" s="31" t="str">
        <x:v>Betahistine</x:v>
      </x:c>
      <x:c r="C28" s="38" t="str">
        <x:v>เบ-ตา-ฮิส-ทีน-ได-ไฮ-โดร-คลอ-ไรด์</x:v>
      </x:c>
      <x:c r="D28" s="39" t="str">
        <x:v>รอตรวจสอบ</x:v>
      </x:c>
      <x:c r="E28" s="39" t="str">
        <x:v>[]</x:v>
      </x:c>
      <x:c r="F28" s="38" t="str">
        <x:v>● ใช้รักษากลุ่มอาการมีเนียร์ (Ménière’s) ซึ่งท าให้เกิดอาการเวียนหัวบ้านหมุน การได้ยินลดลง หรือได้ยินเสียงวิ้งในหู</x:v>
      </x:c>
      <x:c r="G28" s="32" t="b">
        <x:v>0</x:v>
      </x:c>
      <x:c r="H28" s="37" t="str">
        <x:v>["https://drug.fda.moph.go.th/media.php?id=808238767218499584&amp;name=Betahistine_tablet, film coated tablet_PIL.pdf"]</x:v>
      </x:c>
      <x:c r="I28" s="31" t="str">
        <x:v>draft</x:v>
      </x:c>
      <x:c r="J28"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9">
      <x:c r="A29" s="31" t="str">
        <x:v>bethamethasone_dipropionate</x:v>
      </x:c>
      <x:c r="B29" s="31" t="str">
        <x:v>Bethamethasone dipropionate</x:v>
      </x:c>
      <x:c r="C29" s="38" t="str">
        <x:v>รอตรวจสอบชื่อภาษาไทย</x:v>
      </x:c>
      <x:c r="D29" s="39" t="str">
        <x:v>รอตรวจสอบ</x:v>
      </x:c>
      <x:c r="E29" s="39" t="str">
        <x:v>[]</x:v>
      </x:c>
      <x:c r="F29" s="38" t="str">
        <x:v>ข้อมูลฉบับร่างจากเอกสารอ้างอิง อย. รอตรวจทานโดยผู้เชี่ยวชาญ</x:v>
      </x:c>
      <x:c r="G29" s="32" t="b">
        <x:v>0</x:v>
      </x:c>
      <x:c r="H29" s="37" t="str">
        <x:v>["https://drug.fda.moph.go.th/media.php?id=809659445213798400&amp;name=SMPC_Bethamethasone dipropionate_cream.pdf"]</x:v>
      </x:c>
      <x:c r="I29" s="31" t="str">
        <x:v>draft</x:v>
      </x:c>
      <x:c r="J29" s="38" t="str">
        <x:v>Import batch thai_fda_20260718_v1: ต้องตรวจหมวดหมู่; ยังไม่กำหนดขนาดยาที่พบบ่อย; ต้องตรวจชื่อภาษาไทย; ห้ามเผยแพร่ก่อน Clinical review</x:v>
      </x:c>
    </x:row>
    <x:row r="30">
      <x:c r="A30" s="31" t="str">
        <x:v>bisacodyl</x:v>
      </x:c>
      <x:c r="B30" s="31" t="str">
        <x:v>Bisacodyl</x:v>
      </x:c>
      <x:c r="C30" s="38" t="str">
        <x:v>รอตรวจสอบชื่อภาษาไทย</x:v>
      </x:c>
      <x:c r="D30" s="39" t="str">
        <x:v>รอตรวจสอบ</x:v>
      </x:c>
      <x:c r="E30" s="39" t="str">
        <x:v>[]</x:v>
      </x:c>
      <x:c r="F30" s="38" t="str">
        <x:v>ข้อมูลฉบับร่างจากเอกสารอ้างอิง อย. รอตรวจทานโดยผู้เชี่ยวชาญ</x:v>
      </x:c>
      <x:c r="G30" s="32" t="b">
        <x:v>0</x:v>
      </x:c>
      <x:c r="H30" s="37" t="str">
        <x:v>["https://drug.fda.moph.go.th/media.php?id=809660019980247040&amp;name=SMPC_Bisacodyl_Gastro-resistant tablets.pdf"]</x:v>
      </x:c>
      <x:c r="I30" s="31" t="str">
        <x:v>draft</x:v>
      </x:c>
      <x:c r="J30" s="38" t="str">
        <x:v>Import batch thai_fda_20260718_v1: ต้องตรวจหมวดหมู่; ยังไม่กำหนดขนาดยาที่พบบ่อย; ต้องตรวจชื่อภาษาไทย; ห้ามเผยแพร่ก่อน Clinical review</x:v>
      </x:c>
    </x:row>
    <x:row r="31">
      <x:c r="A31" s="31" t="str">
        <x:v>bisoprolol</x:v>
      </x:c>
      <x:c r="B31" s="31" t="str">
        <x:v>Bisoprolol fumarate</x:v>
      </x:c>
      <x:c r="C31" s="38" t="str">
        <x:v>ไบโซโพรลอลฟูมาเรต</x:v>
      </x:c>
      <x:c r="D31" s="39" t="str">
        <x:v>รอตรวจสอบ</x:v>
      </x:c>
      <x:c r="E31" s="39" t="str">
        <x:v>[]</x:v>
      </x:c>
      <x:c r="F31" s="38" t="str">
        <x:v>● ใช้รักษาโรคความดันโลหิตสูง และอาการเจ็บหน้ าอกเรื้อรัง ● ใช้ร่วมกับยาอื่นเพื่อรักษาภาวะหัวใจล้มเหลวเรื้อรัง</x:v>
      </x:c>
      <x:c r="G31" s="32" t="b">
        <x:v>0</x:v>
      </x:c>
      <x:c r="H31" s="37" t="str">
        <x:v>["https://drug.fda.moph.go.th/media.php?id=904601733051850752&amp;name=6. Ref PIL_Bisoprolol.pdf","https://drug.fda.moph.go.th/media.php?id=904966131876503552&amp;name=6. Ref SmPC_Bisoprolol.pdf"]</x:v>
      </x:c>
      <x:c r="I31" s="31" t="str">
        <x:v>draft</x:v>
      </x:c>
      <x:c r="J31"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32">
      <x:c r="A32" s="31" t="str">
        <x:v>bromhexine</x:v>
      </x:c>
      <x:c r="B32" s="31" t="str">
        <x:v>Bromhexine</x:v>
      </x:c>
      <x:c r="C32" s="38" t="str">
        <x:v>บรอม-เฮ็ก-ซีน</x:v>
      </x:c>
      <x:c r="D32" s="39" t="str">
        <x:v>รอตรวจสอบ</x:v>
      </x:c>
      <x:c r="E32" s="39" t="str">
        <x:v>[]</x:v>
      </x:c>
      <x:c r="F32" s="38" t="str">
        <x:v>ใช้เพื่อละลายเสมหะ บรรเทาอาการไอที่มีเสมหะ</x:v>
      </x:c>
      <x:c r="G32" s="32" t="b">
        <x:v>0</x:v>
      </x:c>
      <x:c r="H32" s="37" t="str">
        <x:v>["https://drug.fda.moph.go.th/media.php?id=808239034420830208&amp;name=Bromhexine_compressedTablet_PIL.pdf","https://drug.fda.moph.go.th/media.php?id=808239256064630784&amp;name=Bromhexine_Syrup_PIL.pdf","https://drug.fda.moph.go.th/media.php?id=809661846922600448&amp;name=SMPC_Bromhexine_Tablets.pdf"]</x:v>
      </x:c>
      <x:c r="I32" s="31" t="str">
        <x:v>draft</x:v>
      </x:c>
      <x:c r="J3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33">
      <x:c r="A33" s="31" t="str">
        <x:v>bromocriptine</x:v>
      </x:c>
      <x:c r="B33" s="31" t="str">
        <x:v>bromocriptine</x:v>
      </x:c>
      <x:c r="C33" s="38" t="str">
        <x:v>โบร-โม-คริป-ทีน-เม-ซิ-เลต</x:v>
      </x:c>
      <x:c r="D33" s="39" t="str">
        <x:v>รอตรวจสอบ</x:v>
      </x:c>
      <x:c r="E33" s="39" t="str">
        <x:v>[]</x:v>
      </x:c>
      <x:c r="F33" s="38" t="str">
        <x:v>ใช้รักษาโรคพาร์กินสัน • ใช้รักษาอาการน้านมไหลไม่หยุดซึ่งแพทย์พิจารณา แล้ วว่าจ าเป็นต้องใช้ยานี้ • ใช้รักษาอาการที่เกิดจากความผิดปกติของระดับ โปรแลคตินในเลือด เช่น ประจ าเดือนมาผิดปกติ มีบุตรยาก • ใช้รักษาโรคเนื้องอกต่อมใต้ สมองชนิดที่สร้ างฮอร์โมน โปรแลคติน • ใช้รักษาภาวะโตเกินไม่สมส่วน (อะโครเมกาลี)</x:v>
      </x:c>
      <x:c r="G33" s="32" t="b">
        <x:v>0</x:v>
      </x:c>
      <x:c r="H33" s="37" t="str">
        <x:v>["https://drug.fda.moph.go.th/media.php?id=862918386806562816&amp;name=41.Bromocriptine_tablet_PIL.pdf"]</x:v>
      </x:c>
      <x:c r="I33" s="31" t="str">
        <x:v>draft</x:v>
      </x:c>
      <x:c r="J3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34">
      <x:c r="A34" s="31" t="str">
        <x:v>calamine_zinc_oxide</x:v>
      </x:c>
      <x:c r="B34" s="31" t="str">
        <x:v>Calamine + Zinc oxide</x:v>
      </x:c>
      <x:c r="C34" s="38" t="str">
        <x:v>รอตรวจสอบชื่อภาษาไทย</x:v>
      </x:c>
      <x:c r="D34" s="39" t="str">
        <x:v>รอตรวจสอบ</x:v>
      </x:c>
      <x:c r="E34" s="39" t="str">
        <x:v>[]</x:v>
      </x:c>
      <x:c r="F34" s="38" t="str">
        <x:v>ยานี้ใช้เพื่อบรรเทาอาการผดผื่นคัน ระคายเคืองผิวหนัง ที่อาการไม่รุนแรง</x:v>
      </x:c>
      <x:c r="G34" s="32" t="b">
        <x:v>0</x:v>
      </x:c>
      <x:c r="H34" s="37" t="str">
        <x:v>["https://drug.fda.moph.go.th/media.php?id=733954896075825152&amp;name=PIL_ยาทาแก้ผื่นคัน Calamine + Zinc oxide (15032024).pdf","https://drug.fda.moph.go.th/media.php?id=809662321185136640&amp;name=SMPC_Calamine + Zinc oxide_lotion.pdf"]</x:v>
      </x:c>
      <x:c r="I34" s="31" t="str">
        <x:v>draft</x:v>
      </x:c>
      <x:c r="J34"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35">
      <x:c r="A35" s="31" t="str">
        <x:v>calcium</x:v>
      </x:c>
      <x:c r="B35" s="31" t="str">
        <x:v>Calcium carbonate</x:v>
      </x:c>
      <x:c r="C35" s="38" t="str">
        <x:v>รอตรวจสอบชื่อภาษาไทย</x:v>
      </x:c>
      <x:c r="D35" s="39" t="str">
        <x:v>รอตรวจสอบ</x:v>
      </x:c>
      <x:c r="E35" s="39" t="str">
        <x:v>[]</x:v>
      </x:c>
      <x:c r="F35" s="38" t="str">
        <x:v>ข้อมูลฉบับร่างจากเอกสารอ้างอิง อย. รอตรวจทานโดยผู้เชี่ยวชาญ</x:v>
      </x:c>
      <x:c r="G35" s="32" t="b">
        <x:v>0</x:v>
      </x:c>
      <x:c r="H35" s="37" t="str">
        <x:v>["https://drug.fda.moph.go.th/media.php?id=809662943624044544&amp;name=SMPC_Calcium carbonate_chewable tablets.pdf"]</x:v>
      </x:c>
      <x:c r="I35" s="31" t="str">
        <x:v>draft</x:v>
      </x:c>
      <x:c r="J35" s="38" t="str">
        <x:v>Import batch thai_fda_20260718_v1: ต้องตรวจหมวดหมู่; ยังไม่กำหนดขนาดยาที่พบบ่อย; ต้องตรวจชื่อภาษาไทย; ห้ามเผยแพร่ก่อน Clinical review</x:v>
      </x:c>
    </x:row>
    <x:row r="36">
      <x:c r="A36" s="31" t="str">
        <x:v>calcium_acetate_magnesium</x:v>
      </x:c>
      <x:c r="B36" s="31" t="str">
        <x:v>Calcium acetate + Magnesium carbonate</x:v>
      </x:c>
      <x:c r="C36" s="38" t="str">
        <x:v>รอตรวจสอบชื่อภาษาไทย</x:v>
      </x:c>
      <x:c r="D36" s="39" t="str">
        <x:v>รอตรวจสอบ</x:v>
      </x:c>
      <x:c r="E36" s="39" t="str">
        <x:v>[]</x:v>
      </x:c>
      <x:c r="F36" s="38" t="str">
        <x:v>ข้อมูลฉบับร่างจากเอกสารอ้างอิง อย. รอตรวจทานโดยผู้เชี่ยวชาญ</x:v>
      </x:c>
      <x:c r="G36" s="32" t="b">
        <x:v>0</x:v>
      </x:c>
      <x:c r="H36" s="37" t="str">
        <x:v>["https://drug.fda.moph.go.th/media.php?id=904601733299314688&amp;name=7. Ref PIL Calcium_Magnesium carbonate_tab.pdf"]</x:v>
      </x:c>
      <x:c r="I36" s="31" t="str">
        <x:v>draft</x:v>
      </x:c>
      <x:c r="J36" s="38" t="str">
        <x:v>Import batch thai_fda_20260718_v1: ต้องตรวจหมวดหมู่; ยังไม่กำหนดขนาดยาที่พบบ่อย; ต้องตรวจชื่อภาษาไทย; ห้ามเผยแพร่ก่อน Clinical review</x:v>
      </x:c>
    </x:row>
    <x:row r="37">
      <x:c r="A37" s="31" t="str">
        <x:v>calcium_folinate</x:v>
      </x:c>
      <x:c r="B37" s="31" t="str">
        <x:v>Calcium folinate</x:v>
      </x:c>
      <x:c r="C37" s="38" t="str">
        <x:v>แคลเซียมโฟลิเนต</x:v>
      </x:c>
      <x:c r="D37" s="39" t="str">
        <x:v>รอตรวจสอบ</x:v>
      </x:c>
      <x:c r="E37" s="39" t="str">
        <x:v>[]</x:v>
      </x:c>
      <x:c r="F37" s="38" t="str">
        <x:v>ใช้เพื่อรักษาภาวะเป็ นพิษจากการใช้ยาบางชนิด เช่น เมโทเทร็กเซต, ไทรเมเทร็กเซต, ไทรเมโทพริม และ ไพริเมทามีน • ใช้ร่วมกับยาเคมีบ าบัดชื่อฟลูออโรยูราซิล เพื่อรักษา มะเร็งล าไส้ใหญ่</x:v>
      </x:c>
      <x:c r="G37" s="32" t="b">
        <x:v>0</x:v>
      </x:c>
      <x:c r="H37" s="37" t="str">
        <x:v>["https://drug.fda.moph.go.th/media.php?id=809663362920226816&amp;name=SMPC_Calcium Folinate_Solutions for injections or infusions.pdf","https://drug.fda.moph.go.th/media.php?id=862918388987600896&amp;name=17.Calcium folinate_Inj_PIL_final.pdf"]</x:v>
      </x:c>
      <x:c r="I37" s="31" t="str">
        <x:v>draft</x:v>
      </x:c>
      <x:c r="J3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38">
      <x:c r="A38" s="31" t="str">
        <x:v>calcium_lactate</x:v>
      </x:c>
      <x:c r="B38" s="31" t="str">
        <x:v>Calcium lactate</x:v>
      </x:c>
      <x:c r="C38" s="38" t="str">
        <x:v>รอตรวจสอบชื่อภาษาไทย</x:v>
      </x:c>
      <x:c r="D38" s="39" t="str">
        <x:v>รอตรวจสอบ</x:v>
      </x:c>
      <x:c r="E38" s="39" t="str">
        <x:v>[]</x:v>
      </x:c>
      <x:c r="F38" s="38" t="str">
        <x:v>ข้อมูลฉบับร่างจากเอกสารอ้างอิง อย. รอตรวจทานโดยผู้เชี่ยวชาญ</x:v>
      </x:c>
      <x:c r="G38" s="32" t="b">
        <x:v>0</x:v>
      </x:c>
      <x:c r="H38" s="37" t="str">
        <x:v>["https://drug.fda.moph.go.th/media.php?id=809663856816300032&amp;name=SMPC_Calcium lactate_tablets.pdf"]</x:v>
      </x:c>
      <x:c r="I38" s="31" t="str">
        <x:v>draft</x:v>
      </x:c>
      <x:c r="J38" s="38" t="str">
        <x:v>Import batch thai_fda_20260718_v1: ต้องตรวจหมวดหมู่; ยังไม่กำหนดขนาดยาที่พบบ่อย; ต้องตรวจชื่อภาษาไทย; ห้ามเผยแพร่ก่อน Clinical review</x:v>
      </x:c>
    </x:row>
    <x:row r="39">
      <x:c r="A39" s="31" t="str">
        <x:v>captopril</x:v>
      </x:c>
      <x:c r="B39" s="31" t="str">
        <x:v>Captopril</x:v>
      </x:c>
      <x:c r="C39" s="38" t="str">
        <x:v>แคปโทพริล</x:v>
      </x:c>
      <x:c r="D39" s="39" t="str">
        <x:v>รอตรวจสอบ</x:v>
      </x:c>
      <x:c r="E39" s="39" t="str">
        <x:v>[]</x:v>
      </x:c>
      <x:c r="F39" s="38" t="str">
        <x:v>รักษาโรคความดันโลหิตสูง • รักษาโรคหัวใจล้ มเหลว • รักษาโรคไตในผู้ ป่ วยเบาหวานที่ความดันโลหิตสูง</x:v>
      </x:c>
      <x:c r="G39" s="32" t="b">
        <x:v>0</x:v>
      </x:c>
      <x:c r="H39" s="37" t="str">
        <x:v>["https://drug.fda.moph.go.th/media.php?id=725640852025778176&amp;name=pil_Captopril (tablet 12.5 mg, 25 mg 50 mg).pdf","https://drug.fda.moph.go.th/media.php?id=809664599430406144&amp;name=SMPC_Captopril_tablets.pdf"]</x:v>
      </x:c>
      <x:c r="I39" s="31" t="str">
        <x:v>draft</x:v>
      </x:c>
      <x:c r="J3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40">
      <x:c r="A40" s="31" t="str">
        <x:v>carbamazepine</x:v>
      </x:c>
      <x:c r="B40" s="31" t="str">
        <x:v>Carbamazepine</x:v>
      </x:c>
      <x:c r="C40" s="38" t="str">
        <x:v>รอตรวจสอบชื่อภาษาไทย</x:v>
      </x:c>
      <x:c r="D40" s="39" t="str">
        <x:v>รอตรวจสอบ</x:v>
      </x:c>
      <x:c r="E40" s="39" t="str">
        <x:v>[]</x:v>
      </x:c>
      <x:c r="F40" s="38" t="str">
        <x:v>ข้อมูลฉบับร่างจากเอกสารอ้างอิง อย. รอตรวจทานโดยผู้เชี่ยวชาญ</x:v>
      </x:c>
      <x:c r="G40" s="32" t="b">
        <x:v>0</x:v>
      </x:c>
      <x:c r="H40" s="37" t="str">
        <x:v>["https://drug.fda.moph.go.th/media.php?id=809665211119312896&amp;name=SMPC_Carbamazepine_Tablets.pdf"]</x:v>
      </x:c>
      <x:c r="I40" s="31" t="str">
        <x:v>draft</x:v>
      </x:c>
      <x:c r="J40" s="38" t="str">
        <x:v>Import batch thai_fda_20260718_v1: ต้องตรวจหมวดหมู่; ยังไม่กำหนดขนาดยาที่พบบ่อย; ต้องตรวจชื่อภาษาไทย; ห้ามเผยแพร่ก่อน Clinical review</x:v>
      </x:c>
    </x:row>
    <x:row r="41">
      <x:c r="A41" s="31" t="str">
        <x:v>carbidopa_levodopa</x:v>
      </x:c>
      <x:c r="B41" s="31" t="str">
        <x:v>Carbidopa + Levodopa</x:v>
      </x:c>
      <x:c r="C41" s="38" t="str">
        <x:v>รอตรวจสอบชื่อภาษาไทย</x:v>
      </x:c>
      <x:c r="D41" s="39" t="str">
        <x:v>รอตรวจสอบ</x:v>
      </x:c>
      <x:c r="E41" s="39" t="str">
        <x:v>[]</x:v>
      </x:c>
      <x:c r="F41" s="38" t="str">
        <x:v>ใช้เพื่อรักษาโรคพาร์กินสันและกลุ่มอาการของโรค พาร์กินสัน โดยยาช่วยบรรเทาอาการต่าง ๆ เช่น อาการเคลื่อนไหวช้าและการทรงตัวไม่มั่นคง อาการกล้ามเนื้อแข็งเกร็ง อาการสั่น</x:v>
      </x:c>
      <x:c r="G41" s="32" t="b">
        <x:v>0</x:v>
      </x:c>
      <x:c r="H41" s="37" t="str">
        <x:v>["https://drug.fda.moph.go.th/media.php?id=904601732791803904&amp;name=8. ref PIL_Carbidopa+Levodopa.pdf","https://drug.fda.moph.go.th/media.php?id=904601733693579264&amp;name=8. Ref SmPC_Carbidopa+Levodopa.pdf"]</x:v>
      </x:c>
      <x:c r="I41" s="31" t="str">
        <x:v>draft</x:v>
      </x:c>
      <x:c r="J41"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42">
      <x:c r="A42" s="31" t="str">
        <x:v>carbocisteine</x:v>
      </x:c>
      <x:c r="B42" s="31" t="str">
        <x:v>Carbocisteine</x:v>
      </x:c>
      <x:c r="C42" s="38" t="str">
        <x:v>คาร์-โบ-ซิส-เท-อีน</x:v>
      </x:c>
      <x:c r="D42" s="39" t="str">
        <x:v>รอตรวจสอบ</x:v>
      </x:c>
      <x:c r="E42" s="39" t="str">
        <x:v>[]</x:v>
      </x:c>
      <x:c r="F42" s="38" t="str">
        <x:v>● ใช้เพื่อลดความเหนียวข้นของเสมหะ ท าให้ สามารถขับออกได้ ง่ายขึ้น ● ใช้เพื่อรักษาภาวะเกี่ยวกับทางเดินหายใจที่เกิดจาก เสมหะเหนียวข้ นหรือมีเสมหะปริมาณมากเกินไป</x:v>
      </x:c>
      <x:c r="G42" s="32" t="b">
        <x:v>0</x:v>
      </x:c>
      <x:c r="H42" s="37" t="str">
        <x:v>["https://drug.fda.moph.go.th/media.php?id=808239875336839168&amp;name=Carbocisteine_hardcapsules_tablets_PIL.pdf","https://drug.fda.moph.go.th/media.php?id=809666413001318400&amp;name=SMPC_Carbocisteine_Capsules.pdf","https://drug.fda.moph.go.th/media.php?id=809667062023725056&amp;name=SMPC_Carbocisteine_Syrup.pdf"]</x:v>
      </x:c>
      <x:c r="I42" s="31" t="str">
        <x:v>draft</x:v>
      </x:c>
      <x:c r="J4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43">
      <x:c r="A43" s="31" t="str">
        <x:v>carboplatin</x:v>
      </x:c>
      <x:c r="B43" s="31" t="str">
        <x:v>carboplatin</x:v>
      </x:c>
      <x:c r="C43" s="38" t="str">
        <x:v>คาร์โบพลาทิน</x:v>
      </x:c>
      <x:c r="D43" s="39" t="str">
        <x:v>รอตรวจสอบ</x:v>
      </x:c>
      <x:c r="E43" s="39" t="str">
        <x:v>[]</x:v>
      </x:c>
      <x:c r="F43" s="38" t="str">
        <x:v>ใช้รักษาโรคมะเร็งบางชนิด เช่น มะเร็งปอด มะเร็งรังไข่ โดยแพทย์วินิจฉัยแล้วว่าจ าเป็ นต้องใช้ ยานี้</x:v>
      </x:c>
      <x:c r="G43" s="32" t="b">
        <x:v>0</x:v>
      </x:c>
      <x:c r="H43" s="37" t="str">
        <x:v>["https://drug.fda.moph.go.th/media.php?id=864026451677159424&amp;name=Carboplatin_Inj_PIL_final.pdf"]</x:v>
      </x:c>
      <x:c r="I43" s="31" t="str">
        <x:v>draft</x:v>
      </x:c>
      <x:c r="J4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44">
      <x:c r="A44" s="31" t="str">
        <x:v>cefaclor</x:v>
      </x:c>
      <x:c r="B44" s="31" t="str">
        <x:v>Cefaclor</x:v>
      </x:c>
      <x:c r="C44" s="38" t="str">
        <x:v>เซฟาคลอร์</x:v>
      </x:c>
      <x:c r="D44" s="39" t="str">
        <x:v>รอตรวจสอบ</x:v>
      </x:c>
      <x:c r="E44" s="39" t="str">
        <x:v>[]</x:v>
      </x:c>
      <x:c r="F44" s="38" t="str">
        <x:v>ใช้รักษาโรคติดเชื้อแบคทีเรียบางชนิดที่ไวต่อยานี้</x:v>
      </x:c>
      <x:c r="G44" s="32" t="b">
        <x:v>0</x:v>
      </x:c>
      <x:c r="H44" s="37" t="str">
        <x:v>["https://drug.fda.moph.go.th/media.php?id=862918392741502976&amp;name=4.cefaclor_susp_PIL_final.pdf"]</x:v>
      </x:c>
      <x:c r="I44" s="31" t="str">
        <x:v>draft</x:v>
      </x:c>
      <x:c r="J4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45">
      <x:c r="A45" s="31" t="str">
        <x:v>cefadroxil</x:v>
      </x:c>
      <x:c r="B45" s="31" t="str">
        <x:v>cefadroxil</x:v>
      </x:c>
      <x:c r="C45" s="38" t="str">
        <x:v>เซฟาดร็อกซิล</x:v>
      </x:c>
      <x:c r="D45" s="39" t="str">
        <x:v>รอตรวจสอบ</x:v>
      </x:c>
      <x:c r="E45" s="39" t="str">
        <x:v>[]</x:v>
      </x:c>
      <x:c r="F45" s="38" t="str">
        <x:v>ใช้รักษาโรคติดเชื้อแบคทีเรียบางชนิดที่ไวต่อยานี้</x:v>
      </x:c>
      <x:c r="G45" s="32" t="b">
        <x:v>0</x:v>
      </x:c>
      <x:c r="H45" s="37" t="str">
        <x:v>["https://drug.fda.moph.go.th/media.php?id=862918390044565504&amp;name=5. cefadroxil_capsules_PIL_final.pdf"]</x:v>
      </x:c>
      <x:c r="I45" s="31" t="str">
        <x:v>draft</x:v>
      </x:c>
      <x:c r="J4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46">
      <x:c r="A46" s="31" t="str">
        <x:v>cefalexin</x:v>
      </x:c>
      <x:c r="B46" s="31" t="str">
        <x:v>Cefalexin</x:v>
      </x:c>
      <x:c r="C46" s="38" t="str">
        <x:v>เซฟาเล็กซิน</x:v>
      </x:c>
      <x:c r="D46" s="39" t="str">
        <x:v>รอตรวจสอบ</x:v>
      </x:c>
      <x:c r="E46" s="39" t="str">
        <x:v>[]</x:v>
      </x:c>
      <x:c r="F46" s="38" t="str">
        <x:v>ใช้รักษาโรคติดเชื้อแบคทีเรียบางชนิดที่ไวต่อยานี้</x:v>
      </x:c>
      <x:c r="G46" s="32" t="b">
        <x:v>0</x:v>
      </x:c>
      <x:c r="H46" s="37" t="str">
        <x:v>["https://drug.fda.moph.go.th/media.php?id=809667813055799296&amp;name=SMPC_Cefalexin_Dry syrup.pdf","https://drug.fda.moph.go.th/media.php?id=862918390786957312&amp;name=6.cefalexin_capsules_PIL_final.pdf","https://drug.fda.moph.go.th/media.php?id=862918389801295872&amp;name=8. Cefalexin_dry_syup_PIL_final_.pdf"]</x:v>
      </x:c>
      <x:c r="I46" s="31" t="str">
        <x:v>draft</x:v>
      </x:c>
      <x:c r="J46"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47">
      <x:c r="A47" s="31" t="str">
        <x:v>cefazolin</x:v>
      </x:c>
      <x:c r="B47" s="31" t="str">
        <x:v>Cefazolin</x:v>
      </x:c>
      <x:c r="C47" s="38" t="str">
        <x:v>รอตรวจสอบชื่อภาษาไทย</x:v>
      </x:c>
      <x:c r="D47" s="39" t="str">
        <x:v>รอตรวจสอบ</x:v>
      </x:c>
      <x:c r="E47" s="39" t="str">
        <x:v>[]</x:v>
      </x:c>
      <x:c r="F47" s="38" t="str">
        <x:v>ข้อมูลฉบับร่างจากเอกสารอ้างอิง อย. รอตรวจทานโดยผู้เชี่ยวชาญ</x:v>
      </x:c>
      <x:c r="G47" s="32" t="b">
        <x:v>0</x:v>
      </x:c>
      <x:c r="H47" s="37" t="str">
        <x:v>["https://drug.fda.moph.go.th/media.php?id=809668324005912576&amp;name=SMPC_Cefazolin_Powders for solutions for injections or infusions.pdf"]</x:v>
      </x:c>
      <x:c r="I47" s="31" t="str">
        <x:v>draft</x:v>
      </x:c>
      <x:c r="J47" s="38" t="str">
        <x:v>Import batch thai_fda_20260718_v1: ต้องตรวจหมวดหมู่; ยังไม่กำหนดขนาดยาที่พบบ่อย; ต้องตรวจชื่อภาษาไทย; ห้ามเผยแพร่ก่อน Clinical review</x:v>
      </x:c>
    </x:row>
    <x:row r="48">
      <x:c r="A48" s="31" t="str">
        <x:v>cefdinir</x:v>
      </x:c>
      <x:c r="B48" s="31" t="str">
        <x:v>cefdinir</x:v>
      </x:c>
      <x:c r="C48" s="38" t="str">
        <x:v>เซฟดิเนียร์</x:v>
      </x:c>
      <x:c r="D48" s="39" t="str">
        <x:v>รอตรวจสอบ</x:v>
      </x:c>
      <x:c r="E48" s="39" t="str">
        <x:v>[]</x:v>
      </x:c>
      <x:c r="F48" s="38" t="str">
        <x:v>ใช้รักษาโรคติดเชื้อแบคทีเรียบางชนิดที่ไวต่อยานี้</x:v>
      </x:c>
      <x:c r="G48" s="32" t="b">
        <x:v>0</x:v>
      </x:c>
      <x:c r="H48" s="37" t="str">
        <x:v>["https://drug.fda.moph.go.th/media.php?id=862918391428685824&amp;name=7. cefdinir_capsules_PIL_final_.pdf"]</x:v>
      </x:c>
      <x:c r="I48" s="31" t="str">
        <x:v>draft</x:v>
      </x:c>
      <x:c r="J48"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49">
      <x:c r="A49" s="31" t="str">
        <x:v>cefoperazone</x:v>
      </x:c>
      <x:c r="B49" s="31" t="str">
        <x:v>cefoperazone</x:v>
      </x:c>
      <x:c r="C49" s="38" t="str">
        <x:v>เซ-โฟ-เพอ-รา-โซน</x:v>
      </x:c>
      <x:c r="D49" s="39" t="str">
        <x:v>รอตรวจสอบ</x:v>
      </x:c>
      <x:c r="E49" s="39" t="str">
        <x:v>[]</x:v>
      </x:c>
      <x:c r="F49" s="38" t="str">
        <x:v>ใช้รักษาโรคติดเชื้อแบคทีเรียบางชนิดที่ไวต่อยานี้</x:v>
      </x:c>
      <x:c r="G49" s="32" t="b">
        <x:v>0</x:v>
      </x:c>
      <x:c r="H49" s="37" t="str">
        <x:v>["https://drug.fda.moph.go.th/media.php?id=862918393894936576&amp;name=1. Cefoperazone_injection_PIL_final.pdf"]</x:v>
      </x:c>
      <x:c r="I49" s="31" t="str">
        <x:v>draft</x:v>
      </x:c>
      <x:c r="J4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50">
      <x:c r="A50" s="31" t="str">
        <x:v>cefoperazone_sulbactam</x:v>
      </x:c>
      <x:c r="B50" s="31" t="str">
        <x:v>cefoperazone+sulbactam</x:v>
      </x:c>
      <x:c r="C50" s="38" t="str">
        <x:v>รอตรวจสอบชื่อภาษาไทย</x:v>
      </x:c>
      <x:c r="D50" s="39" t="str">
        <x:v>รอตรวจสอบ</x:v>
      </x:c>
      <x:c r="E50" s="39" t="str">
        <x:v>[]</x:v>
      </x:c>
      <x:c r="F50" s="38" t="str">
        <x:v>ใช้รักษาโรคติดเชื้อแบคทีเรียบางชนิดที่ไวต่อยานี้</x:v>
      </x:c>
      <x:c r="G50" s="32" t="b">
        <x:v>0</x:v>
      </x:c>
      <x:c r="H50" s="37" t="str">
        <x:v>["https://drug.fda.moph.go.th/media.php?id=862918395853676544&amp;name=2. CefoperazoneSulbactam_injection_PIL_final.pdf"]</x:v>
      </x:c>
      <x:c r="I50" s="31" t="str">
        <x:v>draft</x:v>
      </x:c>
      <x:c r="J50"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51">
      <x:c r="A51" s="31" t="str">
        <x:v>cefuroxime</x:v>
      </x:c>
      <x:c r="B51" s="31" t="str">
        <x:v>Cefuroxime</x:v>
      </x:c>
      <x:c r="C51" s="38" t="str">
        <x:v>เซฟูร็อกซีม</x:v>
      </x:c>
      <x:c r="D51" s="39" t="str">
        <x:v>รอตรวจสอบ</x:v>
      </x:c>
      <x:c r="E51" s="39" t="str">
        <x:v>[]</x:v>
      </x:c>
      <x:c r="F51" s="38" t="str">
        <x:v>ใช้รักษาโรคติดเชื้อแบคทีเรียบางชนิดที่ไวต่อยานี้</x:v>
      </x:c>
      <x:c r="G51" s="32" t="b">
        <x:v>0</x:v>
      </x:c>
      <x:c r="H51" s="37" t="str">
        <x:v>["https://drug.fda.moph.go.th/media.php?id=809668929264951296&amp;name=SMPC_Cefuroxime_Tablets.pdf","https://drug.fda.moph.go.th/media.php?id=808219138211323904&amp;name=smpc_Cefuroxime (POWDER FOR SOLUTION FOR INJECTIONINFUSION) (1).pdf","https://drug.fda.moph.go.th/media.php?id=862918394066903040&amp;name=9. Cefuroxime_dry_syup_PIL_final.pdf"]</x:v>
      </x:c>
      <x:c r="I51" s="31" t="str">
        <x:v>draft</x:v>
      </x:c>
      <x:c r="J51"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52">
      <x:c r="A52" s="31" t="str">
        <x:v>cefuroxime_axetil</x:v>
      </x:c>
      <x:c r="B52" s="31" t="str">
        <x:v>cefuroxime axetil</x:v>
      </x:c>
      <x:c r="C52" s="38" t="str">
        <x:v>เซฟูร็อกซีม</x:v>
      </x:c>
      <x:c r="D52" s="39" t="str">
        <x:v>รอตรวจสอบ</x:v>
      </x:c>
      <x:c r="E52" s="39" t="str">
        <x:v>[]</x:v>
      </x:c>
      <x:c r="F52" s="38" t="str">
        <x:v>ใช้รักษาโรคติดเชื้อแบคทีเรียบางชนิดที่ไวต่อยานี้</x:v>
      </x:c>
      <x:c r="G52" s="32" t="b">
        <x:v>0</x:v>
      </x:c>
      <x:c r="H52" s="37" t="str">
        <x:v>["https://drug.fda.moph.go.th/media.php?id=862918394750574592&amp;name=3. cefuroxime Axetil_tablets_PIL_final.pdf"]</x:v>
      </x:c>
      <x:c r="I52" s="31" t="str">
        <x:v>draft</x:v>
      </x:c>
      <x:c r="J5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53">
      <x:c r="A53" s="31" t="str">
        <x:v>chloramphenicol</x:v>
      </x:c>
      <x:c r="B53" s="31" t="str">
        <x:v>Chloramphenicol</x:v>
      </x:c>
      <x:c r="C53" s="38" t="str">
        <x:v>คลอ-แรม-เฟ-นิ-คอล</x:v>
      </x:c>
      <x:c r="D53" s="39" t="str">
        <x:v>รอตรวจสอบ</x:v>
      </x:c>
      <x:c r="E53" s="39" t="str">
        <x:v>[]</x:v>
      </x:c>
      <x:c r="F53" s="38" t="str">
        <x:v>● ใช้รักษาอาการตาอักเสบจากการติดเชื้อแบคทีเรียที่ ไวต่อยานี้</x:v>
      </x:c>
      <x:c r="G53" s="32" t="b">
        <x:v>0</x:v>
      </x:c>
      <x:c r="H53" s="37" t="str">
        <x:v>["https://drug.fda.moph.go.th/media.php?id=808240370726084608&amp;name=Chloramphenicol_ointmentOphthalmic_PIL.pdf","https://drug.fda.moph.go.th/media.php?id=808240557032873984&amp;name=Chloramphenicol_ointmentTopical_PIL.pdf","https://drug.fda.moph.go.th/media.php?id=842354236510576640&amp;name=Chloramphenicol_liquidOphthalmic_PIL.pdf","https://drug.fda.moph.go.th/media.php?id=809669704850481152&amp;name=SMPC_Chloramphenicol_Ear Drops.pdf","https://drug.fda.moph.go.th/media.php?id=842354236795789312&amp;name=Chloramphenicol_liquidOtic_PIL.pdf","https://drug.fda.moph.go.th/media.php?id=809670185509330944&amp;name=SMPC_Chloramphenicol_Eye Drops.pdf","https://drug.fda.moph.go.th/media.php?id=809670694370680832&amp;name=SMPC_Chloramphenicol_Powders for solutions for injections or infusions.pdf"]</x:v>
      </x:c>
      <x:c r="I53" s="31" t="str">
        <x:v>draft</x:v>
      </x:c>
      <x:c r="J5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54">
      <x:c r="A54" s="31" t="str">
        <x:v>chlorhexidine</x:v>
      </x:c>
      <x:c r="B54" s="31" t="str">
        <x:v>Chlorhexidine gluconate</x:v>
      </x:c>
      <x:c r="C54" s="38" t="str">
        <x:v>รอตรวจสอบชื่อภาษาไทย</x:v>
      </x:c>
      <x:c r="D54" s="39" t="str">
        <x:v>รอตรวจสอบ</x:v>
      </x:c>
      <x:c r="E54" s="39" t="str">
        <x:v>[]</x:v>
      </x:c>
      <x:c r="F54" s="38" t="str">
        <x:v>ข้อมูลฉบับร่างจากเอกสารอ้างอิง อย. รอตรวจทานโดยผู้เชี่ยวชาญ</x:v>
      </x:c>
      <x:c r="G54" s="32" t="b">
        <x:v>0</x:v>
      </x:c>
      <x:c r="H54" s="37" t="str">
        <x:v>["https://drug.fda.moph.go.th/media.php?id=809671981124427776&amp;name=SMPC_Chlorhexidine gluconate_cutaneous solution.pdf","https://drug.fda.moph.go.th/media.php?id=809672608319676416&amp;name=SMPC_Chlorhexidine gluconate_cream.pdf"]</x:v>
      </x:c>
      <x:c r="I54" s="31" t="str">
        <x:v>draft</x:v>
      </x:c>
      <x:c r="J54" s="38" t="str">
        <x:v>Import batch thai_fda_20260718_v1: ต้องตรวจหมวดหมู่; ยังไม่กำหนดขนาดยาที่พบบ่อย; ต้องตรวจชื่อภาษาไทย; ห้ามเผยแพร่ก่อน Clinical review</x:v>
      </x:c>
    </x:row>
    <x:row r="55">
      <x:c r="A55" s="31" t="str">
        <x:v>chlorhexidine_cetrimide</x:v>
      </x:c>
      <x:c r="B55" s="31" t="str">
        <x:v>Chlorhexidine acetate + Cetrimide</x:v>
      </x:c>
      <x:c r="C55" s="38" t="str">
        <x:v>รอตรวจสอบชื่อภาษาไทย</x:v>
      </x:c>
      <x:c r="D55" s="39" t="str">
        <x:v>รอตรวจสอบ</x:v>
      </x:c>
      <x:c r="E55" s="39" t="str">
        <x:v>[]</x:v>
      </x:c>
      <x:c r="F55" s="38" t="str">
        <x:v>ข้อมูลฉบับร่างจากเอกสารอ้างอิง อย. รอตรวจทานโดยผู้เชี่ยวชาญ</x:v>
      </x:c>
      <x:c r="G55" s="32" t="b">
        <x:v>0</x:v>
      </x:c>
      <x:c r="H55" s="37" t="str">
        <x:v>["https://drug.fda.moph.go.th/media.php?id=809671385814278144&amp;name=SMPC_Chlorhexidine Acetate+Cetrimide_Irrigation Solution.pdf"]</x:v>
      </x:c>
      <x:c r="I55" s="31" t="str">
        <x:v>draft</x:v>
      </x:c>
      <x:c r="J55" s="38" t="str">
        <x:v>Import batch thai_fda_20260718_v1: ต้องตรวจหมวดหมู่; ยังไม่กำหนดขนาดยาที่พบบ่อย; ต้องตรวจชื่อภาษาไทย; ห้ามเผยแพร่ก่อน Clinical review</x:v>
      </x:c>
    </x:row>
    <x:row r="56">
      <x:c r="A56" s="31" t="str">
        <x:v>chlorobutanol_clove_oil</x:v>
      </x:c>
      <x:c r="B56" s="31" t="str">
        <x:v>Chlorobutanol + Clove oil</x:v>
      </x:c>
      <x:c r="C56" s="38" t="str">
        <x:v>รอตรวจสอบชื่อภาษาไทย</x:v>
      </x:c>
      <x:c r="D56" s="39" t="str">
        <x:v>รอตรวจสอบ</x:v>
      </x:c>
      <x:c r="E56" s="39" t="str">
        <x:v>[]</x:v>
      </x:c>
      <x:c r="F56" s="38" t="str">
        <x:v>ใช้เพื่อบรรเทาอาการปวดฟันเนื่องจากฟันผุ</x:v>
      </x:c>
      <x:c r="G56" s="32" t="b">
        <x:v>0</x:v>
      </x:c>
      <x:c r="H56" s="37" t="str">
        <x:v>["https://drug.fda.moph.go.th/media.php?id=733954553325690880&amp;name=PIL ยาแก้ปวดฟัน Chlorobutanol + Clove oil (15032024).pdf"]</x:v>
      </x:c>
      <x:c r="I56" s="31" t="str">
        <x:v>draft</x:v>
      </x:c>
      <x:c r="J56"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57">
      <x:c r="A57" s="31" t="str">
        <x:v>chloroxylenol</x:v>
      </x:c>
      <x:c r="B57" s="31" t="str">
        <x:v>Chloroxylenol</x:v>
      </x:c>
      <x:c r="C57" s="38" t="str">
        <x:v>นํ้ายาฆ่าเชื้อโรค คลอโรไซลีนอล ชนิดนํ้า</x:v>
      </x:c>
      <x:c r="D57" s="39" t="str">
        <x:v>รอตรวจสอบ</x:v>
      </x:c>
      <x:c r="E57" s="39" t="str">
        <x:v>[]</x:v>
      </x:c>
      <x:c r="F57" s="38" t="str">
        <x:v>ใช้ทําความสะอาดบาดแผล</x:v>
      </x:c>
      <x:c r="G57" s="32" t="b">
        <x:v>0</x:v>
      </x:c>
      <x:c r="H57" s="37" t="str">
        <x:v>["https://drug.fda.moph.go.th/media.php?id=809673654496534528&amp;name=SMPC_Chloroxylenol_Concentrate for Cutaneous Solution.pdf","https://drug.fda.moph.go.th/media.php?id=733954190996545536&amp;name=PIL น้ำยาฆ่าเชื้อโรค Chloroxylenol (15032024).pdf"]</x:v>
      </x:c>
      <x:c r="I57" s="31" t="str">
        <x:v>draft</x:v>
      </x:c>
      <x:c r="J5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58">
      <x:c r="A58" s="31" t="str">
        <x:v>chlorpheniramine</x:v>
      </x:c>
      <x:c r="B58" s="31" t="str">
        <x:v>Chlorpheniramine</x:v>
      </x:c>
      <x:c r="C58" s="38" t="str">
        <x:v>คลอร์-เฟ-นิ-รา-มีน</x:v>
      </x:c>
      <x:c r="D58" s="39" t="str">
        <x:v>รอตรวจสอบ</x:v>
      </x:c>
      <x:c r="E58" s="39" t="str">
        <x:v>[]</x:v>
      </x:c>
      <x:c r="F58" s="38" t="str">
        <x:v>● ใช้เพื่อบรรเทาอาการต่าง ๆ จากการแพ้ เช่น น้ามูกไหล คัดจมูก ตาแดง คันตา หรือ บรรเทาอาการแพ้บริเวณผิวหนัง เช่น ลมพิษ</x:v>
      </x:c>
      <x:c r="G58" s="32" t="b">
        <x:v>0</x:v>
      </x:c>
      <x:c r="H58" s="37" t="str">
        <x:v>["https://drug.fda.moph.go.th/media.php?id=808242334797012992&amp;name=Chlorpheniramine_capsuleHardSugarCoatedTablelt_PIL.pdf","https://drug.fda.moph.go.th/media.php?id=808244174758486016&amp;name=Chlorpheniramine_Syrup_PIL.pdf","https://drug.fda.moph.go.th/media.php?id=733953854105853952&amp;name=PIL_ยาเม็ดแก้แพ้ลดน้ำมูก Chlorpheniramine (150324).pdf"]</x:v>
      </x:c>
      <x:c r="I58" s="31" t="str">
        <x:v>draft</x:v>
      </x:c>
      <x:c r="J58"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59">
      <x:c r="A59" s="31" t="str">
        <x:v>chlorpromazine</x:v>
      </x:c>
      <x:c r="B59" s="31" t="str">
        <x:v>Chlorpromazine hydrochloride</x:v>
      </x:c>
      <x:c r="C59" s="38" t="str">
        <x:v>คลอ-โพร-มา-ซีน</x:v>
      </x:c>
      <x:c r="D59" s="39" t="str">
        <x:v>รอตรวจสอบ</x:v>
      </x:c>
      <x:c r="E59" s="39" t="str">
        <x:v>[]</x:v>
      </x:c>
      <x:c r="F59" s="38" t="str">
        <x:v>ใช้รักษาโรคจิตเภท และโรคทางจิตเวชอื่น ๆ ที่แพทย์ พิจารณาแล้วว่าต้องใช้ยานี้ • ใช้รักษาอาการสะอึกติดต่อกันเป็ นเวลานาน • ใช้ควบคุมอาการคลื่นไส้อาเจียนที่แพทย์พิจารณาแล้ วว่า ต้องใช้ยานี้</x:v>
      </x:c>
      <x:c r="G59" s="32" t="b">
        <x:v>0</x:v>
      </x:c>
      <x:c r="H59" s="37" t="str">
        <x:v>["https://drug.fda.moph.go.th/media.php?id=809674435173949440&amp;name=SMPC_Chlorpromazine_Capsules.pdf","https://drug.fda.moph.go.th/media.php?id=862918388090019840&amp;name=34. Chlorpromazine_tablet_PIL-final.pdf"]</x:v>
      </x:c>
      <x:c r="I59" s="31" t="str">
        <x:v>draft</x:v>
      </x:c>
      <x:c r="J5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60">
      <x:c r="A60" s="31" t="str">
        <x:v>cholestyramine</x:v>
      </x:c>
      <x:c r="B60" s="31" t="str">
        <x:v>Cholestyramine</x:v>
      </x:c>
      <x:c r="C60" s="38" t="str">
        <x:v>คอ-เลส-ไท-รา-มีน</x:v>
      </x:c>
      <x:c r="D60" s="39" t="str">
        <x:v>รอตรวจสอบ</x:v>
      </x:c>
      <x:c r="E60" s="39" t="str">
        <x:v>[]</x:v>
      </x:c>
      <x:c r="F60" s="38" t="str">
        <x:v>● ยานี้ใช้ลดระดับไขมันคอเลสเตอรอลในเลือด ● รักษาอาการผื่นคันที่เกิดจากการคั่งของน้าดี ● รักษาอาการท้องเสียรุนแรง ที่เกิดจากความผิดปกติของทางเดินอาหาร ได้ แก่ การผ่าตัดล าไส้เล็ก โรคโครห์น ท้องเสียจากการฉายรังสีหรือตามค าแนะน าของแพทย์</x:v>
      </x:c>
      <x:c r="G60" s="32" t="b">
        <x:v>0</x:v>
      </x:c>
      <x:c r="H60" s="37" t="str">
        <x:v>["https://drug.fda.moph.go.th/media.php?id=808244876427796480&amp;name=Cholestyramine_dry suspension_PIL.pdf"]</x:v>
      </x:c>
      <x:c r="I60" s="31" t="str">
        <x:v>draft</x:v>
      </x:c>
      <x:c r="J60"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61">
      <x:c r="A61" s="31" t="str">
        <x:v>cimetidine</x:v>
      </x:c>
      <x:c r="B61" s="31" t="str">
        <x:v>Cimetidine</x:v>
      </x:c>
      <x:c r="C61" s="38" t="str">
        <x:v>ไซ-เม-ทิ-ดีน</x:v>
      </x:c>
      <x:c r="D61" s="39" t="str">
        <x:v>รอตรวจสอบ</x:v>
      </x:c>
      <x:c r="E61" s="39" t="str">
        <x:v>[]</x:v>
      </x:c>
      <x:c r="F61" s="38" t="str">
        <x:v>● รักษาหรือป้องกันแผลในกระเพาะอาหารและล าไส้เล็ก ● รักษาโรคกรดไหลย้ อน ● รักษาภาวะที่กระเพาะอาหารสร้ างกรดจ านวนมากกว่าปกติ (กลุ่มอาการโซลลิงเจอร์-เอลลิสัน)</x:v>
      </x:c>
      <x:c r="G61" s="32" t="b">
        <x:v>0</x:v>
      </x:c>
      <x:c r="H61" s="37" t="str">
        <x:v>["https://drug.fda.moph.go.th/media.php?id=808245090517655552&amp;name=Cimetidine_compressedTabletFilmCoatedTabletCapsuleHard_PIL.pdf","https://drug.fda.moph.go.th/media.php?id=809675069696647168&amp;name=SMPC_Cimetidine_Tablets.pdf"]</x:v>
      </x:c>
      <x:c r="I61" s="31" t="str">
        <x:v>draft</x:v>
      </x:c>
      <x:c r="J61"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62">
      <x:c r="A62" s="31" t="str">
        <x:v>cinnarizine</x:v>
      </x:c>
      <x:c r="B62" s="31" t="str">
        <x:v>Cinnarizine</x:v>
      </x:c>
      <x:c r="C62" s="38" t="str">
        <x:v>ซิน-นา-ริ-ซีน</x:v>
      </x:c>
      <x:c r="D62" s="39" t="str">
        <x:v>รอตรวจสอบ</x:v>
      </x:c>
      <x:c r="E62" s="39" t="str">
        <x:v>[]</x:v>
      </x:c>
      <x:c r="F62" s="38" t="str">
        <x:v>● ใช้ป้องกันอาการเมารถ เมาเรือ และบรรเทาอาการเวียนศีรษะบ้านหมุน (vertigo) ที่เกิดจากความผิดปกติของการควบคุมการทรงตัวของ ร่างกาย</x:v>
      </x:c>
      <x:c r="G62" s="32" t="b">
        <x:v>0</x:v>
      </x:c>
      <x:c r="H62" s="37" t="str">
        <x:v>["https://drug.fda.moph.go.th/media.php?id=904601735509712896&amp;name=13. Ref_PIL_Cinnarizine tab.pdf"]</x:v>
      </x:c>
      <x:c r="I62" s="31" t="str">
        <x:v>draft</x:v>
      </x:c>
      <x:c r="J6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63">
      <x:c r="A63" s="31" t="str">
        <x:v>ciprofloxacin</x:v>
      </x:c>
      <x:c r="B63" s="31" t="str">
        <x:v>Ciprofloxacin</x:v>
      </x:c>
      <x:c r="C63" s="38" t="str">
        <x:v>รอตรวจสอบชื่อภาษาไทย</x:v>
      </x:c>
      <x:c r="D63" s="39" t="str">
        <x:v>รอตรวจสอบ</x:v>
      </x:c>
      <x:c r="E63" s="39" t="str">
        <x:v>[]</x:v>
      </x:c>
      <x:c r="F63" s="38" t="str">
        <x:v>ข้อมูลฉบับร่างจากเอกสารอ้างอิง อย. รอตรวจทานโดยผู้เชี่ยวชาญ</x:v>
      </x:c>
      <x:c r="G63" s="32" t="b">
        <x:v>0</x:v>
      </x:c>
      <x:c r="H63" s="37" t="str">
        <x:v>["https://drug.fda.moph.go.th/media.php?id=842359238230679552&amp;name=SmPC Ciprofloxacin film-coated tablets.pdf","https://drug.fda.moph.go.th/media.php?id=809677740591685632&amp;name=SMPC_Ciprofloxacin_Solution for infusion.pdf","https://drug.fda.moph.go.th/media.php?id=842360112483016704&amp;name=SmPC Ciprofloxacin hydrochloride tablet.pdf"]</x:v>
      </x:c>
      <x:c r="I63" s="31" t="str">
        <x:v>draft</x:v>
      </x:c>
      <x:c r="J63" s="38" t="str">
        <x:v>Import batch thai_fda_20260718_v1: ต้องตรวจหมวดหมู่; ยังไม่กำหนดขนาดยาที่พบบ่อย; ต้องตรวจชื่อภาษาไทย; ห้ามเผยแพร่ก่อน Clinical review</x:v>
      </x:c>
    </x:row>
    <x:row r="64">
      <x:c r="A64" s="31" t="str">
        <x:v>citric_acid_sodium_bicarbonate_sodium_carbonate</x:v>
      </x:c>
      <x:c r="B64" s="31" t="str">
        <x:v>Citric acid + Sodium bicarbonate + Sodium carbonate</x:v>
      </x:c>
      <x:c r="C64" s="38" t="str">
        <x:v>รอตรวจสอบชื่อภาษาไทย</x:v>
      </x:c>
      <x:c r="D64" s="39" t="str">
        <x:v>รอตรวจสอบ</x:v>
      </x:c>
      <x:c r="E64" s="39" t="str">
        <x:v>[]</x:v>
      </x:c>
      <x:c r="F64" s="38" t="str">
        <x:v>ใช้เพื่อลดกรด บรรเทาอาการท้ องอืด ท้ องเฟ้อ เนื่องจากมีกรดมากในกระเพาะอาหาร</x:v>
      </x:c>
      <x:c r="G64" s="32" t="b">
        <x:v>0</x:v>
      </x:c>
      <x:c r="H64" s="37" t="str">
        <x:v>["https://drug.fda.moph.go.th/media.php?id=733953466694770688&amp;name=PIL_Citric acid + Sodium bicarbonate + Sodium carbonate(15032024).pdf"]</x:v>
      </x:c>
      <x:c r="I64" s="31" t="str">
        <x:v>draft</x:v>
      </x:c>
      <x:c r="J64"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65">
      <x:c r="A65" s="31" t="str">
        <x:v>clarithromycin</x:v>
      </x:c>
      <x:c r="B65" s="31" t="str">
        <x:v>Clarithromycin</x:v>
      </x:c>
      <x:c r="C65" s="38" t="str">
        <x:v>คลา-ริ-โทร-ไม-ซิน</x:v>
      </x:c>
      <x:c r="D65" s="39" t="str">
        <x:v>รอตรวจสอบ</x:v>
      </x:c>
      <x:c r="E65" s="39" t="str">
        <x:v>[]</x:v>
      </x:c>
      <x:c r="F65" s="38" t="str">
        <x:v>ใช้รักษาการติดเชื้อแบคทีเรียที่ไวต่อยานี้</x:v>
      </x:c>
      <x:c r="G65" s="32" t="b">
        <x:v>0</x:v>
      </x:c>
      <x:c r="H65" s="37" t="str">
        <x:v>["https://drug.fda.moph.go.th/media.php?id=809678715939332096&amp;name=SMPC_Clarithromycin_Film-coated tablets.pdf","https://drug.fda.moph.go.th/media.php?id=862918388824023040&amp;name=26.Clarithromycin_tablet_PIL_finaL.pdf"]</x:v>
      </x:c>
      <x:c r="I65" s="31" t="str">
        <x:v>draft</x:v>
      </x:c>
      <x:c r="J6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66">
      <x:c r="A66" s="31" t="str">
        <x:v>clindamycin</x:v>
      </x:c>
      <x:c r="B66" s="31" t="str">
        <x:v>Clindamycin phosphate</x:v>
      </x:c>
      <x:c r="C66" s="38" t="str">
        <x:v>รอตรวจสอบชื่อภาษาไทย</x:v>
      </x:c>
      <x:c r="D66" s="39" t="str">
        <x:v>รอตรวจสอบ</x:v>
      </x:c>
      <x:c r="E66" s="39" t="str">
        <x:v>[]</x:v>
      </x:c>
      <x:c r="F66" s="38" t="str">
        <x:v>ข้อมูลฉบับร่างจากเอกสารอ้างอิง อย. รอตรวจทานโดยผู้เชี่ยวชาญ</x:v>
      </x:c>
      <x:c r="G66" s="32" t="b">
        <x:v>0</x:v>
      </x:c>
      <x:c r="H66" s="37" t="str">
        <x:v>["https://drug.fda.moph.go.th/media.php?id=809679498764230656&amp;name=SMPC_clindamycin phosphate_solution for injection and infusion.pdf","https://drug.fda.moph.go.th/media.php?id=809680149330141184&amp;name=SMPC_Clindamycin_Topical lotion.pdf"]</x:v>
      </x:c>
      <x:c r="I66" s="31" t="str">
        <x:v>draft</x:v>
      </x:c>
      <x:c r="J66" s="38" t="str">
        <x:v>Import batch thai_fda_20260718_v1: ต้องตรวจหมวดหมู่; ยังไม่กำหนดขนาดยาที่พบบ่อย; ต้องตรวจชื่อภาษาไทย; ห้ามเผยแพร่ก่อน Clinical review</x:v>
      </x:c>
    </x:row>
    <x:row r="67">
      <x:c r="A67" s="31" t="str">
        <x:v>clobetasol_propionate</x:v>
      </x:c>
      <x:c r="B67" s="31" t="str">
        <x:v>Clobetasol propionate</x:v>
      </x:c>
      <x:c r="C67" s="38" t="str">
        <x:v>คลอ-เบ-ทา-ซอล-โพร-พิ-โอ-เนต</x:v>
      </x:c>
      <x:c r="D67" s="39" t="str">
        <x:v>รอตรวจสอบ</x:v>
      </x:c>
      <x:c r="E67" s="39" t="str">
        <x:v>[]</x:v>
      </x:c>
      <x:c r="F67" s="38" t="str">
        <x:v>ใช้เพื่อลดอาการ แดง คัน ที่เกิดจากการอักเสบบริเวณ ผิวหนัง</x:v>
      </x:c>
      <x:c r="G67" s="32" t="b">
        <x:v>0</x:v>
      </x:c>
      <x:c r="H67" s="37" t="str">
        <x:v>["https://drug.fda.moph.go.th/media.php?id=725942308205371392&amp;name=pil_Clobetasol propionate (CREAM).pdf"]</x:v>
      </x:c>
      <x:c r="I67" s="31" t="str">
        <x:v>draft</x:v>
      </x:c>
      <x:c r="J6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68">
      <x:c r="A68" s="31" t="str">
        <x:v>clonidine</x:v>
      </x:c>
      <x:c r="B68" s="31" t="str">
        <x:v>Clonidine hydrochloride</x:v>
      </x:c>
      <x:c r="C68" s="38" t="str">
        <x:v>โคลนิดีน</x:v>
      </x:c>
      <x:c r="D68" s="39" t="str">
        <x:v>รอตรวจสอบ</x:v>
      </x:c>
      <x:c r="E68" s="39" t="str">
        <x:v>[]</x:v>
      </x:c>
      <x:c r="F68" s="38" t="str">
        <x:v>ใช้รักษาโรคความดันโลหิตสูง</x:v>
      </x:c>
      <x:c r="G68" s="32" t="b">
        <x:v>0</x:v>
      </x:c>
      <x:c r="H68" s="37" t="str">
        <x:v>["https://drug.fda.moph.go.th/media.php?id=725640886955941888&amp;name=pil_Clonidine hydrochloride (tab;et 0.15 mg).pdf","https://drug.fda.moph.go.th/media.php?id=809689391965544448&amp;name=SMPC_Clonidine_tablets.pdf"]</x:v>
      </x:c>
      <x:c r="I68" s="31" t="str">
        <x:v>draft</x:v>
      </x:c>
      <x:c r="J68"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69">
      <x:c r="A69" s="31" t="str">
        <x:v>clotrimazole</x:v>
      </x:c>
      <x:c r="B69" s="31" t="str">
        <x:v>Clotrimazole</x:v>
      </x:c>
      <x:c r="C69" s="38" t="str">
        <x:v>โคล-ไตร-มา-โซล</x:v>
      </x:c>
      <x:c r="D69" s="39" t="str">
        <x:v>รอตรวจสอบ</x:v>
      </x:c>
      <x:c r="E69" s="39" t="str">
        <x:v>[]</x:v>
      </x:c>
      <x:c r="F69" s="38" t="str">
        <x:v>ใช้เพื่อรักษาการติดเชื้อราในช่องปาก ที่ได้ รับการวินิจฉัย ว่าต้องใช้ยานี้</x:v>
      </x:c>
      <x:c r="G69" s="32" t="b">
        <x:v>0</x:v>
      </x:c>
      <x:c r="H69" s="37" t="str">
        <x:v>["https://drug.fda.moph.go.th/media.php?id=725942369777754112&amp;name=pil_Clotrimazole (LOZENGE).pdf","https://drug.fda.moph.go.th/media.php?id=808249374026113024&amp;name=Clotrimazole_cream_PIL.pdf","https://drug.fda.moph.go.th/media.php?id=809690021182447616&amp;name=SMPC_Clotrimazole_cream.pdf","https://drug.fda.moph.go.th/media.php?id=808249562153230336&amp;name=Clotrimazole_vaginaltablet_PIL.pdf","https://drug.fda.moph.go.th/media.php?id=809690567477960704&amp;name=SMPC_Clotrimazole_vaginaltablet.pdf","https://drug.fda.moph.go.th/media.php?id=726814171727011840&amp;name=SMPC_Clotrimazole (SOLUTION) 1.0%wv.pdf"]</x:v>
      </x:c>
      <x:c r="I69" s="31" t="str">
        <x:v>draft</x:v>
      </x:c>
      <x:c r="J6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70">
      <x:c r="A70" s="31" t="str">
        <x:v>cloxacillin</x:v>
      </x:c>
      <x:c r="B70" s="31" t="str">
        <x:v>Cloxacillin</x:v>
      </x:c>
      <x:c r="C70" s="38" t="str">
        <x:v>คล็อก-ซา-ซิล-ลิน</x:v>
      </x:c>
      <x:c r="D70" s="39" t="str">
        <x:v>รอตรวจสอบ</x:v>
      </x:c>
      <x:c r="E70" s="39" t="str">
        <x:v>[]</x:v>
      </x:c>
      <x:c r="F70" s="38" t="str">
        <x:v>● ใช้รักษาการติดเชื้อแบคทีเรียที่ไวต่อยานี้</x:v>
      </x:c>
      <x:c r="G70" s="32" t="b">
        <x:v>0</x:v>
      </x:c>
      <x:c r="H70" s="37" t="str">
        <x:v>["https://drug.fda.moph.go.th/media.php?id=808517407260942336&amp;name=Cloxacillin_drysyrup_PIL.pdf"]</x:v>
      </x:c>
      <x:c r="I70" s="31" t="str">
        <x:v>draft</x:v>
      </x:c>
      <x:c r="J70"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71">
      <x:c r="A71" s="31" t="str">
        <x:v>co_trimoxazole_trimethoprim_sulfamethoxazole</x:v>
      </x:c>
      <x:c r="B71" s="31" t="str">
        <x:v>Co-trimoxazole ( Trimethoprim + Sulfamethoxazole)</x:v>
      </x:c>
      <x:c r="C71" s="38" t="str">
        <x:v>รอตรวจสอบชื่อภาษาไทย</x:v>
      </x:c>
      <x:c r="D71" s="39" t="str">
        <x:v>รอตรวจสอบ</x:v>
      </x:c>
      <x:c r="E71" s="39" t="str">
        <x:v>[]</x:v>
      </x:c>
      <x:c r="F71" s="38" t="str">
        <x:v>● ยานี้ใช้รักษาและป้องกันโรคติดเชื้อแบคทีเรีย บางชนิดที่ไวต่อยานี้ ● ยานี้ใช้รักษาและป้องกันโรคติดเชื้อฉวยโอกาส บางชนิดในผู้ ที่มีภูมิคุ้ มกันต่า</x:v>
      </x:c>
      <x:c r="G71" s="32" t="b">
        <x:v>0</x:v>
      </x:c>
      <x:c r="H71" s="37" t="str">
        <x:v>["https://drug.fda.moph.go.th/media.php?id=808517949823524864&amp;name=SulfamethoxazoleAndTrimethoprim_capsule_tablet_PIL.pdf","https://drug.fda.moph.go.th/media.php?id=808518443686043648&amp;name=SulfamethoxazoleAndTrimethoprim_suspensionSyrup_PIL.pdf"]</x:v>
      </x:c>
      <x:c r="I71" s="31" t="str">
        <x:v>draft</x:v>
      </x:c>
      <x:c r="J71"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72">
      <x:c r="A72" s="31" t="str">
        <x:v>coal_tar</x:v>
      </x:c>
      <x:c r="B72" s="31" t="str">
        <x:v>Coal tar</x:v>
      </x:c>
      <x:c r="C72" s="38" t="str">
        <x:v>โคลทาร์</x:v>
      </x:c>
      <x:c r="D72" s="39" t="str">
        <x:v>รอตรวจสอบ</x:v>
      </x:c>
      <x:c r="E72" s="39" t="str">
        <x:v>[]</x:v>
      </x:c>
      <x:c r="F72" s="38" t="str">
        <x:v>ยานี้ใช้เพื่อรักษาโรคผิวหนังเรื้อรัง เช่น เรื้อนกวาง ผิวหนังเป็นผื่นคัน</x:v>
      </x:c>
      <x:c r="G72" s="32" t="b">
        <x:v>0</x:v>
      </x:c>
      <x:c r="H72" s="37" t="str">
        <x:v>["https://drug.fda.moph.go.th/media.php?id=733953082332946432&amp;name=PIL ยารักษาโรคผิวหนังเรื้อรัง Coal tar (15032024).pdf"]</x:v>
      </x:c>
      <x:c r="I72" s="31" t="str">
        <x:v>draft</x:v>
      </x:c>
      <x:c r="J7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73">
      <x:c r="A73" s="31" t="str">
        <x:v>colchicine</x:v>
      </x:c>
      <x:c r="B73" s="31" t="str">
        <x:v>Colchicine</x:v>
      </x:c>
      <x:c r="C73" s="38" t="str">
        <x:v>โคลชิซีน</x:v>
      </x:c>
      <x:c r="D73" s="39" t="str">
        <x:v>รอตรวจสอบ</x:v>
      </x:c>
      <x:c r="E73" s="39" t="str">
        <x:v>[]</x:v>
      </x:c>
      <x:c r="F73" s="38" t="str">
        <x:v>ใช้เพื่อรักษาอาการปวดเฉียบพลันจากโรคเกาต์ • ใช้ร่วมกับยาลดกรดยูริก เพื่อป้องกันการก าเริบของ โรคเกาต์</x:v>
      </x:c>
      <x:c r="G73" s="32" t="b">
        <x:v>0</x:v>
      </x:c>
      <x:c r="H73" s="37" t="str">
        <x:v>["https://drug.fda.moph.go.th/media.php?id=809692129914920960&amp;name=SMPC_Colchicine_Tablets.pdf","https://drug.fda.moph.go.th/media.php?id=862918387561537536&amp;name=35.Colchicine_Tablets_PIL-final.pdf"]</x:v>
      </x:c>
      <x:c r="I73" s="31" t="str">
        <x:v>draft</x:v>
      </x:c>
      <x:c r="J7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74">
      <x:c r="A74" s="31" t="str">
        <x:v>cyanocobalamin</x:v>
      </x:c>
      <x:c r="B74" s="31" t="str">
        <x:v>Cyanocobalamin</x:v>
      </x:c>
      <x:c r="C74" s="38" t="str">
        <x:v>ไซ-ยา-โน-โค-บา-ลา-มิน</x:v>
      </x:c>
      <x:c r="D74" s="39" t="str">
        <x:v>รอตรวจสอบ</x:v>
      </x:c>
      <x:c r="E74" s="39" t="str">
        <x:v>[]</x:v>
      </x:c>
      <x:c r="F74" s="38" t="str">
        <x:v>ใช้รักษาโรคโลหิตจางที่เกิดจากการขาดวิตามินบี 12 • ใช้รักษาภาวะขาดวิตามินบี 12</x:v>
      </x:c>
      <x:c r="G74" s="32" t="b">
        <x:v>0</x:v>
      </x:c>
      <x:c r="H74" s="37" t="str">
        <x:v>["https://drug.fda.moph.go.th/media.php?id=725942611436773376&amp;name=pil_Cyanocobalamin (TABLET).pdf","https://drug.fda.moph.go.th/media.php?id=809692799212593152&amp;name=SMPC_Cyanocobalamin_Tablets.pdf"]</x:v>
      </x:c>
      <x:c r="I74" s="31" t="str">
        <x:v>draft</x:v>
      </x:c>
      <x:c r="J7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75">
      <x:c r="A75" s="31" t="str">
        <x:v>cyclophosphamide</x:v>
      </x:c>
      <x:c r="B75" s="31" t="str">
        <x:v>Cyclophosphamide</x:v>
      </x:c>
      <x:c r="C75" s="38" t="str">
        <x:v>ไซโคลฟอสฟาไมด์</x:v>
      </x:c>
      <x:c r="D75" s="39" t="str">
        <x:v>รอตรวจสอบ</x:v>
      </x:c>
      <x:c r="E75" s="39" t="str">
        <x:v>[]</x:v>
      </x:c>
      <x:c r="F75" s="38" t="str">
        <x:v>ใช้รักษาโรคมะเร็งบางชนิด • ใช้รักษาโรคต่อต้ านภูมิคุ้ มกันร่างกายตนเอง ซึ่ง แพทย์วินิจฉัยแล้วว่าจ าเป็ นต้องใช้ยานี้</x:v>
      </x:c>
      <x:c r="G75" s="32" t="b">
        <x:v>0</x:v>
      </x:c>
      <x:c r="H75" s="37" t="str">
        <x:v>["https://drug.fda.moph.go.th/media.php?id=809693226402455552&amp;name=SMPC_Cyclophosphamide_Powders for solutions for injections or infusions.pdf","https://drug.fda.moph.go.th/media.php?id=862918391248330752&amp;name=11. Cyclophosphamide_inj_PIL_final.pdf","https://drug.fda.moph.go.th/media.php?id=862918393693609984&amp;name=12.Cyclophosphamide_Tablets_PIL_final.pdf"]</x:v>
      </x:c>
      <x:c r="I75" s="31" t="str">
        <x:v>draft</x:v>
      </x:c>
      <x:c r="J7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76">
      <x:c r="A76" s="31" t="str">
        <x:v>cyproheptadine</x:v>
      </x:c>
      <x:c r="B76" s="31" t="str">
        <x:v>Cyproheptadine</x:v>
      </x:c>
      <x:c r="C76" s="38" t="str">
        <x:v>ไซโพรเฮปทาดีน</x:v>
      </x:c>
      <x:c r="D76" s="39" t="str">
        <x:v>รอตรวจสอบ</x:v>
      </x:c>
      <x:c r="E76" s="39" t="str">
        <x:v>[]</x:v>
      </x:c>
      <x:c r="F76" s="38" t="str">
        <x:v>ข้อมูลฉบับร่างจากเอกสารอ้างอิง อย. รอตรวจทานโดยผู้เชี่ยวชาญ</x:v>
      </x:c>
      <x:c r="G76" s="32" t="b">
        <x:v>0</x:v>
      </x:c>
      <x:c r="H76" s="37" t="str">
        <x:v>["https://drug.fda.moph.go.th/media.php?id=808520288135421952&amp;name=Cyproheptadine_sugarCoatedTablet_PIL.pdf","https://drug.fda.moph.go.th/media.php?id=808521488910131200&amp;name=Cyproheptadine_Syrup_PIL.pdf","https://drug.fda.moph.go.th/media.php?id=809699643461083136&amp;name=SMPC_Cyproheptadine_Tablets.pdf"]</x:v>
      </x:c>
      <x:c r="I76" s="31" t="str">
        <x:v>draft</x:v>
      </x:c>
      <x:c r="J76" s="38" t="str">
        <x:v>Import batch thai_fda_20260718_v1: ต้องตรวจหมวดหมู่; ยังไม่กำหนดขนาดยาที่พบบ่อย; ห้ามเผยแพร่ก่อน Clinical review</x:v>
      </x:c>
    </x:row>
    <x:row r="77">
      <x:c r="A77" s="31" t="str">
        <x:v>dequalinium</x:v>
      </x:c>
      <x:c r="B77" s="31" t="str">
        <x:v>Dequalinium</x:v>
      </x:c>
      <x:c r="C77" s="38" t="str">
        <x:v>ดี-ควอ-ลิ-เนียม-คลอ-ไรด์</x:v>
      </x:c>
      <x:c r="D77" s="39" t="str">
        <x:v>รอตรวจสอบ</x:v>
      </x:c>
      <x:c r="E77" s="39" t="str">
        <x:v>[]</x:v>
      </x:c>
      <x:c r="F77" s="38" t="str">
        <x:v>ยานี้ใช้ เพื่อรักษาอาการตกขาว ในช่องคลอดที่เกิด จากการติดเชื้อแบคทีเรีย</x:v>
      </x:c>
      <x:c r="G77" s="32" t="b">
        <x:v>0</x:v>
      </x:c>
      <x:c r="H77" s="37" t="str">
        <x:v>["https://drug.fda.moph.go.th/media.php?id=808522434977341440&amp;name=Dequalinium_vaginal tablet_PIL.pdf"]</x:v>
      </x:c>
      <x:c r="I77" s="31" t="str">
        <x:v>draft</x:v>
      </x:c>
      <x:c r="J7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78">
      <x:c r="A78" s="31" t="str">
        <x:v>dexamethasone</x:v>
      </x:c>
      <x:c r="B78" s="31" t="str">
        <x:v>Dexamethasone</x:v>
      </x:c>
      <x:c r="C78" s="38" t="str">
        <x:v>ชนิดเม็ด</x:v>
      </x:c>
      <x:c r="D78" s="39" t="str">
        <x:v>รอตรวจสอบ</x:v>
      </x:c>
      <x:c r="E78" s="39" t="str">
        <x:v>[]</x:v>
      </x:c>
      <x:c r="F78" s="38" t="str">
        <x:v>เพื่อบรรเทาการแพ้ หรือลดการอักเสบที่ รุนแรง และใช้รักษาโรคบางชนิดที่เกิดจาก ภูมิคุ้มกันผิดปกติซึ่งต้องวินิจฉัยโดยแพทย์ 1.3 การใช้ยานี้อาจเกิดอันตรายรุนแรงได้ จึง ต้องสั่งจ่ายโดยแพทย์เท่านั้น</x:v>
      </x:c>
      <x:c r="G78" s="32" t="b">
        <x:v>0</x:v>
      </x:c>
      <x:c r="H78" s="37" t="str">
        <x:v>["https://drug.fda.moph.go.th/media.php?id=730340041339052032&amp;name=pil_Dexamethasone (TABLET)0.25, 0.5, 4 mg.pdf","https://drug.fda.moph.go.th/media.php?id=810062372298432512&amp;name=SMPC_Dexamethasone_Oral solution.pdf","https://drug.fda.moph.go.th/media.php?id=810066436012777472&amp;name=SMPC_Dexamethasone_syrup.pdf"]</x:v>
      </x:c>
      <x:c r="I78" s="31" t="str">
        <x:v>draft</x:v>
      </x:c>
      <x:c r="J78"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79">
      <x:c r="A79" s="31" t="str">
        <x:v>dextran</x:v>
      </x:c>
      <x:c r="B79" s="31" t="str">
        <x:v>Dextran</x:v>
      </x:c>
      <x:c r="C79" s="38" t="str">
        <x:v>รอตรวจสอบชื่อภาษาไทย</x:v>
      </x:c>
      <x:c r="D79" s="39" t="str">
        <x:v>รอตรวจสอบ</x:v>
      </x:c>
      <x:c r="E79" s="39" t="str">
        <x:v>[]</x:v>
      </x:c>
      <x:c r="F79" s="38" t="str">
        <x:v>ข้อมูลฉบับร่างจากเอกสารอ้างอิง อย. รอตรวจทานโดยผู้เชี่ยวชาญ</x:v>
      </x:c>
      <x:c r="G79" s="32" t="b">
        <x:v>0</x:v>
      </x:c>
      <x:c r="H79" s="37" t="str">
        <x:v>["https://drug.fda.moph.go.th/media.php?id=810066913823694848&amp;name=SMPC_Dextran_solution for infusion.pdf"]</x:v>
      </x:c>
      <x:c r="I79" s="31" t="str">
        <x:v>draft</x:v>
      </x:c>
      <x:c r="J79" s="38" t="str">
        <x:v>Import batch thai_fda_20260718_v1: ต้องตรวจหมวดหมู่; ยังไม่กำหนดขนาดยาที่พบบ่อย; ต้องตรวจชื่อภาษาไทย; ห้ามเผยแพร่ก่อน Clinical review</x:v>
      </x:c>
    </x:row>
    <x:row r="80">
      <x:c r="A80" s="31" t="str">
        <x:v>dextromethorphan_hydrobromide</x:v>
      </x:c>
      <x:c r="B80" s="31" t="str">
        <x:v>Dextromethorphan hydrobromide</x:v>
      </x:c>
      <x:c r="C80" s="38" t="str">
        <x:v>รอตรวจสอบชื่อภาษาไทย</x:v>
      </x:c>
      <x:c r="D80" s="39" t="str">
        <x:v>รอตรวจสอบ</x:v>
      </x:c>
      <x:c r="E80" s="39" t="str">
        <x:v>[]</x:v>
      </x:c>
      <x:c r="F80" s="38" t="str">
        <x:v>ข้อมูลฉบับร่างจากเอกสารอ้างอิง อย. รอตรวจทานโดยผู้เชี่ยวชาญ</x:v>
      </x:c>
      <x:c r="G80" s="32" t="b">
        <x:v>0</x:v>
      </x:c>
      <x:c r="H80" s="37" t="str">
        <x:v>["https://drug.fda.moph.go.th/media.php?id=810067905235525632&amp;name=SMPC_Dextromethorphan_Lozenge.pdf","https://drug.fda.moph.go.th/media.php?id=810068299789508608&amp;name=SMPC_Dextromethorphan_Syrup.pdf"]</x:v>
      </x:c>
      <x:c r="I80" s="31" t="str">
        <x:v>draft</x:v>
      </x:c>
      <x:c r="J80" s="38" t="str">
        <x:v>Import batch thai_fda_20260718_v1: ต้องตรวจหมวดหมู่; ยังไม่กำหนดขนาดยาที่พบบ่อย; ต้องตรวจชื่อภาษาไทย; ห้ามเผยแพร่ก่อน Clinical review</x:v>
      </x:c>
    </x:row>
    <x:row r="81">
      <x:c r="A81" s="31" t="str">
        <x:v>diclofenac</x:v>
      </x:c>
      <x:c r="B81" s="31" t="str">
        <x:v>Diclofenac</x:v>
      </x:c>
      <x:c r="C81" s="38" t="str">
        <x:v>ได-โคล-ฟี-แน็ก</x:v>
      </x:c>
      <x:c r="D81" s="39" t="str">
        <x:v>รอตรวจสอบ</x:v>
      </x:c>
      <x:c r="E81" s="39" t="str">
        <x:v>[]</x:v>
      </x:c>
      <x:c r="F81" s="38" t="str">
        <x:v>ใช้เพื่อบรรเทาอาการปวดเฉียบพลัน หรือลด การอักเสบ ที่เกิดขึ้นจากการเคล็ด ข้ อแพลง เอ็น อักเสบ ฟกช้า หรือ การบาดเจ็บที่เกิดจากแรงกระแทก</x:v>
      </x:c>
      <x:c r="G81" s="32" t="b">
        <x:v>0</x:v>
      </x:c>
      <x:c r="H81" s="37" t="str">
        <x:v>["https://drug.fda.moph.go.th/media.php?id=808522809746792448&amp;name=Diclofenac_Gel_PIL.pdf","https://drug.fda.moph.go.th/media.php?id=810068711242342400&amp;name=SMPC_Diclofenac_enteric-coated tables.pdf","https://drug.fda.moph.go.th/media.php?id=810069032811241472&amp;name=SMPC_Diclofenac_Prolonged-Release capsules.pdf","https://drug.fda.moph.go.th/media.php?id=810069388655992832&amp;name=SMPC_Diclofenac_Prolonged-Release tablets.pdf"]</x:v>
      </x:c>
      <x:c r="I81" s="31" t="str">
        <x:v>draft</x:v>
      </x:c>
      <x:c r="J81"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82">
      <x:c r="A82" s="31" t="str">
        <x:v>dicloxacillin</x:v>
      </x:c>
      <x:c r="B82" s="31" t="str">
        <x:v>Dicloxacillin</x:v>
      </x:c>
      <x:c r="C82" s="38" t="str">
        <x:v>ได-คล็อก-ซา-ซิล-ลิน</x:v>
      </x:c>
      <x:c r="D82" s="39" t="str">
        <x:v>รอตรวจสอบ</x:v>
      </x:c>
      <x:c r="E82" s="39" t="str">
        <x:v>[]</x:v>
      </x:c>
      <x:c r="F82" s="38" t="str">
        <x:v>● ใช้รักษาการติดเชื้อแบคทีเรียที่ไวต่อยานี้</x:v>
      </x:c>
      <x:c r="G82" s="32" t="b">
        <x:v>0</x:v>
      </x:c>
      <x:c r="H82" s="37" t="str">
        <x:v>["https://drug.fda.moph.go.th/media.php?id=808523777259479040&amp;name=Dicloxacillin_capsulehard_PIL.pdf","https://drug.fda.moph.go.th/media.php?id=808538988444000256&amp;name=Dicloxacillin_drysyrup_PIL.pdf"]</x:v>
      </x:c>
      <x:c r="I82" s="31" t="str">
        <x:v>draft</x:v>
      </x:c>
      <x:c r="J8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83">
      <x:c r="A83" s="31" t="str">
        <x:v>dicycloverine</x:v>
      </x:c>
      <x:c r="B83" s="31" t="str">
        <x:v>Dicycloverine hydrochloride</x:v>
      </x:c>
      <x:c r="C83" s="38" t="str">
        <x:v>ไดไซโคลเวอรีน</x:v>
      </x:c>
      <x:c r="D83" s="39" t="str">
        <x:v>รอตรวจสอบ</x:v>
      </x:c>
      <x:c r="E83" s="39" t="str">
        <x:v>[]</x:v>
      </x:c>
      <x:c r="F83" s="38" t="str">
        <x:v>ใช้บรรเทาอาการปวดเกร็งของกล้ ามเนื้อเรียบ • ใช้บรรเทาอาการปวดกระเพาะอาหารและล าไส้ • ใช้รักษาอาการผิดปกติของกระเพาะอาหารและล าไส้ เช่น ภาวะล าไส้แปรปรวน</x:v>
      </x:c>
      <x:c r="G83" s="32" t="b">
        <x:v>0</x:v>
      </x:c>
      <x:c r="H83" s="37" t="str">
        <x:v>["https://drug.fda.moph.go.th/media.php?id=730341737037438976&amp;name=pil_Dicycloverine hydrochloride (TABLET)10 mg, 20 mg.pdf","https://drug.fda.moph.go.th/media.php?id=810069763324780544&amp;name=SMPC_Dicycloverine_tablets.pdf"]</x:v>
      </x:c>
      <x:c r="I83" s="31" t="str">
        <x:v>draft</x:v>
      </x:c>
      <x:c r="J8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84">
      <x:c r="A84" s="31" t="str">
        <x:v>digoxin</x:v>
      </x:c>
      <x:c r="B84" s="31" t="str">
        <x:v>Digoxin</x:v>
      </x:c>
      <x:c r="C84" s="38" t="str">
        <x:v>ดิจ็อกซิน</x:v>
      </x:c>
      <x:c r="D84" s="39" t="str">
        <x:v>รอตรวจสอบ</x:v>
      </x:c>
      <x:c r="E84" s="39" t="str">
        <x:v>[]</x:v>
      </x:c>
      <x:c r="F84" s="38" t="str">
        <x:v>ใช้รักษาโรคหัวใจเต้นผิดจังหวะ • ใช้รักษาโรคหัวใจล้ มเหลว</x:v>
      </x:c>
      <x:c r="G84" s="32" t="b">
        <x:v>0</x:v>
      </x:c>
      <x:c r="H84" s="37" t="str">
        <x:v>["https://drug.fda.moph.go.th/media.php?id=730342077547814912&amp;name=pil_Digoxin (TABLET 0.125 mg).pdf","https://drug.fda.moph.go.th/media.php?id=810070238065467392&amp;name=SMPC_Digoxin_Tablets.pdf"]</x:v>
      </x:c>
      <x:c r="I84" s="31" t="str">
        <x:v>draft</x:v>
      </x:c>
      <x:c r="J8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85">
      <x:c r="A85" s="31" t="str">
        <x:v>diltiazem</x:v>
      </x:c>
      <x:c r="B85" s="31" t="str">
        <x:v>Diltiazem hydrochloride</x:v>
      </x:c>
      <x:c r="C85" s="38" t="str">
        <x:v>ดิลไทอะเซม</x:v>
      </x:c>
      <x:c r="D85" s="39" t="str">
        <x:v>รอตรวจสอบ</x:v>
      </x:c>
      <x:c r="E85" s="39" t="str">
        <x:v>[]</x:v>
      </x:c>
      <x:c r="F85" s="38" t="str">
        <x:v>ใช้รักษาและป้องกันอาการเจ็บเค้นหน้าอก</x:v>
      </x:c>
      <x:c r="G85" s="32" t="b">
        <x:v>0</x:v>
      </x:c>
      <x:c r="H85" s="37" t="str">
        <x:v>["https://drug.fda.moph.go.th/media.php?id=730342282607337472&amp;name=pil_Diltiazem hydrochloride (tablet 30 mg, 60 mg).pdf"]</x:v>
      </x:c>
      <x:c r="I85" s="31" t="str">
        <x:v>draft</x:v>
      </x:c>
      <x:c r="J8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86">
      <x:c r="A86" s="31" t="str">
        <x:v>dimenhydrinate</x:v>
      </x:c>
      <x:c r="B86" s="31" t="str">
        <x:v>Dimenhydrinate</x:v>
      </x:c>
      <x:c r="C86" s="38" t="str">
        <x:v>ยาเม็ดแก้เมารถ เมาเรือ ไดเมนไฮดริเนท</x:v>
      </x:c>
      <x:c r="D86" s="39" t="str">
        <x:v>รอตรวจสอบ</x:v>
      </x:c>
      <x:c r="E86" s="39" t="str">
        <x:v>[]</x:v>
      </x:c>
      <x:c r="F86" s="38" t="str">
        <x:v>ใช้เพื่อป้องกันอาการเมารถ เมาเรือ</x:v>
      </x:c>
      <x:c r="G86" s="32" t="b">
        <x:v>0</x:v>
      </x:c>
      <x:c r="H86" s="37" t="str">
        <x:v>["https://drug.fda.moph.go.th/media.php?id=810072093092880384&amp;name=SMPC_Dimenhydrinate_Tablets.pdf","https://drug.fda.moph.go.th/media.php?id=733952637929660416&amp;name=PIL Dimenhydrinate(15032024).pdf"]</x:v>
      </x:c>
      <x:c r="I86" s="31" t="str">
        <x:v>draft</x:v>
      </x:c>
      <x:c r="J86"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87">
      <x:c r="A87" s="31" t="str">
        <x:v>diphenhydramine</x:v>
      </x:c>
      <x:c r="B87" s="31" t="str">
        <x:v>diphenhydramine</x:v>
      </x:c>
      <x:c r="C87" s="38" t="str">
        <x:v>ไดเฟนไฮดรามีน</x:v>
      </x:c>
      <x:c r="D87" s="39" t="str">
        <x:v>รอตรวจสอบ</x:v>
      </x:c>
      <x:c r="E87" s="39" t="str">
        <x:v>[]</x:v>
      </x:c>
      <x:c r="F87" s="38" t="str">
        <x:v>ใช้เพื่อรักษาอาการต่าง ๆ จากการแพ้ เช่น น้ามูกไหล คัดจมูก คันตา อาการแพ้ที่ผิวหนัง เช่น ลมพิษ • ใช้ป้องกันและบรรเทาอาการเมารถ คลื่นไส้ อาเจียน • ใช้เพื่อช่วยให้นอนหลับ</x:v>
      </x:c>
      <x:c r="G87" s="32" t="b">
        <x:v>0</x:v>
      </x:c>
      <x:c r="H87" s="37" t="str">
        <x:v>["https://drug.fda.moph.go.th/media.php?id=862918394234675200&amp;name=30. Diphenhydramine_tablet_PIL_Final.pdf"]</x:v>
      </x:c>
      <x:c r="I87" s="31" t="str">
        <x:v>draft</x:v>
      </x:c>
      <x:c r="J8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88">
      <x:c r="A88" s="31" t="str">
        <x:v>dipotassium</x:v>
      </x:c>
      <x:c r="B88" s="31" t="str">
        <x:v>Dipotassium phosphate</x:v>
      </x:c>
      <x:c r="C88" s="38" t="str">
        <x:v>รอตรวจสอบชื่อภาษาไทย</x:v>
      </x:c>
      <x:c r="D88" s="39" t="str">
        <x:v>รอตรวจสอบ</x:v>
      </x:c>
      <x:c r="E88" s="39" t="str">
        <x:v>[]</x:v>
      </x:c>
      <x:c r="F88" s="38" t="str">
        <x:v>ข้อมูลฉบับร่างจากเอกสารอ้างอิง อย. รอตรวจทานโดยผู้เชี่ยวชาญ</x:v>
      </x:c>
      <x:c r="G88" s="32" t="b">
        <x:v>0</x:v>
      </x:c>
      <x:c r="H88" s="37" t="str">
        <x:v>["https://drug.fda.moph.go.th/media.php?id=810072479354724352&amp;name=SMPC_Dipotassium phosphate_concentrate for solution for infusion.pdf"]</x:v>
      </x:c>
      <x:c r="I88" s="31" t="str">
        <x:v>draft</x:v>
      </x:c>
      <x:c r="J88" s="38" t="str">
        <x:v>Import batch thai_fda_20260718_v1: ต้องตรวจหมวดหมู่; ยังไม่กำหนดขนาดยาที่พบบ่อย; ต้องตรวจชื่อภาษาไทย; ห้ามเผยแพร่ก่อน Clinical review</x:v>
      </x:c>
    </x:row>
    <x:row r="89">
      <x:c r="A89" s="31" t="str">
        <x:v>disulfiram</x:v>
      </x:c>
      <x:c r="B89" s="31" t="str">
        <x:v>Disulfiram</x:v>
      </x:c>
      <x:c r="C89" s="38" t="str">
        <x:v>ไดซัลฟิ แรม</x:v>
      </x:c>
      <x:c r="D89" s="39" t="str">
        <x:v>รอตรวจสอบ</x:v>
      </x:c>
      <x:c r="E89" s="39" t="str">
        <x:v>[]</x:v>
      </x:c>
      <x:c r="F89" s="38" t="str">
        <x:v>ใช้เพื่อรักษาอาการติดสุราเรื้อรัง</x:v>
      </x:c>
      <x:c r="G89" s="32" t="b">
        <x:v>0</x:v>
      </x:c>
      <x:c r="H89" s="37" t="str">
        <x:v>["https://drug.fda.moph.go.th/media.php?id=810072772666597376&amp;name=SMPC_Disulfiram_Tablets.pdf","https://drug.fda.moph.go.th/media.php?id=862918386374549504&amp;name=42.Disulfiram_Tablets_PIL.pdf"]</x:v>
      </x:c>
      <x:c r="I89" s="31" t="str">
        <x:v>draft</x:v>
      </x:c>
      <x:c r="J8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90">
      <x:c r="A90" s="31" t="str">
        <x:v>dobutamine</x:v>
      </x:c>
      <x:c r="B90" s="31" t="str">
        <x:v>Dobutamine hydrochloride</x:v>
      </x:c>
      <x:c r="C90" s="38" t="str">
        <x:v>โดบูทามีนไฮโดรคลอดไรด์</x:v>
      </x:c>
      <x:c r="D90" s="39" t="str">
        <x:v>รอตรวจสอบ</x:v>
      </x:c>
      <x:c r="E90" s="39" t="str">
        <x:v>[]</x:v>
      </x:c>
      <x:c r="F90" s="38" t="str">
        <x:v>ข้อมูลฉบับร่างจากเอกสารอ้างอิง อย. รอตรวจทานโดยผู้เชี่ยวชาญ</x:v>
      </x:c>
      <x:c r="G90" s="32" t="b">
        <x:v>0</x:v>
      </x:c>
      <x:c r="H90" s="37" t="str">
        <x:v>["https://drug.fda.moph.go.th/media.php?id=904601732011663360&amp;name=2. Ref PIL_Dobutamine.pdf","https://drug.fda.moph.go.th/media.php?id=904966129582219264&amp;name=2. Ref SmPC_Dobutamine.pdf"]</x:v>
      </x:c>
      <x:c r="I90" s="31" t="str">
        <x:v>draft</x:v>
      </x:c>
      <x:c r="J90" s="38" t="str">
        <x:v>Import batch thai_fda_20260718_v1: ต้องตรวจหมวดหมู่; ยังไม่กำหนดขนาดยาที่พบบ่อย; ห้ามเผยแพร่ก่อน Clinical review</x:v>
      </x:c>
    </x:row>
    <x:row r="91">
      <x:c r="A91" s="31" t="str">
        <x:v>docusate</x:v>
      </x:c>
      <x:c r="B91" s="31" t="str">
        <x:v>Docusate sodium</x:v>
      </x:c>
      <x:c r="C91" s="38" t="str">
        <x:v>รอตรวจสอบชื่อภาษาไทย</x:v>
      </x:c>
      <x:c r="D91" s="39" t="str">
        <x:v>รอตรวจสอบ</x:v>
      </x:c>
      <x:c r="E91" s="39" t="str">
        <x:v>[]</x:v>
      </x:c>
      <x:c r="F91" s="38" t="str">
        <x:v>ข้อมูลฉบับร่างจากเอกสารอ้างอิง อย. รอตรวจทานโดยผู้เชี่ยวชาญ</x:v>
      </x:c>
      <x:c r="G91" s="32" t="b">
        <x:v>0</x:v>
      </x:c>
      <x:c r="H91" s="37" t="str">
        <x:v>["https://drug.fda.moph.go.th/media.php?id=810073111226621952&amp;name=SMPC_Docusate sodium_Oral solution.pdf"]</x:v>
      </x:c>
      <x:c r="I91" s="31" t="str">
        <x:v>draft</x:v>
      </x:c>
      <x:c r="J91" s="38" t="str">
        <x:v>Import batch thai_fda_20260718_v1: ต้องตรวจหมวดหมู่; ยังไม่กำหนดขนาดยาที่พบบ่อย; ต้องตรวจชื่อภาษาไทย; ห้ามเผยแพร่ก่อน Clinical review</x:v>
      </x:c>
    </x:row>
    <x:row r="92">
      <x:c r="A92" s="31" t="str">
        <x:v>domperidone</x:v>
      </x:c>
      <x:c r="B92" s="31" t="str">
        <x:v>Domperidone</x:v>
      </x:c>
      <x:c r="C92" s="38" t="str">
        <x:v>ดอม-เพอ-ริ-โดน</x:v>
      </x:c>
      <x:c r="D92" s="39" t="str">
        <x:v>รอตรวจสอบ</x:v>
      </x:c>
      <x:c r="E92" s="39" t="str">
        <x:v>[]</x:v>
      </x:c>
      <x:c r="F92" s="38" t="str">
        <x:v>● ใช้เพื่อรักษาอาการคลื่นไส้ อาเจียน</x:v>
      </x:c>
      <x:c r="G92" s="32" t="b">
        <x:v>0</x:v>
      </x:c>
      <x:c r="H92" s="37" t="str">
        <x:v>["https://drug.fda.moph.go.th/media.php?id=808539868891324416&amp;name=Domperidone_Suspension_PIL.pdf","https://drug.fda.moph.go.th/media.php?id=810073662739849216&amp;name=SMPC_Domperidone_oral suspension.pdf","https://drug.fda.moph.go.th/media.php?id=810074048620011520&amp;name=SMPC_Domperidone_Film-coated Tablets.pdf","https://drug.fda.moph.go.th/media.php?id=810074487256129536&amp;name=SMPC_Domperidone_Tablets.pdf"]</x:v>
      </x:c>
      <x:c r="I92" s="31" t="str">
        <x:v>draft</x:v>
      </x:c>
      <x:c r="J9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93">
      <x:c r="A93" s="31" t="str">
        <x:v>doxorubicin</x:v>
      </x:c>
      <x:c r="B93" s="31" t="str">
        <x:v>doxorubicin</x:v>
      </x:c>
      <x:c r="C93" s="38" t="str">
        <x:v>ด็อกโซรูบิซิน</x:v>
      </x:c>
      <x:c r="D93" s="39" t="str">
        <x:v>รอตรวจสอบ</x:v>
      </x:c>
      <x:c r="E93" s="39" t="str">
        <x:v>[]</x:v>
      </x:c>
      <x:c r="F93" s="38" t="str">
        <x:v>ใช้รักษาโรคมะเร็งต่าง ๆ เช่น มะเร็งปอด มะเร็งเต้านม มะเร็งเม็ดเลือดขาว มะเร็งต่อมน้าเหลือง โดยแพทย์ วินิจฉัยแล้วว่าจ าเป็ นต้องใช้ยานี้</x:v>
      </x:c>
      <x:c r="G93" s="32" t="b">
        <x:v>0</x:v>
      </x:c>
      <x:c r="H93" s="37" t="str">
        <x:v>["https://drug.fda.moph.go.th/media.php?id=862918390954729472&amp;name=13.Doxorubicin  HCl_inj_PIL_final.pdf"]</x:v>
      </x:c>
      <x:c r="I93" s="31" t="str">
        <x:v>draft</x:v>
      </x:c>
      <x:c r="J9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94">
      <x:c r="A94" s="31" t="str">
        <x:v>doxycycline_hyclate</x:v>
      </x:c>
      <x:c r="B94" s="31" t="str">
        <x:v>Doxycycline hyclate</x:v>
      </x:c>
      <x:c r="C94" s="38" t="str">
        <x:v>ด็อก-ซี-ไซ-คลิน-ไฮ-เคลต</x:v>
      </x:c>
      <x:c r="D94" s="39" t="str">
        <x:v>รอตรวจสอบ</x:v>
      </x:c>
      <x:c r="E94" s="39" t="str">
        <x:v>[]</x:v>
      </x:c>
      <x:c r="F94" s="38" t="str">
        <x:v>ใช้เพื่อรักษาการติดเชื้อแบคทีเรีย ที่ได้ รับการวินิจฉัยว่า ต้องใช้ยานี้</x:v>
      </x:c>
      <x:c r="G94" s="32" t="b">
        <x:v>0</x:v>
      </x:c>
      <x:c r="H94" s="37" t="str">
        <x:v>["https://drug.fda.moph.go.th/media.php?id=725943662810374144&amp;name=pil_Doxycycline hyclate (CAPSULE, HARD - TABLET - ENTERIC COATED TABLET).pdf","https://drug.fda.moph.go.th/media.php?id=810074802814590976&amp;name=SMPC_Doxycycline_Tablet.pdf"]</x:v>
      </x:c>
      <x:c r="I94" s="31" t="str">
        <x:v>draft</x:v>
      </x:c>
      <x:c r="J9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95">
      <x:c r="A95" s="31" t="str">
        <x:v>econazole</x:v>
      </x:c>
      <x:c r="B95" s="31" t="str">
        <x:v>Econazole</x:v>
      </x:c>
      <x:c r="C95" s="38" t="str">
        <x:v>รอตรวจสอบชื่อภาษาไทย</x:v>
      </x:c>
      <x:c r="D95" s="39" t="str">
        <x:v>รอตรวจสอบ</x:v>
      </x:c>
      <x:c r="E95" s="39" t="str">
        <x:v>[]</x:v>
      </x:c>
      <x:c r="F95" s="38" t="str">
        <x:v>ข้อมูลฉบับร่างจากเอกสารอ้างอิง อย. รอตรวจทานโดยผู้เชี่ยวชาญ</x:v>
      </x:c>
      <x:c r="G95" s="32" t="b">
        <x:v>0</x:v>
      </x:c>
      <x:c r="H95" s="37" t="str">
        <x:v>["https://drug.fda.moph.go.th/media.php?id=810075199797075968&amp;name=SMPC_Econazole_Cream.pdf","https://drug.fda.moph.go.th/media.php?id=810075506014822400&amp;name=SMPC_Econazole_Vaginal cream.pdf"]</x:v>
      </x:c>
      <x:c r="I95" s="31" t="str">
        <x:v>draft</x:v>
      </x:c>
      <x:c r="J95" s="38" t="str">
        <x:v>Import batch thai_fda_20260718_v1: ต้องตรวจหมวดหมู่; ยังไม่กำหนดขนาดยาที่พบบ่อย; ต้องตรวจชื่อภาษาไทย; ห้ามเผยแพร่ก่อน Clinical review</x:v>
      </x:c>
    </x:row>
    <x:row r="96">
      <x:c r="A96" s="31" t="str">
        <x:v>enalapril</x:v>
      </x:c>
      <x:c r="B96" s="31" t="str">
        <x:v>Enalapril maleate</x:v>
      </x:c>
      <x:c r="C96" s="38" t="str">
        <x:v>รอตรวจสอบชื่อภาษาไทย</x:v>
      </x:c>
      <x:c r="D96" s="39" t="str">
        <x:v>รอตรวจสอบ</x:v>
      </x:c>
      <x:c r="E96" s="39" t="str">
        <x:v>[]</x:v>
      </x:c>
      <x:c r="F96" s="38" t="str">
        <x:v>ข้อมูลฉบับร่างจากเอกสารอ้างอิง อย. รอตรวจทานโดยผู้เชี่ยวชาญ</x:v>
      </x:c>
      <x:c r="G96" s="32" t="b">
        <x:v>0</x:v>
      </x:c>
      <x:c r="H96" s="37" t="str">
        <x:v>["https://drug.fda.moph.go.th/media.php?id=810075899746721792&amp;name=SMPC_Enalapril_Tablets.pdf"]</x:v>
      </x:c>
      <x:c r="I96" s="31" t="str">
        <x:v>draft</x:v>
      </x:c>
      <x:c r="J96" s="38" t="str">
        <x:v>Import batch thai_fda_20260718_v1: ต้องตรวจหมวดหมู่; ยังไม่กำหนดขนาดยาที่พบบ่อย; ต้องตรวจชื่อภาษาไทย; ห้ามเผยแพร่ก่อน Clinical review</x:v>
      </x:c>
    </x:row>
    <x:row r="97">
      <x:c r="A97" s="31" t="str">
        <x:v>ergocalciferol</x:v>
      </x:c>
      <x:c r="B97" s="31" t="str">
        <x:v>Ergocalciferol</x:v>
      </x:c>
      <x:c r="C97" s="38" t="str">
        <x:v>เออร์-โก-แคล-ซิ-เฟอ-รอล</x:v>
      </x:c>
      <x:c r="D97" s="39" t="str">
        <x:v>รอตรวจสอบ</x:v>
      </x:c>
      <x:c r="E97" s="39" t="str">
        <x:v>[]</x:v>
      </x:c>
      <x:c r="F97" s="38" t="str">
        <x:v>ใช้เพื่อรักษาภาวะร่างกายขาดวิตามินดี • ใช้ร่วมกับแคลเซียม เพื่อรักษาภาวะฮอร์โมนพารา ไทรอยด์ต่า</x:v>
      </x:c>
      <x:c r="G97" s="32" t="b">
        <x:v>0</x:v>
      </x:c>
      <x:c r="H97" s="37" t="str">
        <x:v>["https://drug.fda.moph.go.th/media.php?id=725943692476686336&amp;name=pil_Ergocalciferol (CAPSULE, HARD).pdf"]</x:v>
      </x:c>
      <x:c r="I97" s="31" t="str">
        <x:v>draft</x:v>
      </x:c>
      <x:c r="J9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98">
      <x:c r="A98" s="31" t="str">
        <x:v>erythromycin</x:v>
      </x:c>
      <x:c r="B98" s="31" t="str">
        <x:v>Erythromycin</x:v>
      </x:c>
      <x:c r="C98" s="38" t="str">
        <x:v>รอตรวจสอบชื่อภาษาไทย</x:v>
      </x:c>
      <x:c r="D98" s="39" t="str">
        <x:v>รอตรวจสอบ</x:v>
      </x:c>
      <x:c r="E98" s="39" t="str">
        <x:v>[]</x:v>
      </x:c>
      <x:c r="F98" s="38" t="str">
        <x:v>● ใช้รักษาการติดเชื้อแบคทีเรียที่ไวต่อยานี้</x:v>
      </x:c>
      <x:c r="G98" s="32" t="b">
        <x:v>0</x:v>
      </x:c>
      <x:c r="H98" s="37" t="str">
        <x:v>["https://drug.fda.moph.go.th/media.php?id=808540497957232640&amp;name=Erythromycin_capsulehard_PIL.pdf","https://drug.fda.moph.go.th/media.php?id=808540764433948672&amp;name=Erythromycin_drysyrupSuspension_PIL.pdf","https://drug.fda.moph.go.th/media.php?id=810076416409477120&amp;name=SMPC_Erythromycin_Gastro-resistant tablets.pdf","https://drug.fda.moph.go.th/media.php?id=810076760694726656&amp;name=SMPC_Erythromycin_film-coated tablets.pdf"]</x:v>
      </x:c>
      <x:c r="I98" s="31" t="str">
        <x:v>draft</x:v>
      </x:c>
      <x:c r="J98"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99">
      <x:c r="A99" s="31" t="str">
        <x:v>estradiol</x:v>
      </x:c>
      <x:c r="B99" s="31" t="str">
        <x:v>Estradiol</x:v>
      </x:c>
      <x:c r="C99" s="38" t="str">
        <x:v>รอตรวจสอบชื่อภาษาไทย</x:v>
      </x:c>
      <x:c r="D99" s="39" t="str">
        <x:v>รอตรวจสอบ</x:v>
      </x:c>
      <x:c r="E99" s="39" t="str">
        <x:v>[]</x:v>
      </x:c>
      <x:c r="F99" s="38" t="str">
        <x:v>ข้อมูลฉบับร่างจากเอกสารอ้างอิง อย. รอตรวจทานโดยผู้เชี่ยวชาญ</x:v>
      </x:c>
      <x:c r="G99" s="32" t="b">
        <x:v>0</x:v>
      </x:c>
      <x:c r="H99" s="37" t="str">
        <x:v>["https://drug.fda.moph.go.th/media.php?id=810077151993929728&amp;name=SMPC_Estradiol_Tablets.pdf"]</x:v>
      </x:c>
      <x:c r="I99" s="31" t="str">
        <x:v>draft</x:v>
      </x:c>
      <x:c r="J99" s="38" t="str">
        <x:v>Import batch thai_fda_20260718_v1: ต้องตรวจหมวดหมู่; ยังไม่กำหนดขนาดยาที่พบบ่อย; ต้องตรวจชื่อภาษาไทย; ห้ามเผยแพร่ก่อน Clinical review</x:v>
      </x:c>
    </x:row>
    <x:row r="100">
      <x:c r="A100" s="31" t="str">
        <x:v>ethinylestradiol_chlormadinone</x:v>
      </x:c>
      <x:c r="B100" s="31" t="str">
        <x:v>Ethinylestradiol + Chlormadinone</x:v>
      </x:c>
      <x:c r="C100" s="38" t="str">
        <x:v>รอตรวจสอบชื่อภาษาไทย</x:v>
      </x:c>
      <x:c r="D100" s="39" t="str">
        <x:v>รอตรวจสอบ</x:v>
      </x:c>
      <x:c r="E100" s="39" t="str">
        <x:v>[]</x:v>
      </x:c>
      <x:c r="F100" s="38" t="str">
        <x:v>ข้อมูลฉบับร่างจากเอกสารอ้างอิง อย. รอตรวจทานโดยผู้เชี่ยวชาญ</x:v>
      </x:c>
      <x:c r="G100" s="32" t="b">
        <x:v>0</x:v>
      </x:c>
      <x:c r="H100" s="37" t="str">
        <x:v>["https://drug.fda.moph.go.th/media.php?id=725941136048398336&amp;name=pil_Ethinylestradiol + Chlormadinone (TABLET).pdf"]</x:v>
      </x:c>
      <x:c r="I100" s="31" t="str">
        <x:v>draft</x:v>
      </x:c>
      <x:c r="J100" s="38" t="str">
        <x:v>Import batch thai_fda_20260718_v1: ต้องตรวจหมวดหมู่; ยังไม่กำหนดขนาดยาที่พบบ่อย; ต้องตรวจชื่อภาษาไทย; ห้ามเผยแพร่ก่อน Clinical review</x:v>
      </x:c>
    </x:row>
    <x:row r="101">
      <x:c r="A101" s="31" t="str">
        <x:v>ethinylestradiol_cyproterone</x:v>
      </x:c>
      <x:c r="B101" s="31" t="str">
        <x:v>Ethinylestradiol + Cyproterone</x:v>
      </x:c>
      <x:c r="C101" s="38" t="str">
        <x:v>รอตรวจสอบชื่อภาษาไทย</x:v>
      </x:c>
      <x:c r="D101" s="39" t="str">
        <x:v>รอตรวจสอบ</x:v>
      </x:c>
      <x:c r="E101" s="39" t="str">
        <x:v>[]</x:v>
      </x:c>
      <x:c r="F101" s="38" t="str">
        <x:v>ข้อมูลฉบับร่างจากเอกสารอ้างอิง อย. รอตรวจทานโดยผู้เชี่ยวชาญ</x:v>
      </x:c>
      <x:c r="G101" s="32" t="b">
        <x:v>0</x:v>
      </x:c>
      <x:c r="H101" s="37" t="str">
        <x:v>["https://drug.fda.moph.go.th/media.php?id=725940717846929408&amp;name=pil_Ethinylestradiol + Cyproterone (TABLET).pdf"]</x:v>
      </x:c>
      <x:c r="I101" s="31" t="str">
        <x:v>draft</x:v>
      </x:c>
      <x:c r="J101" s="38" t="str">
        <x:v>Import batch thai_fda_20260718_v1: ต้องตรวจหมวดหมู่; ยังไม่กำหนดขนาดยาที่พบบ่อย; ต้องตรวจชื่อภาษาไทย; ห้ามเผยแพร่ก่อน Clinical review</x:v>
      </x:c>
    </x:row>
    <x:row r="102">
      <x:c r="A102" s="31" t="str">
        <x:v>ethinylestradiol_d_norgestrel</x:v>
      </x:c>
      <x:c r="B102" s="31" t="str">
        <x:v>Ethinylestradiol + D-Norgestrel</x:v>
      </x:c>
      <x:c r="C102" s="38" t="str">
        <x:v>รอตรวจสอบชื่อภาษาไทย</x:v>
      </x:c>
      <x:c r="D102" s="39" t="str">
        <x:v>รอตรวจสอบ</x:v>
      </x:c>
      <x:c r="E102" s="39" t="str">
        <x:v>[]</x:v>
      </x:c>
      <x:c r="F102" s="38" t="str">
        <x:v>ข้อมูลฉบับร่างจากเอกสารอ้างอิง อย. รอตรวจทานโดยผู้เชี่ยวชาญ</x:v>
      </x:c>
      <x:c r="G102" s="32" t="b">
        <x:v>0</x:v>
      </x:c>
      <x:c r="H102" s="37" t="str">
        <x:v>["https://drug.fda.moph.go.th/media.php?id=725940972185329664&amp;name=pil_Ethinylestradiol + D-Norgestrel (TABLET).pdf"]</x:v>
      </x:c>
      <x:c r="I102" s="31" t="str">
        <x:v>draft</x:v>
      </x:c>
      <x:c r="J102" s="38" t="str">
        <x:v>Import batch thai_fda_20260718_v1: ต้องตรวจหมวดหมู่; ยังไม่กำหนดขนาดยาที่พบบ่อย; ต้องตรวจชื่อภาษาไทย; ห้ามเผยแพร่ก่อน Clinical review</x:v>
      </x:c>
    </x:row>
    <x:row r="103">
      <x:c r="A103" s="31" t="str">
        <x:v>ethinylestradiol_desogestrel</x:v>
      </x:c>
      <x:c r="B103" s="31" t="str">
        <x:v>Ethinylestradiol + Desogestrel</x:v>
      </x:c>
      <x:c r="C103" s="38" t="str">
        <x:v>รอตรวจสอบชื่อภาษาไทย</x:v>
      </x:c>
      <x:c r="D103" s="39" t="str">
        <x:v>รอตรวจสอบ</x:v>
      </x:c>
      <x:c r="E103" s="39" t="str">
        <x:v>[]</x:v>
      </x:c>
      <x:c r="F103" s="38" t="str">
        <x:v>ข้อมูลฉบับร่างจากเอกสารอ้างอิง อย. รอตรวจทานโดยผู้เชี่ยวชาญ</x:v>
      </x:c>
      <x:c r="G103" s="32" t="b">
        <x:v>0</x:v>
      </x:c>
      <x:c r="H103" s="37" t="str">
        <x:v>["https://drug.fda.moph.go.th/media.php?id=725941454819696640&amp;name=pil_Ethinylestradiol + Desogestrel (TABLET).pdf"]</x:v>
      </x:c>
      <x:c r="I103" s="31" t="str">
        <x:v>draft</x:v>
      </x:c>
      <x:c r="J103" s="38" t="str">
        <x:v>Import batch thai_fda_20260718_v1: ต้องตรวจหมวดหมู่; ยังไม่กำหนดขนาดยาที่พบบ่อย; ต้องตรวจชื่อภาษาไทย; ห้ามเผยแพร่ก่อน Clinical review</x:v>
      </x:c>
    </x:row>
    <x:row r="104">
      <x:c r="A104" s="31" t="str">
        <x:v>ethinylestradiol_drospirenone</x:v>
      </x:c>
      <x:c r="B104" s="31" t="str">
        <x:v>Ethinylestradiol + Drospirenone</x:v>
      </x:c>
      <x:c r="C104" s="38" t="str">
        <x:v>รอตรวจสอบชื่อภาษาไทย</x:v>
      </x:c>
      <x:c r="D104" s="39" t="str">
        <x:v>รอตรวจสอบ</x:v>
      </x:c>
      <x:c r="E104" s="39" t="str">
        <x:v>[]</x:v>
      </x:c>
      <x:c r="F104" s="38" t="str">
        <x:v>ข้อมูลฉบับร่างจากเอกสารอ้างอิง อย. รอตรวจทานโดยผู้เชี่ยวชาญ</x:v>
      </x:c>
      <x:c r="G104" s="32" t="b">
        <x:v>0</x:v>
      </x:c>
      <x:c r="H104" s="37" t="str">
        <x:v>["https://drug.fda.moph.go.th/media.php?id=725941258706624512&amp;name=pil_Ethinylestradiol + Drospirenone (TABLET).pdf"]</x:v>
      </x:c>
      <x:c r="I104" s="31" t="str">
        <x:v>draft</x:v>
      </x:c>
      <x:c r="J104" s="38" t="str">
        <x:v>Import batch thai_fda_20260718_v1: ต้องตรวจหมวดหมู่; ยังไม่กำหนดขนาดยาที่พบบ่อย; ต้องตรวจชื่อภาษาไทย; ห้ามเผยแพร่ก่อน Clinical review</x:v>
      </x:c>
    </x:row>
    <x:row r="105">
      <x:c r="A105" s="31" t="str">
        <x:v>ethinylestradiol_gestodene</x:v>
      </x:c>
      <x:c r="B105" s="31" t="str">
        <x:v>Ethinylestradiol + Gestodene</x:v>
      </x:c>
      <x:c r="C105" s="38" t="str">
        <x:v>รอตรวจสอบชื่อภาษาไทย</x:v>
      </x:c>
      <x:c r="D105" s="39" t="str">
        <x:v>รอตรวจสอบ</x:v>
      </x:c>
      <x:c r="E105" s="39" t="str">
        <x:v>[]</x:v>
      </x:c>
      <x:c r="F105" s="38" t="str">
        <x:v>ข้อมูลฉบับร่างจากเอกสารอ้างอิง อย. รอตรวจทานโดยผู้เชี่ยวชาญ</x:v>
      </x:c>
      <x:c r="G105" s="32" t="b">
        <x:v>0</x:v>
      </x:c>
      <x:c r="H105" s="37" t="str">
        <x:v>["https://drug.fda.moph.go.th/media.php?id=725940579837550592&amp;name=pil_Ethinylestradiol + Gestodene (TABLET).pdf"]</x:v>
      </x:c>
      <x:c r="I105" s="31" t="str">
        <x:v>draft</x:v>
      </x:c>
      <x:c r="J105" s="38" t="str">
        <x:v>Import batch thai_fda_20260718_v1: ต้องตรวจหมวดหมู่; ยังไม่กำหนดขนาดยาที่พบบ่อย; ต้องตรวจชื่อภาษาไทย; ห้ามเผยแพร่ก่อน Clinical review</x:v>
      </x:c>
    </x:row>
    <x:row r="106">
      <x:c r="A106" s="31" t="str">
        <x:v>ethinylestradiol_levonorgestrel</x:v>
      </x:c>
      <x:c r="B106" s="31" t="str">
        <x:v>Ethinylestradiol + Levonorgestrel</x:v>
      </x:c>
      <x:c r="C106" s="38" t="str">
        <x:v>รอตรวจสอบชื่อภาษาไทย</x:v>
      </x:c>
      <x:c r="D106" s="39" t="str">
        <x:v>รอตรวจสอบ</x:v>
      </x:c>
      <x:c r="E106" s="39" t="str">
        <x:v>[]</x:v>
      </x:c>
      <x:c r="F106" s="38" t="str">
        <x:v>ข้อมูลฉบับร่างจากเอกสารอ้างอิง อย. รอตรวจทานโดยผู้เชี่ยวชาญ</x:v>
      </x:c>
      <x:c r="G106" s="32" t="b">
        <x:v>0</x:v>
      </x:c>
      <x:c r="H106" s="37" t="str">
        <x:v>["https://drug.fda.moph.go.th/media.php?id=725940848201703424&amp;name=pil_Ethinylestradiol + Levonorgestrel (TABLET).pdf"]</x:v>
      </x:c>
      <x:c r="I106" s="31" t="str">
        <x:v>draft</x:v>
      </x:c>
      <x:c r="J106" s="38" t="str">
        <x:v>Import batch thai_fda_20260718_v1: ต้องตรวจหมวดหมู่; ยังไม่กำหนดขนาดยาที่พบบ่อย; ต้องตรวจชื่อภาษาไทย; ห้ามเผยแพร่ก่อน Clinical review</x:v>
      </x:c>
    </x:row>
    <x:row r="107">
      <x:c r="A107" s="31" t="str">
        <x:v>ethyl_alcohol</x:v>
      </x:c>
      <x:c r="B107" s="31" t="str">
        <x:v>Ethyl alcohol</x:v>
      </x:c>
      <x:c r="C107" s="38" t="str">
        <x:v>ยาเอทิลแอลกอฮอล์ ชนิดนํ้า</x:v>
      </x:c>
      <x:c r="D107" s="39" t="str">
        <x:v>รอตรวจสอบ</x:v>
      </x:c>
      <x:c r="E107" s="39" t="str">
        <x:v>[]</x:v>
      </x:c>
      <x:c r="F107" s="38" t="str">
        <x:v>ใช้ทําความสะอาดบาดแผล</x:v>
      </x:c>
      <x:c r="G107" s="32" t="b">
        <x:v>0</x:v>
      </x:c>
      <x:c r="H107" s="37" t="str">
        <x:v>["https://drug.fda.moph.go.th/media.php?id=733927459329810432&amp;name=PIL _ethyl alcohol_ยาเอทิล แอลกอฮอล์ (15032024).pdf"]</x:v>
      </x:c>
      <x:c r="I107" s="31" t="str">
        <x:v>draft</x:v>
      </x:c>
      <x:c r="J10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08">
      <x:c r="A108" s="31" t="str">
        <x:v>ethyl_ester_of_iodinated_fatty_acids_of_poppy_seed_oil</x:v>
      </x:c>
      <x:c r="B108" s="31" t="str">
        <x:v>Ethyl Ester of Iodinated Fatty Acids of Poppy Seed Oil</x:v>
      </x:c>
      <x:c r="C108" s="38" t="str">
        <x:v>รอตรวจสอบชื่อภาษาไทย</x:v>
      </x:c>
      <x:c r="D108" s="39" t="str">
        <x:v>รอตรวจสอบ</x:v>
      </x:c>
      <x:c r="E108" s="39" t="str">
        <x:v>[]</x:v>
      </x:c>
      <x:c r="F108" s="38" t="str">
        <x:v>ข้อมูลฉบับร่างจากเอกสารอ้างอิง อย. รอตรวจทานโดยผู้เชี่ยวชาญ</x:v>
      </x:c>
      <x:c r="G108" s="32" t="b">
        <x:v>0</x:v>
      </x:c>
      <x:c r="H108" s="37" t="str">
        <x:v>["https://drug.fda.moph.go.th/media.php?id=810077645797728256&amp;name=SMPC_Ethyl Ester of Iodinated Fatty Acids of Poppy Seed Oil_Solution for Injection.pdf"]</x:v>
      </x:c>
      <x:c r="I108" s="31" t="str">
        <x:v>draft</x:v>
      </x:c>
      <x:c r="J108" s="38" t="str">
        <x:v>Import batch thai_fda_20260718_v1: ต้องตรวจหมวดหมู่; ยังไม่กำหนดขนาดยาที่พบบ่อย; ต้องตรวจชื่อภาษาไทย; ห้ามเผยแพร่ก่อน Clinical review</x:v>
      </x:c>
    </x:row>
    <x:row r="109">
      <x:c r="A109" s="31" t="str">
        <x:v>etoricoxib</x:v>
      </x:c>
      <x:c r="B109" s="31" t="str">
        <x:v>Etoricoxib</x:v>
      </x:c>
      <x:c r="C109" s="38" t="str">
        <x:v>เอ-ทอ-ริ-คอก-สิบ</x:v>
      </x:c>
      <x:c r="D109" s="39" t="str">
        <x:v>รอตรวจสอบ</x:v>
      </x:c>
      <x:c r="E109" s="39" t="str">
        <x:v>[]</x:v>
      </x:c>
      <x:c r="F109" s="38" t="str">
        <x:v>ใช้บรรเทาอาการปวดหรือลดการอักเสบ ที่เกิดขึ้นจาก โรคหรืออาการต่อไปนี้ เช่น o โรคข้ ออักเสบรูมาตอยด์ โรคข้อเสื่อม และ โรคเกาต์ o อาการปวดช่วงมีประจ าเดือน o อาการปวดที่เกิดจากการผ่าตัดช่องปากหรือท าฟัน</x:v>
      </x:c>
      <x:c r="G109" s="32" t="b">
        <x:v>0</x:v>
      </x:c>
      <x:c r="H109" s="37" t="str">
        <x:v>["https://drug.fda.moph.go.th/media.php?id=808541933805903872&amp;name=Etoricoxib_film-coated tablet_PIL.pdf"]</x:v>
      </x:c>
      <x:c r="I109" s="31" t="str">
        <x:v>draft</x:v>
      </x:c>
      <x:c r="J10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10">
      <x:c r="A110" s="31" t="str">
        <x:v>eucalyptus_oil</x:v>
      </x:c>
      <x:c r="B110" s="31" t="str">
        <x:v>Eucalyptus oil</x:v>
      </x:c>
      <x:c r="C110" s="38" t="str">
        <x:v>รอตรวจสอบชื่อภาษาไทย</x:v>
      </x:c>
      <x:c r="D110" s="39" t="str">
        <x:v>รอตรวจสอบ</x:v>
      </x:c>
      <x:c r="E110" s="39" t="str">
        <x:v>[]</x:v>
      </x:c>
      <x:c r="F110" s="38" t="str">
        <x:v>ข้อมูลฉบับร่างจากเอกสารอ้างอิง อย. รอตรวจทานโดยผู้เชี่ยวชาญ</x:v>
      </x:c>
      <x:c r="G110" s="32" t="b">
        <x:v>0</x:v>
      </x:c>
      <x:c r="H110" s="37" t="str">
        <x:v>["https://drug.fda.moph.go.th/media.php?id=810078101643075584&amp;name=SMPC_Eucalyptus oil_essential oil.pdf"]</x:v>
      </x:c>
      <x:c r="I110" s="31" t="str">
        <x:v>draft</x:v>
      </x:c>
      <x:c r="J110" s="38" t="str">
        <x:v>Import batch thai_fda_20260718_v1: ต้องตรวจหมวดหมู่; ยังไม่กำหนดขนาดยาที่พบบ่อย; ต้องตรวจชื่อภาษาไทย; ห้ามเผยแพร่ก่อน Clinical review</x:v>
      </x:c>
    </x:row>
    <x:row r="111">
      <x:c r="A111" s="31" t="str">
        <x:v>famotidine</x:v>
      </x:c>
      <x:c r="B111" s="31" t="str">
        <x:v>Famotidine</x:v>
      </x:c>
      <x:c r="C111" s="38" t="str">
        <x:v>ฟาโมทิดีน</x:v>
      </x:c>
      <x:c r="D111" s="39" t="str">
        <x:v>รอตรวจสอบ</x:v>
      </x:c>
      <x:c r="E111" s="39" t="str">
        <x:v>[]</x:v>
      </x:c>
      <x:c r="F111" s="38" t="str">
        <x:v>รักษาแผลในกระเพาะอาหาร/ล าไส้เล็กส่วนต้น • รักษาโรคกรดไหลย้ อนที่อาการเล็กน้ อยถึงปานกลาง • รักษาภาวะที่กระเพาะอาหารสร้ างกรดจ านวนมากกว่า ปกติ (กลุ่มอาการโซลลิงเจอร์-เอลลิสัน)</x:v>
      </x:c>
      <x:c r="G111" s="32" t="b">
        <x:v>0</x:v>
      </x:c>
      <x:c r="H111" s="37" t="str">
        <x:v>["https://drug.fda.moph.go.th/media.php?id=730344683175288832&amp;name=pil_Famotidine (Tablet 20 mg, 40 mg).pdf"]</x:v>
      </x:c>
      <x:c r="I111" s="31" t="str">
        <x:v>draft</x:v>
      </x:c>
      <x:c r="J111"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12">
      <x:c r="A112" s="31" t="str">
        <x:v>felodipine</x:v>
      </x:c>
      <x:c r="B112" s="31" t="str">
        <x:v>Felodipine</x:v>
      </x:c>
      <x:c r="C112" s="38" t="str">
        <x:v>รอตรวจสอบชื่อภาษาไทย</x:v>
      </x:c>
      <x:c r="D112" s="39" t="str">
        <x:v>รอตรวจสอบ</x:v>
      </x:c>
      <x:c r="E112" s="39" t="str">
        <x:v>[]</x:v>
      </x:c>
      <x:c r="F112" s="38" t="str">
        <x:v>ข้อมูลฉบับร่างจากเอกสารอ้างอิง อย. รอตรวจทานโดยผู้เชี่ยวชาญ</x:v>
      </x:c>
      <x:c r="G112" s="32" t="b">
        <x:v>0</x:v>
      </x:c>
      <x:c r="H112" s="37" t="str">
        <x:v>["https://drug.fda.moph.go.th/media.php?id=810078823658954752&amp;name=SMPC_Felodipine_prolonged release tablets.pdf"]</x:v>
      </x:c>
      <x:c r="I112" s="31" t="str">
        <x:v>draft</x:v>
      </x:c>
      <x:c r="J112" s="38" t="str">
        <x:v>Import batch thai_fda_20260718_v1: ต้องตรวจหมวดหมู่; ยังไม่กำหนดขนาดยาที่พบบ่อย; ต้องตรวจชื่อภาษาไทย; ห้ามเผยแพร่ก่อน Clinical review</x:v>
      </x:c>
    </x:row>
    <x:row r="113">
      <x:c r="A113" s="31" t="str">
        <x:v>fenofibrate</x:v>
      </x:c>
      <x:c r="B113" s="31" t="str">
        <x:v>Fenofibrate</x:v>
      </x:c>
      <x:c r="C113" s="38" t="str">
        <x:v>เฟ-โน-ไฟ-เบรต</x:v>
      </x:c>
      <x:c r="D113" s="39" t="str">
        <x:v>รอตรวจสอบ</x:v>
      </x:c>
      <x:c r="E113" s="39" t="str">
        <x:v>[]</x:v>
      </x:c>
      <x:c r="F113" s="38" t="str">
        <x:v>ใช้เพื่อรักษาภาวะไขมันชนิดไตรกลีเซอไรด์ในเลือดสูง</x:v>
      </x:c>
      <x:c r="G113" s="32" t="b">
        <x:v>0</x:v>
      </x:c>
      <x:c r="H113" s="37" t="str">
        <x:v>["https://drug.fda.moph.go.th/media.php?id=808542706069544960&amp;name=Fenofibrate_capsule, tablet_PIL.pdf"]</x:v>
      </x:c>
      <x:c r="I113" s="31" t="str">
        <x:v>draft</x:v>
      </x:c>
      <x:c r="J11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14">
      <x:c r="A114" s="31" t="str">
        <x:v>ferrous</x:v>
      </x:c>
      <x:c r="B114" s="31" t="str">
        <x:v>Ferrous fumarate</x:v>
      </x:c>
      <x:c r="C114" s="38" t="str">
        <x:v>รอตรวจสอบชื่อภาษาไทย</x:v>
      </x:c>
      <x:c r="D114" s="39" t="str">
        <x:v>รอตรวจสอบ</x:v>
      </x:c>
      <x:c r="E114" s="39" t="str">
        <x:v>[]</x:v>
      </x:c>
      <x:c r="F114" s="38" t="str">
        <x:v>ใช้รักษาโรคโลหิตจางที่เกิดจากการขาดธาตุเหล็กใน ผู้ใ หญ่</x:v>
      </x:c>
      <x:c r="G114" s="32" t="b">
        <x:v>0</x:v>
      </x:c>
      <x:c r="H114" s="37" t="str">
        <x:v>["https://drug.fda.moph.go.th/media.php?id=810079316368039936&amp;name=SMPC_Ferrous fumarate_Tablets.pdf","https://drug.fda.moph.go.th/media.php?id=810079681742249984&amp;name=SMPC_Ferrous fumarate_ syrup.pdf","https://drug.fda.moph.go.th/media.php?id=810081060158316544&amp;name=SMPC_Ferrous sulfate_film-coated tablets.pdf","https://drug.fda.moph.go.th/media.php?id=733948183713030144&amp;name=PIL ยาเม็ดบำรุงโลหิต Ferrous sulfate (15032024).pdf"]</x:v>
      </x:c>
      <x:c r="I114" s="31" t="str">
        <x:v>draft</x:v>
      </x:c>
      <x:c r="J114"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115">
      <x:c r="A115" s="31" t="str">
        <x:v>flavoxate</x:v>
      </x:c>
      <x:c r="B115" s="31" t="str">
        <x:v>Flavoxate hydrochloride</x:v>
      </x:c>
      <x:c r="C115" s="38" t="str">
        <x:v>ฟลาว็อกเซตไฮโดรคลอไรด์</x:v>
      </x:c>
      <x:c r="D115" s="39" t="str">
        <x:v>รอตรวจสอบ</x:v>
      </x:c>
      <x:c r="E115" s="39" t="str">
        <x:v>[]</x:v>
      </x:c>
      <x:c r="F115" s="38" t="str">
        <x:v>● ใช้เพื่อบรรเทาอาการปัสสาวะล าบาก, ปวดปัสสาวะแบบกลั้นไม่อยู่, ปัสสาวะบ่อยตอนกลางคืน, ปวดเหนือบริเวณหัวหน่าว</x:v>
      </x:c>
      <x:c r="G115" s="32" t="b">
        <x:v>0</x:v>
      </x:c>
      <x:c r="H115" s="37" t="str">
        <x:v>["https://drug.fda.moph.go.th/media.php?id=904601734129786880&amp;name=11. ref PIL_Flavoxate.pdf","https://drug.fda.moph.go.th/media.php?id=904966129817100288&amp;name=11. Ref SmPC_Flavoxate.pdf"]</x:v>
      </x:c>
      <x:c r="I115" s="31" t="str">
        <x:v>draft</x:v>
      </x:c>
      <x:c r="J11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16">
      <x:c r="A116" s="31" t="str">
        <x:v>fluocinolone_acetonide</x:v>
      </x:c>
      <x:c r="B116" s="31" t="str">
        <x:v>Fluocinolone acetonide</x:v>
      </x:c>
      <x:c r="C116" s="38" t="str">
        <x:v>รอตรวจสอบชื่อภาษาไทย</x:v>
      </x:c>
      <x:c r="D116" s="39" t="str">
        <x:v>รอตรวจสอบ</x:v>
      </x:c>
      <x:c r="E116" s="39" t="str">
        <x:v>[]</x:v>
      </x:c>
      <x:c r="F116" s="38" t="str">
        <x:v>ข้อมูลฉบับร่างจากเอกสารอ้างอิง อย. รอตรวจทานโดยผู้เชี่ยวชาญ</x:v>
      </x:c>
      <x:c r="G116" s="32" t="b">
        <x:v>0</x:v>
      </x:c>
      <x:c r="H116" s="37" t="str">
        <x:v>["https://drug.fda.moph.go.th/media.php?id=810172555817263104&amp;name=SMPC_Fluocinolone acetonide_cream.pdf"]</x:v>
      </x:c>
      <x:c r="I116" s="31" t="str">
        <x:v>draft</x:v>
      </x:c>
      <x:c r="J116" s="38" t="str">
        <x:v>Import batch thai_fda_20260718_v1: ต้องตรวจหมวดหมู่; ยังไม่กำหนดขนาดยาที่พบบ่อย; ต้องตรวจชื่อภาษาไทย; ห้ามเผยแพร่ก่อน Clinical review</x:v>
      </x:c>
    </x:row>
    <x:row r="117">
      <x:c r="A117" s="31" t="str">
        <x:v>fluorouracil</x:v>
      </x:c>
      <x:c r="B117" s="31" t="str">
        <x:v>Fluorouracil</x:v>
      </x:c>
      <x:c r="C117" s="38" t="str">
        <x:v>ฟลูออโรยูราซิล</x:v>
      </x:c>
      <x:c r="D117" s="39" t="str">
        <x:v>รอตรวจสอบ</x:v>
      </x:c>
      <x:c r="E117" s="39" t="str">
        <x:v>[]</x:v>
      </x:c>
      <x:c r="F117" s="38" t="str">
        <x:v>ใช้รักษาโรคมะเร็งชนิดต่าง ๆ เช่น มะเร็งล าไส้ใหญ่ มะเร็งเต้ านม โดยแพทย์วินิจฉัยแล้วว่าจ าเป็ นต้องใช้ ยานี้</x:v>
      </x:c>
      <x:c r="G117" s="32" t="b">
        <x:v>0</x:v>
      </x:c>
      <x:c r="H117" s="37" t="str">
        <x:v>["https://drug.fda.moph.go.th/media.php?id=810172919505362944&amp;name=SMPC_Fluorouracil_Solution for Injection or Infusion.pdf","https://drug.fda.moph.go.th/media.php?id=862918390296223744&amp;name=14.Fluorouracil_inj_PIL_final.pdf"]</x:v>
      </x:c>
      <x:c r="I117" s="31" t="str">
        <x:v>draft</x:v>
      </x:c>
      <x:c r="J11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18">
      <x:c r="A118" s="31" t="str">
        <x:v>fluoxetine</x:v>
      </x:c>
      <x:c r="B118" s="31" t="str">
        <x:v>Fluoxetine hydrochloride</x:v>
      </x:c>
      <x:c r="C118" s="38" t="str">
        <x:v>รอตรวจสอบชื่อภาษาไทย</x:v>
      </x:c>
      <x:c r="D118" s="39" t="str">
        <x:v>รอตรวจสอบ</x:v>
      </x:c>
      <x:c r="E118" s="39" t="str">
        <x:v>[]</x:v>
      </x:c>
      <x:c r="F118" s="38" t="str">
        <x:v>ข้อมูลฉบับร่างจากเอกสารอ้างอิง อย. รอตรวจทานโดยผู้เชี่ยวชาญ</x:v>
      </x:c>
      <x:c r="G118" s="32" t="b">
        <x:v>0</x:v>
      </x:c>
      <x:c r="H118" s="37" t="str">
        <x:v>["https://drug.fda.moph.go.th/media.php?id=810173242932338688&amp;name=SMPC_Fluoxetine_Capsules.pdf"]</x:v>
      </x:c>
      <x:c r="I118" s="31" t="str">
        <x:v>draft</x:v>
      </x:c>
      <x:c r="J118" s="38" t="str">
        <x:v>Import batch thai_fda_20260718_v1: ต้องตรวจหมวดหมู่; ยังไม่กำหนดขนาดยาที่พบบ่อย; ต้องตรวจชื่อภาษาไทย; ห้ามเผยแพร่ก่อน Clinical review</x:v>
      </x:c>
    </x:row>
    <x:row r="119">
      <x:c r="A119" s="31" t="str">
        <x:v>flupentixol_melitracen</x:v>
      </x:c>
      <x:c r="B119" s="31" t="str">
        <x:v>Flupentixol + Melitracen</x:v>
      </x:c>
      <x:c r="C119" s="38" t="str">
        <x:v>รอตรวจสอบชื่อภาษาไทย</x:v>
      </x:c>
      <x:c r="D119" s="39" t="str">
        <x:v>รอตรวจสอบ</x:v>
      </x:c>
      <x:c r="E119" s="39" t="str">
        <x:v>[]</x:v>
      </x:c>
      <x:c r="F119" s="38" t="str">
        <x:v>ข้อมูลฉบับร่างจากเอกสารอ้างอิง อย. รอตรวจทานโดยผู้เชี่ยวชาญ</x:v>
      </x:c>
      <x:c r="G119" s="32" t="b">
        <x:v>0</x:v>
      </x:c>
      <x:c r="H119" s="37" t="str">
        <x:v>["https://drug.fda.moph.go.th/media.php?id=904601734746349568&amp;name=12. Ref PIL_MelitracenFlupentixol.pdf"]</x:v>
      </x:c>
      <x:c r="I119" s="31" t="str">
        <x:v>draft</x:v>
      </x:c>
      <x:c r="J119" s="38" t="str">
        <x:v>Import batch thai_fda_20260718_v1: ต้องตรวจหมวดหมู่; ยังไม่กำหนดขนาดยาที่พบบ่อย; ต้องตรวจชื่อภาษาไทย; ห้ามเผยแพร่ก่อน Clinical review</x:v>
      </x:c>
    </x:row>
    <x:row r="120">
      <x:c r="A120" s="31" t="str">
        <x:v>folic_acid</x:v>
      </x:c>
      <x:c r="B120" s="31" t="str">
        <x:v>Folic acid</x:v>
      </x:c>
      <x:c r="C120" s="38" t="str">
        <x:v>กรด-โฟ-ลิก</x:v>
      </x:c>
      <x:c r="D120" s="39" t="str">
        <x:v>รอตรวจสอบ</x:v>
      </x:c>
      <x:c r="E120" s="39" t="str">
        <x:v>[]</x:v>
      </x:c>
      <x:c r="F120" s="38" t="str">
        <x:v>ใช้เพื่อป้องกันและรักษาโรคเลือดจางที่เกิดจากการขาด กรดโฟลิก • ใช้เพื่อป้องกันภาวะท่อประสาทของทารกในครรภ์ บกพร่อง</x:v>
      </x:c>
      <x:c r="G120" s="32" t="b">
        <x:v>0</x:v>
      </x:c>
      <x:c r="H120" s="37" t="str">
        <x:v>["https://drug.fda.moph.go.th/media.php?id=730358561472913408&amp;name=pil_Folic acid (TABLET).pdf"]</x:v>
      </x:c>
      <x:c r="I120" s="31" t="str">
        <x:v>draft</x:v>
      </x:c>
      <x:c r="J120"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21">
      <x:c r="A121" s="31" t="str">
        <x:v>follitropin_alfa</x:v>
      </x:c>
      <x:c r="B121" s="31" t="str">
        <x:v>Follitropin alfa</x:v>
      </x:c>
      <x:c r="C121" s="38" t="str">
        <x:v>รอตรวจสอบชื่อภาษาไทย</x:v>
      </x:c>
      <x:c r="D121" s="39" t="str">
        <x:v>รอตรวจสอบ</x:v>
      </x:c>
      <x:c r="E121" s="39" t="str">
        <x:v>[]</x:v>
      </x:c>
      <x:c r="F121" s="38" t="str">
        <x:v>ข้อมูลฉบับร่างจากเอกสารอ้างอิง อย. รอตรวจทานโดยผู้เชี่ยวชาญ</x:v>
      </x:c>
      <x:c r="G121" s="32" t="b">
        <x:v>0</x:v>
      </x:c>
      <x:c r="H121" s="37" t="str">
        <x:v>["https://drug.fda.moph.go.th/media.php?id=810173725403127808&amp;name=SMPC_Follitropin alfa_solution for infusion.pdf"]</x:v>
      </x:c>
      <x:c r="I121" s="31" t="str">
        <x:v>draft</x:v>
      </x:c>
      <x:c r="J121" s="38" t="str">
        <x:v>Import batch thai_fda_20260718_v1: ต้องตรวจหมวดหมู่; ยังไม่กำหนดขนาดยาที่พบบ่อย; ต้องตรวจชื่อภาษาไทย; ห้ามเผยแพร่ก่อน Clinical review</x:v>
      </x:c>
    </x:row>
    <x:row r="122">
      <x:c r="A122" s="31" t="str">
        <x:v>furosemide</x:v>
      </x:c>
      <x:c r="B122" s="31" t="str">
        <x:v>Furosemide</x:v>
      </x:c>
      <x:c r="C122" s="38" t="str">
        <x:v>ฟูโรซีไมด์</x:v>
      </x:c>
      <x:c r="D122" s="39" t="str">
        <x:v>รอตรวจสอบ</x:v>
      </x:c>
      <x:c r="E122" s="39" t="str">
        <x:v>[]</x:v>
      </x:c>
      <x:c r="F122" s="38" t="str">
        <x:v>ใช้รักษาโรคความดันโลหิตสูง • ใช้รักษาภาวะบวมน้าในร่างกาย</x:v>
      </x:c>
      <x:c r="G122" s="32" t="b">
        <x:v>0</x:v>
      </x:c>
      <x:c r="H122" s="37" t="str">
        <x:v>["https://drug.fda.moph.go.th/media.php?id=730358697620021248&amp;name=pil_Furosemide (TABLET 40 mg, 500 mg).pdf"]</x:v>
      </x:c>
      <x:c r="I122" s="31" t="str">
        <x:v>draft</x:v>
      </x:c>
      <x:c r="J12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23">
      <x:c r="A123" s="31" t="str">
        <x:v>gemfibrozil</x:v>
      </x:c>
      <x:c r="B123" s="31" t="str">
        <x:v>Gemfibrozil</x:v>
      </x:c>
      <x:c r="C123" s="38" t="str">
        <x:v>เจมไฟโบรซิล</x:v>
      </x:c>
      <x:c r="D123" s="39" t="str">
        <x:v>รอตรวจสอบ</x:v>
      </x:c>
      <x:c r="E123" s="39" t="str">
        <x:v>[]</x:v>
      </x:c>
      <x:c r="F123" s="38" t="str">
        <x:v>ใช้รักษาโรคไขมันในเลือดสูง • ใช้รักษาในผู้ที่มีระดับไขมันไตรกลีเซอไรด์ในเลือดสูง มากและมีความเสี่ยงต่อการเกิดตับอ่อนอักเสบ • ใช้ป้องกันโรคหัวใจจากไขมันในเลือดสูงในผู้ ชาย</x:v>
      </x:c>
      <x:c r="G123" s="32" t="b">
        <x:v>0</x:v>
      </x:c>
      <x:c r="H123" s="37" t="str">
        <x:v>["https://drug.fda.moph.go.th/media.php?id=730359193718104064&amp;name=pil_Gemfibrozil (CAPSULE, HARD 300 mg, 600 mg).pdf","https://drug.fda.moph.go.th/media.php?id=810174072020410368&amp;name=SMPC_Gemfibrozil_hard capsule.pdf","https://drug.fda.moph.go.th/media.php?id=730358921935593472&amp;name=pil_Gemfibrozil (TABLET 300 mg, 600 mg).pdf"]</x:v>
      </x:c>
      <x:c r="I123" s="31" t="str">
        <x:v>draft</x:v>
      </x:c>
      <x:c r="J12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24">
      <x:c r="A124" s="31" t="str">
        <x:v>gentamicin</x:v>
      </x:c>
      <x:c r="B124" s="31" t="str">
        <x:v>Gentamicin</x:v>
      </x:c>
      <x:c r="C124" s="38" t="str">
        <x:v>เจน-ทา-ไม-ซิน</x:v>
      </x:c>
      <x:c r="D124" s="39" t="str">
        <x:v>รอตรวจสอบ</x:v>
      </x:c>
      <x:c r="E124" s="39" t="str">
        <x:v>[]</x:v>
      </x:c>
      <x:c r="F124" s="38" t="str">
        <x:v>● ใช้รักษาการติดเชื้อแบคทีเรียที่ผิวหนังที่ไวต่อยานี้</x:v>
      </x:c>
      <x:c r="G124" s="32" t="b">
        <x:v>0</x:v>
      </x:c>
      <x:c r="H124" s="37" t="str">
        <x:v>["https://drug.fda.moph.go.th/media.php?id=808544511717416960&amp;name=Gentamicin_cream_PIL.pdf","https://drug.fda.moph.go.th/media.php?id=808544703330000896&amp;name=Gentamicin_liquidOphthalmic_PIL.pdf","https://drug.fda.moph.go.th/media.php?id=810174409145982976&amp;name=SMPC_Gentamicin_Eye Drops, Solution.pdf"]</x:v>
      </x:c>
      <x:c r="I124" s="31" t="str">
        <x:v>draft</x:v>
      </x:c>
      <x:c r="J12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25">
      <x:c r="A125" s="31" t="str">
        <x:v>gentamicin_betamethasone_dipropionate</x:v>
      </x:c>
      <x:c r="B125" s="31" t="str">
        <x:v>Gentamicin sulfate + Betamethasone dipropionate</x:v>
      </x:c>
      <x:c r="C125" s="38" t="str">
        <x:v>รอตรวจสอบชื่อภาษาไทย</x:v>
      </x:c>
      <x:c r="D125" s="39" t="str">
        <x:v>รอตรวจสอบ</x:v>
      </x:c>
      <x:c r="E125" s="39" t="str">
        <x:v>[]</x:v>
      </x:c>
      <x:c r="F125" s="38" t="str">
        <x:v>ข้อมูลฉบับร่างจากเอกสารอ้างอิง อย. รอตรวจทานโดยผู้เชี่ยวชาญ</x:v>
      </x:c>
      <x:c r="G125" s="32" t="b">
        <x:v>0</x:v>
      </x:c>
      <x:c r="H125" s="37" t="str">
        <x:v>["https://drug.fda.moph.go.th/media.php?id=810174762931331072&amp;name=SMPC_Gentamicin sulfate+betamethasone dipropionate_cream.pdf"]</x:v>
      </x:c>
      <x:c r="I125" s="31" t="str">
        <x:v>draft</x:v>
      </x:c>
      <x:c r="J125" s="38" t="str">
        <x:v>Import batch thai_fda_20260718_v1: ต้องตรวจหมวดหมู่; ยังไม่กำหนดขนาดยาที่พบบ่อย; ต้องตรวจชื่อภาษาไทย; ห้ามเผยแพร่ก่อน Clinical review</x:v>
      </x:c>
    </x:row>
    <x:row r="126">
      <x:c r="A126" s="31" t="str">
        <x:v>gentian_violet</x:v>
      </x:c>
      <x:c r="B126" s="31" t="str">
        <x:v>Gentian violet</x:v>
      </x:c>
      <x:c r="C126" s="38" t="str">
        <x:v>ยาเยนเชี่ยนไวโอเลต ชนิดนํ้า</x:v>
      </x:c>
      <x:c r="D126" s="39" t="str">
        <x:v>รอตรวจสอบ</x:v>
      </x:c>
      <x:c r="E126" s="39" t="str">
        <x:v>[]</x:v>
      </x:c>
      <x:c r="F126" s="38" t="str">
        <x:v>ใช้ทาแผลภายนอกที่เกิดจากเชื้อรา หรือใช้ รักษาการติดเชื้อราที่ลิ้นและกระพุ้ งแก้ มในระยะสั้น</x:v>
      </x:c>
      <x:c r="G126" s="32" t="b">
        <x:v>0</x:v>
      </x:c>
      <x:c r="H126" s="37" t="str">
        <x:v>["https://drug.fda.moph.go.th/media.php?id=733947717088321536&amp;name=PIL_ยา Gentian violet เยนเชี่ยนไวโอเลต_update (15032024).pdf"]</x:v>
      </x:c>
      <x:c r="I126" s="31" t="str">
        <x:v>draft</x:v>
      </x:c>
      <x:c r="J126"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27">
      <x:c r="A127" s="31" t="str">
        <x:v>gliclazide</x:v>
      </x:c>
      <x:c r="B127" s="31" t="str">
        <x:v>Gliclazide</x:v>
      </x:c>
      <x:c r="C127" s="38" t="str">
        <x:v>รอตรวจสอบชื่อภาษาไทย</x:v>
      </x:c>
      <x:c r="D127" s="39" t="str">
        <x:v>รอตรวจสอบ</x:v>
      </x:c>
      <x:c r="E127" s="39" t="str">
        <x:v>[]</x:v>
      </x:c>
      <x:c r="F127" s="38" t="str">
        <x:v>ข้อมูลฉบับร่างจากเอกสารอ้างอิง อย. รอตรวจทานโดยผู้เชี่ยวชาญ</x:v>
      </x:c>
      <x:c r="G127" s="32" t="b">
        <x:v>0</x:v>
      </x:c>
      <x:c r="H127" s="37" t="str">
        <x:v>["https://drug.fda.moph.go.th/media.php?id=810175347420176384&amp;name=SMPC_Gliclazide_Modified-release Tablets.pdf","https://drug.fda.moph.go.th/media.php?id=810175662185914368&amp;name=SMPC_Gliclazide_Tablets.pdf"]</x:v>
      </x:c>
      <x:c r="I127" s="31" t="str">
        <x:v>draft</x:v>
      </x:c>
      <x:c r="J127" s="38" t="str">
        <x:v>Import batch thai_fda_20260718_v1: ต้องตรวจหมวดหมู่; ยังไม่กำหนดขนาดยาที่พบบ่อย; ต้องตรวจชื่อภาษาไทย; ห้ามเผยแพร่ก่อน Clinical review</x:v>
      </x:c>
    </x:row>
    <x:row r="128">
      <x:c r="A128" s="31" t="str">
        <x:v>glipizide</x:v>
      </x:c>
      <x:c r="B128" s="31" t="str">
        <x:v>Glipizide</x:v>
      </x:c>
      <x:c r="C128" s="38" t="str">
        <x:v>กลิพิไซด์</x:v>
      </x:c>
      <x:c r="D128" s="39" t="str">
        <x:v>รอตรวจสอบ</x:v>
      </x:c>
      <x:c r="E128" s="39" t="str">
        <x:v>[]</x:v>
      </x:c>
      <x:c r="F128" s="38" t="str">
        <x:v>ใช้รักษาโรคเบาหวานชนิดที่ 2</x:v>
      </x:c>
      <x:c r="G128" s="32" t="b">
        <x:v>0</x:v>
      </x:c>
      <x:c r="H128" s="37" t="str">
        <x:v>["https://drug.fda.moph.go.th/media.php?id=730360834919899136&amp;name=pil_Glipizide (TABLET 5 mg).pdf","https://drug.fda.moph.go.th/media.php?id=810176024078852096&amp;name=SMPC_Glipizide_Tablets.pdf"]</x:v>
      </x:c>
      <x:c r="I128" s="31" t="str">
        <x:v>draft</x:v>
      </x:c>
      <x:c r="J128"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29">
      <x:c r="A129" s="31" t="str">
        <x:v>glucose</x:v>
      </x:c>
      <x:c r="B129" s="31" t="str">
        <x:v>Glucose</x:v>
      </x:c>
      <x:c r="C129" s="38" t="str">
        <x:v>รอตรวจสอบชื่อภาษาไทย</x:v>
      </x:c>
      <x:c r="D129" s="39" t="str">
        <x:v>รอตรวจสอบ</x:v>
      </x:c>
      <x:c r="E129" s="39" t="str">
        <x:v>[]</x:v>
      </x:c>
      <x:c r="F129" s="38" t="str">
        <x:v>ข้อมูลฉบับร่างจากเอกสารอ้างอิง อย. รอตรวจทานโดยผู้เชี่ยวชาญ</x:v>
      </x:c>
      <x:c r="G129" s="32" t="b">
        <x:v>0</x:v>
      </x:c>
      <x:c r="H129" s="37" t="str">
        <x:v>["https://drug.fda.moph.go.th/media.php?id=810178026569605120&amp;name=SMPC_Glucose_5_Solution for Infusion.pdf","https://drug.fda.moph.go.th/media.php?id=810178343201808384&amp;name=SMPC_Glucose_10_Solution for Infusion.pdf","https://drug.fda.moph.go.th/media.php?id=810178680155414528&amp;name=SMPC_Glucose_Solution for Infusion.pdf"]</x:v>
      </x:c>
      <x:c r="I129" s="31" t="str">
        <x:v>draft</x:v>
      </x:c>
      <x:c r="J129" s="38" t="str">
        <x:v>Import batch thai_fda_20260718_v1: ต้องตรวจหมวดหมู่; ยังไม่กำหนดขนาดยาที่พบบ่อย; ต้องตรวจชื่อภาษาไทย; ห้ามเผยแพร่ก่อน Clinical review</x:v>
      </x:c>
    </x:row>
    <x:row r="130">
      <x:c r="A130" s="31" t="str">
        <x:v>glucose_monohydrate_and</x:v>
      </x:c>
      <x:c r="B130" s="31" t="str">
        <x:v>Glucose monohydrate and Sodium chloride</x:v>
      </x:c>
      <x:c r="C130" s="38" t="str">
        <x:v>รอตรวจสอบชื่อภาษาไทย</x:v>
      </x:c>
      <x:c r="D130" s="39" t="str">
        <x:v>รอตรวจสอบ</x:v>
      </x:c>
      <x:c r="E130" s="39" t="str">
        <x:v>[]</x:v>
      </x:c>
      <x:c r="F130" s="38" t="str">
        <x:v>ข้อมูลฉบับร่างจากเอกสารอ้างอิง อย. รอตรวจทานโดยผู้เชี่ยวชาญ</x:v>
      </x:c>
      <x:c r="G130" s="32" t="b">
        <x:v>0</x:v>
      </x:c>
      <x:c r="H130" s="37" t="str">
        <x:v>["https://drug.fda.moph.go.th/media.php?id=810179446651887616&amp;name=SMPC_Glucose monohydrate+Sodium chloride_Intravenous Fluid.pdf"]</x:v>
      </x:c>
      <x:c r="I130" s="31" t="str">
        <x:v>draft</x:v>
      </x:c>
      <x:c r="J130" s="38" t="str">
        <x:v>Import batch thai_fda_20260718_v1: ต้องตรวจหมวดหมู่; ยังไม่กำหนดขนาดยาที่พบบ่อย; ต้องตรวจชื่อภาษาไทย; ห้ามเผยแพร่ก่อน Clinical review</x:v>
      </x:c>
    </x:row>
    <x:row r="131">
      <x:c r="A131" s="31" t="str">
        <x:v>glycerin</x:v>
      </x:c>
      <x:c r="B131" s="31" t="str">
        <x:v>Glycerin</x:v>
      </x:c>
      <x:c r="C131" s="38" t="str">
        <x:v>แพทย์หากท่านมีภาวะต่อไปนี้</x:v>
      </x:c>
      <x:c r="D131" s="39" t="str">
        <x:v>รอตรวจสอบ</x:v>
      </x:c>
      <x:c r="E131" s="39" t="str">
        <x:v>[]</x:v>
      </x:c>
      <x:c r="F131" s="38" t="str">
        <x:v>ยาระบาย บรรเทาอาการท้ องผูก</x:v>
      </x:c>
      <x:c r="G131" s="32" t="b">
        <x:v>0</x:v>
      </x:c>
      <x:c r="H131" s="37" t="str">
        <x:v>["https://drug.fda.moph.go.th/media.php?id=733947237566128128&amp;name=PIL ยาระบาย Glycerin ชนิดเหน็บทวาร (15032024).pdf"]</x:v>
      </x:c>
      <x:c r="I131" s="31" t="str">
        <x:v>draft</x:v>
      </x:c>
      <x:c r="J131"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32">
      <x:c r="A132" s="31" t="str">
        <x:v>glycerol</x:v>
      </x:c>
      <x:c r="B132" s="31" t="str">
        <x:v>Glycerol</x:v>
      </x:c>
      <x:c r="C132" s="38" t="str">
        <x:v>รอตรวจสอบชื่อภาษาไทย</x:v>
      </x:c>
      <x:c r="D132" s="39" t="str">
        <x:v>รอตรวจสอบ</x:v>
      </x:c>
      <x:c r="E132" s="39" t="str">
        <x:v>[]</x:v>
      </x:c>
      <x:c r="F132" s="38" t="str">
        <x:v>ข้อมูลฉบับร่างจากเอกสารอ้างอิง อย. รอตรวจทานโดยผู้เชี่ยวชาญ</x:v>
      </x:c>
      <x:c r="G132" s="32" t="b">
        <x:v>0</x:v>
      </x:c>
      <x:c r="H132" s="37" t="str">
        <x:v>["https://drug.fda.moph.go.th/media.php?id=810180307797024768&amp;name=SMPC_Glycerol_suppositories.pdf"]</x:v>
      </x:c>
      <x:c r="I132" s="31" t="str">
        <x:v>draft</x:v>
      </x:c>
      <x:c r="J132" s="38" t="str">
        <x:v>Import batch thai_fda_20260718_v1: ต้องตรวจหมวดหมู่; ยังไม่กำหนดขนาดยาที่พบบ่อย; ต้องตรวจชื่อภาษาไทย; ห้ามเผยแพร่ก่อน Clinical review</x:v>
      </x:c>
    </x:row>
    <x:row r="133">
      <x:c r="A133" s="31" t="str">
        <x:v>griseofulvin</x:v>
      </x:c>
      <x:c r="B133" s="31" t="str">
        <x:v>Griseofulvin</x:v>
      </x:c>
      <x:c r="C133" s="38" t="str">
        <x:v>กริ-ซิ-โอ-ฟูล-วิน</x:v>
      </x:c>
      <x:c r="D133" s="39" t="str">
        <x:v>รอตรวจสอบ</x:v>
      </x:c>
      <x:c r="E133" s="39" t="str">
        <x:v>[]</x:v>
      </x:c>
      <x:c r="F133" s="38" t="str">
        <x:v>ใช้เพื่อรักษาการติดเชื้อรา ที่ได้ รับการวินิจฉัยว่าต้องใช้ ยานี้</x:v>
      </x:c>
      <x:c r="G133" s="32" t="b">
        <x:v>0</x:v>
      </x:c>
      <x:c r="H133" s="37" t="str">
        <x:v>["https://drug.fda.moph.go.th/media.php?id=730360993967906816&amp;name=pil_Griseofulvin (TABLETS).pdf","https://drug.fda.moph.go.th/media.php?id=810180959625420800&amp;name=SMPC_Griseofulvin_Film-coated tablet.pdf"]</x:v>
      </x:c>
      <x:c r="I133" s="31" t="str">
        <x:v>draft</x:v>
      </x:c>
      <x:c r="J13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34">
      <x:c r="A134" s="31" t="str">
        <x:v>guaifenesin</x:v>
      </x:c>
      <x:c r="B134" s="31" t="str">
        <x:v>Guaifenesin</x:v>
      </x:c>
      <x:c r="C134" s="38" t="str">
        <x:v>กัวไอเฟนีซิน</x:v>
      </x:c>
      <x:c r="D134" s="39" t="str">
        <x:v>รอตรวจสอบ</x:v>
      </x:c>
      <x:c r="E134" s="39" t="str">
        <x:v>[]</x:v>
      </x:c>
      <x:c r="F134" s="38" t="str">
        <x:v>ใช้เพื่อขับเสมหะในทางเดินหายใจ บรรเทาอาการไอที่ มีเสมหะ</x:v>
      </x:c>
      <x:c r="G134" s="32" t="b">
        <x:v>0</x:v>
      </x:c>
      <x:c r="H134" s="37" t="str">
        <x:v>["https://drug.fda.moph.go.th/media.php?id=810181310525087744&amp;name=SMPC_Guaifenesin_Syrup.pdf","https://drug.fda.moph.go.th/media.php?id=862918393341288448&amp;name=28. Guaifenesin_syrup_PIL_Final.pdf"]</x:v>
      </x:c>
      <x:c r="I134" s="31" t="str">
        <x:v>draft</x:v>
      </x:c>
      <x:c r="J13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35">
      <x:c r="A135" s="31" t="str">
        <x:v>haloperidol</x:v>
      </x:c>
      <x:c r="B135" s="31" t="str">
        <x:v>Haloperidol</x:v>
      </x:c>
      <x:c r="C135" s="38" t="str">
        <x:v>ฮา-โล-เพอ-ริ-ดอล</x:v>
      </x:c>
      <x:c r="D135" s="39" t="str">
        <x:v>รอตรวจสอบ</x:v>
      </x:c>
      <x:c r="E135" s="39" t="str">
        <x:v>[]</x:v>
      </x:c>
      <x:c r="F135" s="38" t="str">
        <x:v>ในผู้ ใหญ่อายุ 18 ปี ขึ้นไป ● ใช้รักษาโรคจิตเภท ● ใช้รักษาโรคอารมณ์สองขั้วหรือโรคไบโพลาร์ ● ใช้รักษาอาการสับสนเฉียบพลันโดยใช้เมื่อการรักษา โดยไม่ใช้ยาล้มเหลว ● ใช้รักษาพฤติกรรมก้าวร้าวจากโรคอัลไซเมอร์ ● ใช้รักษาการเคลื่อนไหวและการส่งเสียงผิดปกติ (โรคทูเร็ตต์) ● ใช้รักษาโรคทางพันธุกรรมที่ท าให้เซลล์ประสาท ในสมองเสื่อม (โรคฮันติงตัน) ในเด็กและวัยรุ่น ● ใช้รักษาโรคจิตเภท ในอายุ 13-17 ปี ● ใช้รักษาพฤติกรรมก้าวร้าวจากภาวะออทิสซึมในอายุ 6-17 ปี ● ใช้รักษาการเคลื่อนไหว และการส่งเสียงผ</x:v>
      </x:c>
      <x:c r="G135" s="32" t="b">
        <x:v>0</x:v>
      </x:c>
      <x:c r="H135" s="37" t="str">
        <x:v>["https://drug.fda.moph.go.th/media.php?id=808561551207440384&amp;name=Haloperidol_TABLET_PIL.pdf","https://drug.fda.moph.go.th/media.php?id=808571302360260608&amp;name=SmPC - Haloperidol ORAL SOLUTION.pdf"]</x:v>
      </x:c>
      <x:c r="I135" s="31" t="str">
        <x:v>draft</x:v>
      </x:c>
      <x:c r="J13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36">
      <x:c r="A136" s="31" t="str">
        <x:v>hydrochlorothiazide_amiloride</x:v>
      </x:c>
      <x:c r="B136" s="31" t="str">
        <x:v>Hydrochlorothiazide + Amiloride</x:v>
      </x:c>
      <x:c r="C136" s="38" t="str">
        <x:v>ไฮโดรคลอโรไทอะไซด์ ผสม อะมิโลไรด์ ชนิดเม็ด</x:v>
      </x:c>
      <x:c r="D136" s="39" t="str">
        <x:v>รอตรวจสอบ</x:v>
      </x:c>
      <x:c r="E136" s="39" t="str">
        <x:v>[]</x:v>
      </x:c>
      <x:c r="F136" s="38" t="str">
        <x:v>ใช้รักษาภาวะความดันโลหิตสูง • ใช้รักษาโรคหัวใจล้ มเหลว • ใช้รักษาผู้ ป่ วยโรคตับแข็งที่มีภาวะท้ องมาน</x:v>
      </x:c>
      <x:c r="G136" s="32" t="b">
        <x:v>0</x:v>
      </x:c>
      <x:c r="H136" s="37" t="str">
        <x:v>["https://drug.fda.moph.go.th/media.php?id=730361608181784576&amp;name=pil_Hydrochlorothiazide + Amiloride (TABLET).pdf","https://drug.fda.moph.go.th/media.php?id=810380894354415616&amp;name=SMPC_Amiloride+Hydrochlorothiazide _Tablets.pdf"]</x:v>
      </x:c>
      <x:c r="I136" s="31" t="str">
        <x:v>draft</x:v>
      </x:c>
      <x:c r="J136"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37">
      <x:c r="A137" s="31" t="str">
        <x:v>hydrocortisone</x:v>
      </x:c>
      <x:c r="B137" s="31" t="str">
        <x:v>Hydrocortisone acetate</x:v>
      </x:c>
      <x:c r="C137" s="38" t="str">
        <x:v>ไฮ-โดร-คอร์-ติ-โซน-อะ-ซี-เทต</x:v>
      </x:c>
      <x:c r="D137" s="39" t="str">
        <x:v>รอตรวจสอบ</x:v>
      </x:c>
      <x:c r="E137" s="39" t="str">
        <x:v>[]</x:v>
      </x:c>
      <x:c r="F137" s="38" t="str">
        <x:v>ใช้เพื่อลดอาการ แดง คัน ที่เกิดจากการอักเสบบริเวณ ผิวหนัง</x:v>
      </x:c>
      <x:c r="G137" s="32" t="b">
        <x:v>0</x:v>
      </x:c>
      <x:c r="H137" s="37" t="str">
        <x:v>["https://drug.fda.moph.go.th/media.php?id=730361797047099392&amp;name=pil_Hydrocortisone acetate(CREAM).pdf"]</x:v>
      </x:c>
      <x:c r="I137" s="31" t="str">
        <x:v>draft</x:v>
      </x:c>
      <x:c r="J13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38">
      <x:c r="A138" s="31" t="str">
        <x:v>hydrocortisone_benzocaine_zinc_oxide</x:v>
      </x:c>
      <x:c r="B138" s="31" t="str">
        <x:v>Hydrocortisone acetate + Benzocaine + Zinc oxide</x:v>
      </x:c>
      <x:c r="C138" s="38" t="str">
        <x:v>รอตรวจสอบชื่อภาษาไทย</x:v>
      </x:c>
      <x:c r="D138" s="39" t="str">
        <x:v>รอตรวจสอบ</x:v>
      </x:c>
      <x:c r="E138" s="39" t="str">
        <x:v>[]</x:v>
      </x:c>
      <x:c r="F138" s="38" t="str">
        <x:v>ใช้เพื่อบรรเทาอาการอักเสบ เจ็บ คัน ระคายเคือง ที่เกิด จากริดสีดวงทวาร หรือแผลบริเวณทวารหนัก</x:v>
      </x:c>
      <x:c r="G138" s="32" t="b">
        <x:v>0</x:v>
      </x:c>
      <x:c r="H138" s="37" t="str">
        <x:v>["https://drug.fda.moph.go.th/media.php?id=730361976139685888&amp;name=pil_Hydrocortisone acetate + Benzocaine + Zinc oxide(OINTMENT).pdf","https://drug.fda.moph.go.th/media.php?id=730362134625656832&amp;name=pil_Hydrocortisone acetate + Benzocaine + Zinc oxide(SUPPOSITORIES RECTAL).pdf"]</x:v>
      </x:c>
      <x:c r="I138" s="31" t="str">
        <x:v>draft</x:v>
      </x:c>
      <x:c r="J138"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139">
      <x:c r="A139" s="31" t="str">
        <x:v>hydrocortisone_cinchocaine</x:v>
      </x:c>
      <x:c r="B139" s="31" t="str">
        <x:v>Hydrocortisone + Cinchocaine hydrochloride</x:v>
      </x:c>
      <x:c r="C139" s="38" t="str">
        <x:v>รอตรวจสอบชื่อภาษาไทย</x:v>
      </x:c>
      <x:c r="D139" s="39" t="str">
        <x:v>รอตรวจสอบ</x:v>
      </x:c>
      <x:c r="E139" s="39" t="str">
        <x:v>[]</x:v>
      </x:c>
      <x:c r="F139" s="38" t="str">
        <x:v>ข้อมูลฉบับร่างจากเอกสารอ้างอิง อย. รอตรวจทานโดยผู้เชี่ยวชาญ</x:v>
      </x:c>
      <x:c r="G139" s="32" t="b">
        <x:v>0</x:v>
      </x:c>
      <x:c r="H139" s="37" t="str">
        <x:v>["https://drug.fda.moph.go.th/media.php?id=904601734947676160&amp;name=9. Ref PIL_Hydrocortisone 5 mg+cinchocaine 5 mg suppo.pdf","https://drug.fda.moph.go.th/media.php?id=904601733513224192&amp;name=9. Ref SmPC_Hydrocortisone 5 mg+cinchocaine 5 mg suppo.pdf"]</x:v>
      </x:c>
      <x:c r="I139" s="31" t="str">
        <x:v>draft</x:v>
      </x:c>
      <x:c r="J139" s="38" t="str">
        <x:v>Import batch thai_fda_20260718_v1: ต้องตรวจหมวดหมู่; ยังไม่กำหนดขนาดยาที่พบบ่อย; ต้องตรวจชื่อภาษาไทย; ห้ามเผยแพร่ก่อน Clinical review</x:v>
      </x:c>
    </x:row>
    <x:row r="140">
      <x:c r="A140" s="31" t="str">
        <x:v>hydrogen_peroxide</x:v>
      </x:c>
      <x:c r="B140" s="31" t="str">
        <x:v>Hydrogen peroxide</x:v>
      </x:c>
      <x:c r="C140" s="38" t="str">
        <x:v>รอตรวจสอบชื่อภาษาไทย</x:v>
      </x:c>
      <x:c r="D140" s="39" t="str">
        <x:v>รอตรวจสอบ</x:v>
      </x:c>
      <x:c r="E140" s="39" t="str">
        <x:v>[]</x:v>
      </x:c>
      <x:c r="F140" s="38" t="str">
        <x:v>ข้อมูลฉบับร่างจากเอกสารอ้างอิง อย. รอตรวจทานโดยผู้เชี่ยวชาญ</x:v>
      </x:c>
      <x:c r="G140" s="32" t="b">
        <x:v>0</x:v>
      </x:c>
      <x:c r="H140" s="37" t="str">
        <x:v>["https://drug.fda.moph.go.th/media.php?id=810381306692247552&amp;name=SMPC_Hydrogen peroxide_Solution.pdf"]</x:v>
      </x:c>
      <x:c r="I140" s="31" t="str">
        <x:v>draft</x:v>
      </x:c>
      <x:c r="J140" s="38" t="str">
        <x:v>Import batch thai_fda_20260718_v1: ต้องตรวจหมวดหมู่; ยังไม่กำหนดขนาดยาที่พบบ่อย; ต้องตรวจชื่อภาษาไทย; ห้ามเผยแพร่ก่อน Clinical review</x:v>
      </x:c>
    </x:row>
    <x:row r="141">
      <x:c r="A141" s="31" t="str">
        <x:v>hydroquinone</x:v>
      </x:c>
      <x:c r="B141" s="31" t="str">
        <x:v>Hydroquinone</x:v>
      </x:c>
      <x:c r="C141" s="38" t="str">
        <x:v>รอตรวจสอบชื่อภาษาไทย</x:v>
      </x:c>
      <x:c r="D141" s="39" t="str">
        <x:v>รอตรวจสอบ</x:v>
      </x:c>
      <x:c r="E141" s="39" t="str">
        <x:v>[]</x:v>
      </x:c>
      <x:c r="F141" s="38" t="str">
        <x:v>ข้อมูลฉบับร่างจากเอกสารอ้างอิง อย. รอตรวจทานโดยผู้เชี่ยวชาญ</x:v>
      </x:c>
      <x:c r="G141" s="32" t="b">
        <x:v>0</x:v>
      </x:c>
      <x:c r="H141" s="37" t="str">
        <x:v>["https://drug.fda.moph.go.th/media.php?id=810381749510086656&amp;name=SMPC_Hydroquinone_Cream.pdf"]</x:v>
      </x:c>
      <x:c r="I141" s="31" t="str">
        <x:v>draft</x:v>
      </x:c>
      <x:c r="J141" s="38" t="str">
        <x:v>Import batch thai_fda_20260718_v1: ต้องตรวจหมวดหมู่; ยังไม่กำหนดขนาดยาที่พบบ่อย; ต้องตรวจชื่อภาษาไทย; ห้ามเผยแพร่ก่อน Clinical review</x:v>
      </x:c>
    </x:row>
    <x:row r="142">
      <x:c r="A142" s="31" t="str">
        <x:v>hydroxyzine</x:v>
      </x:c>
      <x:c r="B142" s="31" t="str">
        <x:v>Hydroxyzine hydrochloride</x:v>
      </x:c>
      <x:c r="C142" s="38" t="str">
        <x:v>ไฮ-ดรอก-ซี-ซีน</x:v>
      </x:c>
      <x:c r="D142" s="39" t="str">
        <x:v>รอตรวจสอบ</x:v>
      </x:c>
      <x:c r="E142" s="39" t="str">
        <x:v>[]</x:v>
      </x:c>
      <x:c r="F142" s="38" t="str">
        <x:v>● ใช้เพื่อบรรเทาอาการแพ้บริเวณผิวหนัง เช่น ผื่นคัน ลมพิษ ผื่นภูมิแพ้ ผิวหนัง ● ใช้เพื่อรักษาอาการวิตกกังวลในผู้ใหญ่</x:v>
      </x:c>
      <x:c r="G142" s="32" t="b">
        <x:v>0</x:v>
      </x:c>
      <x:c r="H142" s="37" t="str">
        <x:v>["https://drug.fda.moph.go.th/media.php?id=808579446234816512&amp;name=Hydroxyzine_compressedTabletFilmCoatedTablet_PIL.pdf","https://drug.fda.moph.go.th/media.php?id=810382200729116672&amp;name=SMPC_Hydroxyzine_Film-coated tablets.pdf"]</x:v>
      </x:c>
      <x:c r="I142" s="31" t="str">
        <x:v>draft</x:v>
      </x:c>
      <x:c r="J14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43">
      <x:c r="A143" s="31" t="str">
        <x:v>hyoscine_n_butylbromide</x:v>
      </x:c>
      <x:c r="B143" s="31" t="str">
        <x:v>Hyoscine-n-butylbromide</x:v>
      </x:c>
      <x:c r="C143" s="38" t="str">
        <x:v>ไฮออสซีน-เอ็น-บิวทิลโบรไมด์</x:v>
      </x:c>
      <x:c r="D143" s="39" t="str">
        <x:v>รอตรวจสอบ</x:v>
      </x:c>
      <x:c r="E143" s="39" t="str">
        <x:v>[]</x:v>
      </x:c>
      <x:c r="F143" s="38" t="str">
        <x:v>ใช้รักษาอาการปวดเกร็งของกระเพาะอาหารและ ล าไส้ • ใช้รักษาอาการปวดเกร็งของทางเดินปัสสาวะ • ใช้รักษากลุ่มอาการโรคล าไส้แปรปรวน</x:v>
      </x:c>
      <x:c r="G143" s="32" t="b">
        <x:v>0</x:v>
      </x:c>
      <x:c r="H143" s="37" t="str">
        <x:v>["https://drug.fda.moph.go.th/media.php?id=730362820071399424&amp;name=pil_Hyoscine-n-butylbromide (SYRUP 5 mg, 5 ml).pdf","https://drug.fda.moph.go.th/media.php?id=730362780040962048&amp;name=pil_Hyoscine-n-butylbromide (TABLET 10 mg).pdf","https://drug.fda.moph.go.th/media.php?id=810382625893130240&amp;name=SMPC_Hyoscine butylbromide_coated tablets.pdf","https://drug.fda.moph.go.th/media.php?id=810383049660440576&amp;name=SMPC_Hyoscine butylbromide_Solution for Injection.pdf"]</x:v>
      </x:c>
      <x:c r="I143" s="31" t="str">
        <x:v>draft</x:v>
      </x:c>
      <x:c r="J14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44">
      <x:c r="A144" s="31" t="str">
        <x:v>ibuprofen</x:v>
      </x:c>
      <x:c r="B144" s="31" t="str">
        <x:v>Ibuprofen</x:v>
      </x:c>
      <x:c r="C144" s="38" t="str">
        <x:v>ไอ-บู-โพร-เฟน</x:v>
      </x:c>
      <x:c r="D144" s="39" t="str">
        <x:v>รอตรวจสอบ</x:v>
      </x:c>
      <x:c r="E144" s="39" t="str">
        <x:v>[]</x:v>
      </x:c>
      <x:c r="F144" s="38" t="str">
        <x:v>● ใช้เพื่อบรรเทาอาการปวด หรือลดการอักเสบ ที่เกิดขึ้นจากโรคหรืออาการต่อไปนี้ เช่น o โรคข้ออักเสบรูมาตอยด์ โรคข้อเสื่อม o เอ็นอักเสบ กล้ามเนื้ออักเสบ ปวดหลังส่วนล่าง กระดูกหักหรือกระดูกเคลื่อน o อาการปวดช่วงมีประจ าเดือน o อาการปวดหลังจากผ่าตัด o อาการปวดฟัน ● ใช้เพื่อลดไข้</x:v>
      </x:c>
      <x:c r="G144" s="32" t="b">
        <x:v>0</x:v>
      </x:c>
      <x:c r="H144" s="37" t="str">
        <x:v>["https://drug.fda.moph.go.th/media.php?id=808580724096638976&amp;name=Ibuprofen_filmcotedtabletCapsulehard_PIL.pdf","https://drug.fda.moph.go.th/media.php?id=810383770954899456&amp;name=SMPC_Ibuprofen_capsules.pdf","https://drug.fda.moph.go.th/media.php?id=808580915113631744&amp;name=Ibuprofen_suspensionSyrup_PIL.pdf"]</x:v>
      </x:c>
      <x:c r="I144" s="31" t="str">
        <x:v>draft</x:v>
      </x:c>
      <x:c r="J14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45">
      <x:c r="A145" s="31" t="str">
        <x:v>imipramine</x:v>
      </x:c>
      <x:c r="B145" s="31" t="str">
        <x:v>imipramine</x:v>
      </x:c>
      <x:c r="C145" s="38" t="str">
        <x:v>อิ-มิ-พรา-มีน-ไฮ-โดร-คลอ-ไรด์</x:v>
      </x:c>
      <x:c r="D145" s="39" t="str">
        <x:v>รอตรวจสอบ</x:v>
      </x:c>
      <x:c r="E145" s="39" t="str">
        <x:v>[]</x:v>
      </x:c>
      <x:c r="F145" s="38" t="str">
        <x:v>● ใช้รักษาโรคซึมเศร้า ● ใช้รักษาอาการปัสสาวะรดที่นอน ในเด็กอายุตั้งแต่ 6 ปีขึ้นไป</x:v>
      </x:c>
      <x:c r="G145" s="32" t="b">
        <x:v>0</x:v>
      </x:c>
      <x:c r="H145" s="37" t="str">
        <x:v>["https://drug.fda.moph.go.th/media.php?id=862918385892204544&amp;name=44.Imipramine_tablet_PIL.pdf"]</x:v>
      </x:c>
      <x:c r="I145" s="31" t="str">
        <x:v>draft</x:v>
      </x:c>
      <x:c r="J14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46">
      <x:c r="A146" s="31" t="str">
        <x:v>indapamide</x:v>
      </x:c>
      <x:c r="B146" s="31" t="str">
        <x:v>Indapamide</x:v>
      </x:c>
      <x:c r="C146" s="38" t="str">
        <x:v>รอตรวจสอบชื่อภาษาไทย</x:v>
      </x:c>
      <x:c r="D146" s="39" t="str">
        <x:v>รอตรวจสอบ</x:v>
      </x:c>
      <x:c r="E146" s="39" t="str">
        <x:v>[]</x:v>
      </x:c>
      <x:c r="F146" s="38" t="str">
        <x:v>ข้อมูลฉบับร่างจากเอกสารอ้างอิง อย. รอตรวจทานโดยผู้เชี่ยวชาญ</x:v>
      </x:c>
      <x:c r="G146" s="32" t="b">
        <x:v>0</x:v>
      </x:c>
      <x:c r="H146" s="37" t="str">
        <x:v>["https://drug.fda.moph.go.th/media.php?id=810384338393899008&amp;name=SMPC_Indapamide_Tablets.pdf"]</x:v>
      </x:c>
      <x:c r="I146" s="31" t="str">
        <x:v>draft</x:v>
      </x:c>
      <x:c r="J146" s="38" t="str">
        <x:v>Import batch thai_fda_20260718_v1: ต้องตรวจหมวดหมู่; ยังไม่กำหนดขนาดยาที่พบบ่อย; ต้องตรวจชื่อภาษาไทย; ห้ามเผยแพร่ก่อน Clinical review</x:v>
      </x:c>
    </x:row>
    <x:row r="147">
      <x:c r="A147" s="31" t="str">
        <x:v>indomethacin</x:v>
      </x:c>
      <x:c r="B147" s="31" t="str">
        <x:v>Indomethacin</x:v>
      </x:c>
      <x:c r="C147" s="38" t="str">
        <x:v>อิน-โด-เม-ทา-ซิน</x:v>
      </x:c>
      <x:c r="D147" s="39" t="str">
        <x:v>รอตรวจสอบ</x:v>
      </x:c>
      <x:c r="E147" s="39" t="str">
        <x:v>[]</x:v>
      </x:c>
      <x:c r="F147" s="38" t="str">
        <x:v>ใช้เพื่อบรรเทาอาการปวด หรือลดการอักเสบ ที่เกิดขึ้น จากโรคหรืออาการต่อไปนี้ เช่น o โรคข้ออักเสบรูมาตอยด์ โรคข้อเสื่อม โรคเกาต์ o เอ็นอักเสบ กล้ามเนื้ออักเสบ ปวดหลังส่วนล่าง กระดูกหักหรือกระดูกเคลื่อน o อาการปวดช่วงมีประจ าเดือน</x:v>
      </x:c>
      <x:c r="G147" s="32" t="b">
        <x:v>0</x:v>
      </x:c>
      <x:c r="H147" s="37" t="str">
        <x:v>["https://drug.fda.moph.go.th/media.php?id=808581297256669184&amp;name=Indomethacin_capsuleCompressedTabletFilmCoatedTabletSugarCoatedTablet_PIL.pdf","https://drug.fda.moph.go.th/media.php?id=810384768385556480&amp;name=SMPC_Indometacin_Capsules.pdf"]</x:v>
      </x:c>
      <x:c r="I147" s="31" t="str">
        <x:v>draft</x:v>
      </x:c>
      <x:c r="J14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48">
      <x:c r="A148" s="31" t="str">
        <x:v>insulin</x:v>
      </x:c>
      <x:c r="B148" s="31" t="str">
        <x:v>Insulin</x:v>
      </x:c>
      <x:c r="C148" s="38" t="str">
        <x:v>รอตรวจสอบชื่อภาษาไทย</x:v>
      </x:c>
      <x:c r="D148" s="39" t="str">
        <x:v>รอตรวจสอบ</x:v>
      </x:c>
      <x:c r="E148" s="39" t="str">
        <x:v>[]</x:v>
      </x:c>
      <x:c r="F148" s="38" t="str">
        <x:v>ข้อมูลฉบับร่างจากเอกสารอ้างอิง อย. รอตรวจทานโดยผู้เชี่ยวชาญ</x:v>
      </x:c>
      <x:c r="G148" s="32" t="b">
        <x:v>0</x:v>
      </x:c>
      <x:c r="H148" s="37" t="str">
        <x:v>["https://drug.fda.moph.go.th/media.php?id=810385239439450112&amp;name=SMPC_Insulin_suspension for injection in vial.pdf"]</x:v>
      </x:c>
      <x:c r="I148" s="31" t="str">
        <x:v>draft</x:v>
      </x:c>
      <x:c r="J148" s="38" t="str">
        <x:v>Import batch thai_fda_20260718_v1: ต้องตรวจหมวดหมู่; ยังไม่กำหนดขนาดยาที่พบบ่อย; ต้องตรวจชื่อภาษาไทย; ห้ามเผยแพร่ก่อน Clinical review</x:v>
      </x:c>
    </x:row>
    <x:row r="149">
      <x:c r="A149" s="31" t="str">
        <x:v>intermittent_peritoneal_dialysis</x:v>
      </x:c>
      <x:c r="B149" s="31" t="str">
        <x:v>Intermittent peritoneal dialysis</x:v>
      </x:c>
      <x:c r="C149" s="38" t="str">
        <x:v>รอตรวจสอบชื่อภาษาไทย</x:v>
      </x:c>
      <x:c r="D149" s="39" t="str">
        <x:v>รอตรวจสอบ</x:v>
      </x:c>
      <x:c r="E149" s="39" t="str">
        <x:v>[]</x:v>
      </x:c>
      <x:c r="F149" s="38" t="str">
        <x:v>ข้อมูลฉบับร่างจากเอกสารอ้างอิง อย. รอตรวจทานโดยผู้เชี่ยวชาญ</x:v>
      </x:c>
      <x:c r="G149" s="32" t="b">
        <x:v>0</x:v>
      </x:c>
      <x:c r="H149" s="37" t="str">
        <x:v>["https://drug.fda.moph.go.th/media.php?id=810385732450525184&amp;name=SMPC_Intermittent peritoneal dialysis_solution for peritoneal dialysis.pdf"]</x:v>
      </x:c>
      <x:c r="I149" s="31" t="str">
        <x:v>draft</x:v>
      </x:c>
      <x:c r="J149" s="38" t="str">
        <x:v>Import batch thai_fda_20260718_v1: ต้องตรวจหมวดหมู่; ยังไม่กำหนดขนาดยาที่พบบ่อย; ต้องตรวจชื่อภาษาไทย; ห้ามเผยแพร่ก่อน Clinical review</x:v>
      </x:c>
    </x:row>
    <x:row r="150">
      <x:c r="A150" s="31" t="str">
        <x:v>iobitridol</x:v>
      </x:c>
      <x:c r="B150" s="31" t="str">
        <x:v>Iobitridol</x:v>
      </x:c>
      <x:c r="C150" s="38" t="str">
        <x:v>รอตรวจสอบชื่อภาษาไทย</x:v>
      </x:c>
      <x:c r="D150" s="39" t="str">
        <x:v>รอตรวจสอบ</x:v>
      </x:c>
      <x:c r="E150" s="39" t="str">
        <x:v>[]</x:v>
      </x:c>
      <x:c r="F150" s="38" t="str">
        <x:v>ข้อมูลฉบับร่างจากเอกสารอ้างอิง อย. รอตรวจทานโดยผู้เชี่ยวชาญ</x:v>
      </x:c>
      <x:c r="G150" s="32" t="b">
        <x:v>0</x:v>
      </x:c>
      <x:c r="H150" s="37" t="str">
        <x:v>["https://drug.fda.moph.go.th/media.php?id=810386169421504512&amp;name=SMPC_Iobitridol_Solution for Injection.pdf","https://drug.fda.moph.go.th/media.php?id=810386659307823104&amp;name=SMPC_Iobitridol_350_Solution for Injection.pdf"]</x:v>
      </x:c>
      <x:c r="I150" s="31" t="str">
        <x:v>draft</x:v>
      </x:c>
      <x:c r="J150" s="38" t="str">
        <x:v>Import batch thai_fda_20260718_v1: ต้องตรวจหมวดหมู่; ยังไม่กำหนดขนาดยาที่พบบ่อย; ต้องตรวจชื่อภาษาไทย; ห้ามเผยแพร่ก่อน Clinical review</x:v>
      </x:c>
    </x:row>
    <x:row r="151">
      <x:c r="A151" s="31" t="str">
        <x:v>isoniazid</x:v>
      </x:c>
      <x:c r="B151" s="31" t="str">
        <x:v>Isoniazid</x:v>
      </x:c>
      <x:c r="C151" s="38" t="str">
        <x:v>ไอโซไนอะซิด</x:v>
      </x:c>
      <x:c r="D151" s="39" t="str">
        <x:v>รอตรวจสอบ</x:v>
      </x:c>
      <x:c r="E151" s="39" t="str">
        <x:v>[]</x:v>
      </x:c>
      <x:c r="F151" s="38" t="str">
        <x:v>ใช้เพื่อรักษาหรือป้องกันวัณโรค</x:v>
      </x:c>
      <x:c r="G151" s="32" t="b">
        <x:v>0</x:v>
      </x:c>
      <x:c r="H151" s="37" t="str">
        <x:v>["https://drug.fda.moph.go.th/media.php?id=810387533576937472&amp;name=SMPC_Isoniazid_Solutions for injections or infusions.pdf","https://drug.fda.moph.go.th/media.php?id=862918388467507200&amp;name=33. isoniazid_tablets_PIL_final.pdf"]</x:v>
      </x:c>
      <x:c r="I151" s="31" t="str">
        <x:v>draft</x:v>
      </x:c>
      <x:c r="J151"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52">
      <x:c r="A152" s="31" t="str">
        <x:v>isopropyl_alcohol</x:v>
      </x:c>
      <x:c r="B152" s="31" t="str">
        <x:v>Isopropyl alcohol</x:v>
      </x:c>
      <x:c r="C152" s="38" t="str">
        <x:v>ยาไอโซโพรพิลแอลกอฮอล์ ชนิดนํ้า</x:v>
      </x:c>
      <x:c r="D152" s="39" t="str">
        <x:v>รอตรวจสอบ</x:v>
      </x:c>
      <x:c r="E152" s="39" t="str">
        <x:v>[]</x:v>
      </x:c>
      <x:c r="F152" s="38" t="str">
        <x:v>ใช้ทําความสะอาดบาดแผล</x:v>
      </x:c>
      <x:c r="G152" s="32" t="b">
        <x:v>0</x:v>
      </x:c>
      <x:c r="H152" s="37" t="str">
        <x:v>["https://drug.fda.moph.go.th/media.php?id=733946047012937728&amp;name=PIL Isopropyl alcohol  (15032024).pdf"]</x:v>
      </x:c>
      <x:c r="I152" s="31" t="str">
        <x:v>draft</x:v>
      </x:c>
      <x:c r="J15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53">
      <x:c r="A153" s="31" t="str">
        <x:v>isosorbide_dinitrate</x:v>
      </x:c>
      <x:c r="B153" s="31" t="str">
        <x:v>Isosorbide dinitrate</x:v>
      </x:c>
      <x:c r="C153" s="38" t="str">
        <x:v>ไอโซซอร์ไบด์ ไดไนเตรต</x:v>
      </x:c>
      <x:c r="D153" s="39" t="str">
        <x:v>รอตรวจสอบ</x:v>
      </x:c>
      <x:c r="E153" s="39" t="str">
        <x:v>[]</x:v>
      </x:c>
      <x:c r="F153" s="38" t="str">
        <x:v>ใช้ป้องกันอาการเจ็บเค้ นหน้ าอก ที่มีสาเหตุจาก โรคหัวใจและหลอดเลือด</x:v>
      </x:c>
      <x:c r="G153" s="32" t="b">
        <x:v>0</x:v>
      </x:c>
      <x:c r="H153" s="37" t="str">
        <x:v>["https://drug.fda.moph.go.th/media.php?id=730434793078136832&amp;name=pil_Isosorbide dinitrate (TABLET 10 mg, 20 mg).pdf","https://drug.fda.moph.go.th/media.php?id=810397718936690688&amp;name=SMPC_Isosorbide dinitrate_Tablets.pdf"]</x:v>
      </x:c>
      <x:c r="I153" s="31" t="str">
        <x:v>draft</x:v>
      </x:c>
      <x:c r="J15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54">
      <x:c r="A154" s="31" t="str">
        <x:v>isosorbide_mononitrate</x:v>
      </x:c>
      <x:c r="B154" s="31" t="str">
        <x:v>Isosorbide mononitrate</x:v>
      </x:c>
      <x:c r="C154" s="38" t="str">
        <x:v>ไอโซซอร์ไบด์ โมโนไนเตรต</x:v>
      </x:c>
      <x:c r="D154" s="39" t="str">
        <x:v>รอตรวจสอบ</x:v>
      </x:c>
      <x:c r="E154" s="39" t="str">
        <x:v>[]</x:v>
      </x:c>
      <x:c r="F154" s="38" t="str">
        <x:v>ใช้ป้องกันอาการเจ็บเค้ นหน้ าอก ที่มีสาเหตุจาก โรคหัวใจและหลอดเลือด</x:v>
      </x:c>
      <x:c r="G154" s="32" t="b">
        <x:v>0</x:v>
      </x:c>
      <x:c r="H154" s="37" t="str">
        <x:v>["https://drug.fda.moph.go.th/media.php?id=730434938595319808&amp;name=pil_Isosorbide mononitrate (TAVLET 10 mg, 20 mg).pdf","https://drug.fda.moph.go.th/media.php?id=810398158122262528&amp;name=SMPC_Isosorbide mononitrate_Tablets.pdf"]</x:v>
      </x:c>
      <x:c r="I154" s="31" t="str">
        <x:v>draft</x:v>
      </x:c>
      <x:c r="J15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55">
      <x:c r="A155" s="31" t="str">
        <x:v>ispaghula_husk</x:v>
      </x:c>
      <x:c r="B155" s="31" t="str">
        <x:v>Ispaghula husk</x:v>
      </x:c>
      <x:c r="C155" s="38" t="str">
        <x:v>อิสพากูลา ฮัสค์</x:v>
      </x:c>
      <x:c r="D155" s="39" t="str">
        <x:v>รอตรวจสอบ</x:v>
      </x:c>
      <x:c r="E155" s="39" t="str">
        <x:v>[]</x:v>
      </x:c>
      <x:c r="F155" s="38" t="str">
        <x:v>ใช้เพื่อบรรเทาอาการท้ องผูก</x:v>
      </x:c>
      <x:c r="G155" s="32" t="b">
        <x:v>0</x:v>
      </x:c>
      <x:c r="H155" s="37" t="str">
        <x:v>["https://drug.fda.moph.go.th/media.php?id=730435056207798272&amp;name=pil_Ispaghula husk (GRANULES 2.45 g, 3.5 g).pdf"]</x:v>
      </x:c>
      <x:c r="I155" s="31" t="str">
        <x:v>draft</x:v>
      </x:c>
      <x:c r="J15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56">
      <x:c r="A156" s="31" t="str">
        <x:v>itraconazole</x:v>
      </x:c>
      <x:c r="B156" s="31" t="str">
        <x:v>Itraconazole</x:v>
      </x:c>
      <x:c r="C156" s="38" t="str">
        <x:v>รอตรวจสอบชื่อภาษาไทย</x:v>
      </x:c>
      <x:c r="D156" s="39" t="str">
        <x:v>รอตรวจสอบ</x:v>
      </x:c>
      <x:c r="E156" s="39" t="str">
        <x:v>[]</x:v>
      </x:c>
      <x:c r="F156" s="38" t="str">
        <x:v>ข้อมูลฉบับร่างจากเอกสารอ้างอิง อย. รอตรวจทานโดยผู้เชี่ยวชาญ</x:v>
      </x:c>
      <x:c r="G156" s="32" t="b">
        <x:v>0</x:v>
      </x:c>
      <x:c r="H156" s="37" t="str">
        <x:v>["https://drug.fda.moph.go.th/media.php?id=810398699489468416&amp;name=SMPC_Itraconazole_Hard capsules.pdf"]</x:v>
      </x:c>
      <x:c r="I156" s="31" t="str">
        <x:v>draft</x:v>
      </x:c>
      <x:c r="J156" s="38" t="str">
        <x:v>Import batch thai_fda_20260718_v1: ต้องตรวจหมวดหมู่; ยังไม่กำหนดขนาดยาที่พบบ่อย; ต้องตรวจชื่อภาษาไทย; ห้ามเผยแพร่ก่อน Clinical review</x:v>
      </x:c>
    </x:row>
    <x:row r="157">
      <x:c r="A157" s="31" t="str">
        <x:v>ketoconazole</x:v>
      </x:c>
      <x:c r="B157" s="31" t="str">
        <x:v>Ketoconazole</x:v>
      </x:c>
      <x:c r="C157" s="38" t="str">
        <x:v>คี-โท-โค-นา-โซล</x:v>
      </x:c>
      <x:c r="D157" s="39" t="str">
        <x:v>รอตรวจสอบ</x:v>
      </x:c>
      <x:c r="E157" s="39" t="str">
        <x:v>[]</x:v>
      </x:c>
      <x:c r="F157" s="38" t="str">
        <x:v>● ใช้รักษาและป้องกันอาการจากการติดเชื้อราบางชนิดที่ ผิวหนังที่ไวต่อยานี้ เช่น รังแค, โรคผิวหนังที่เกิดจาก ต่อมไขมันอักเสบ ● ใช้รักษาเกลื้อน</x:v>
      </x:c>
      <x:c r="G157" s="32" t="b">
        <x:v>0</x:v>
      </x:c>
      <x:c r="H157" s="37" t="str">
        <x:v>["https://drug.fda.moph.go.th/media.php?id=808584936914296832&amp;name=Ketoconazole_shampoo_PIL.pdf","https://drug.fda.moph.go.th/media.php?id=810399234116427776&amp;name=SMPC_Ketoconazole_shampoo.pdf","https://drug.fda.moph.go.th/media.php?id=808585206637404160&amp;name=Ketoconazole_cream_PIL.pdf"]</x:v>
      </x:c>
      <x:c r="I157" s="31" t="str">
        <x:v>draft</x:v>
      </x:c>
      <x:c r="J15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58">
      <x:c r="A158" s="31" t="str">
        <x:v>ketotifen</x:v>
      </x:c>
      <x:c r="B158" s="31" t="str">
        <x:v>Ketotifen</x:v>
      </x:c>
      <x:c r="C158" s="38" t="str">
        <x:v>คี-โท-ทิ-เฟน</x:v>
      </x:c>
      <x:c r="D158" s="39" t="str">
        <x:v>รอตรวจสอบ</x:v>
      </x:c>
      <x:c r="E158" s="39" t="str">
        <x:v>[]</x:v>
      </x:c>
      <x:c r="F158" s="38" t="str">
        <x:v>ใช้รักษาอาการแพ้ เช่น โรคจมูกอักเสบจากภูมิแพ้ โรคตาแดงจากภูมิแพ้ • ใช้ร่วมกับยาชนิดอื่น เพื่อรักษาโรคหืดเรื้อรังจากภูมิแพ้ ในเด็กและวัยรุ่นอายุ 5 ปี ถึง 18 ปี</x:v>
      </x:c>
      <x:c r="G158" s="32" t="b">
        <x:v>0</x:v>
      </x:c>
      <x:c r="H158" s="37" t="str">
        <x:v>["https://drug.fda.moph.go.th/media.php?id=808589764562395136&amp;name=Ketotifen_compressedTablet_PIL.pdf","https://drug.fda.moph.go.th/media.php?id=810399779447250944&amp;name=SMPC_Ketotifen_Tablets.pdf","https://drug.fda.moph.go.th/media.php?id=808590033043988480&amp;name=Ketotifen_SyrupElixir_PIL.pdf"]</x:v>
      </x:c>
      <x:c r="I158" s="31" t="str">
        <x:v>draft</x:v>
      </x:c>
      <x:c r="J158"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59">
      <x:c r="A159" s="31" t="str">
        <x:v>lansoprazole</x:v>
      </x:c>
      <x:c r="B159" s="31" t="str">
        <x:v>Lansoprazole</x:v>
      </x:c>
      <x:c r="C159" s="38" t="str">
        <x:v>แลนโซพราโซล</x:v>
      </x:c>
      <x:c r="D159" s="39" t="str">
        <x:v>รอตรวจสอบ</x:v>
      </x:c>
      <x:c r="E159" s="39" t="str">
        <x:v>[]</x:v>
      </x:c>
      <x:c r="F159" s="38" t="str">
        <x:v>รักษาแผลในกระเพาะอาหารและล าไส้ • รักษาและป้องกันอาการอักเสบที่หลอดอาหาร จากกรดไหลย้ อน • รักษาอาการแสบร้ อนกลางอก • ใช้ร่วมกับยาต้านเชื้อแบคทีเรียที่เป็ นสาเหตุของแผลใน กระเพาะและล าไส้ • รักษาหรือป้องกันแผลในล าไส้หรือกระเพาะอาหารที่เกิด จากการใช้ยาต้านอักเสบที่ไม่ใช่สเตอรอยด์อย่าง ต่อเนื่อง</x:v>
      </x:c>
      <x:c r="G159" s="32" t="b">
        <x:v>0</x:v>
      </x:c>
      <x:c r="H159" s="37" t="str">
        <x:v>["https://drug.fda.moph.go.th/media.php?id=808590240561373184&amp;name=Lansoprazole_orodisperse tablet_PIL.pdf"]</x:v>
      </x:c>
      <x:c r="I159" s="31" t="str">
        <x:v>draft</x:v>
      </x:c>
      <x:c r="J15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60">
      <x:c r="A160" s="31" t="str">
        <x:v>lavender_oil</x:v>
      </x:c>
      <x:c r="B160" s="31" t="str">
        <x:v>Lavender oil</x:v>
      </x:c>
      <x:c r="C160" s="38" t="str">
        <x:v>รอตรวจสอบชื่อภาษาไทย</x:v>
      </x:c>
      <x:c r="D160" s="39" t="str">
        <x:v>รอตรวจสอบ</x:v>
      </x:c>
      <x:c r="E160" s="39" t="str">
        <x:v>[]</x:v>
      </x:c>
      <x:c r="F160" s="38" t="str">
        <x:v>ข้อมูลฉบับร่างจากเอกสารอ้างอิง อย. รอตรวจทานโดยผู้เชี่ยวชาญ</x:v>
      </x:c>
      <x:c r="G160" s="32" t="b">
        <x:v>0</x:v>
      </x:c>
      <x:c r="H160" s="37" t="str">
        <x:v>["https://drug.fda.moph.go.th/media.php?id=810400412350947328&amp;name=SMPC_Lavender oil_Capsules.pdf"]</x:v>
      </x:c>
      <x:c r="I160" s="31" t="str">
        <x:v>draft</x:v>
      </x:c>
      <x:c r="J160" s="38" t="str">
        <x:v>Import batch thai_fda_20260718_v1: ต้องตรวจหมวดหมู่; ยังไม่กำหนดขนาดยาที่พบบ่อย; ต้องตรวจชื่อภาษาไทย; ห้ามเผยแพร่ก่อน Clinical review</x:v>
      </x:c>
    </x:row>
    <x:row r="161">
      <x:c r="A161" s="31" t="str">
        <x:v>lenograstim</x:v>
      </x:c>
      <x:c r="B161" s="31" t="str">
        <x:v>Lenograstim</x:v>
      </x:c>
      <x:c r="C161" s="38" t="str">
        <x:v>รอตรวจสอบชื่อภาษาไทย</x:v>
      </x:c>
      <x:c r="D161" s="39" t="str">
        <x:v>รอตรวจสอบ</x:v>
      </x:c>
      <x:c r="E161" s="39" t="str">
        <x:v>[]</x:v>
      </x:c>
      <x:c r="F161" s="38" t="str">
        <x:v>ข้อมูลฉบับร่างจากเอกสารอ้างอิง อย. รอตรวจทานโดยผู้เชี่ยวชาญ</x:v>
      </x:c>
      <x:c r="G161" s="32" t="b">
        <x:v>0</x:v>
      </x:c>
      <x:c r="H161" s="37" t="str">
        <x:v>["https://drug.fda.moph.go.th/media.php?id=810403090216919040&amp;name=SMPC_Lenograstim_powder and solvent for solution for injection-infusion.pdf"]</x:v>
      </x:c>
      <x:c r="I161" s="31" t="str">
        <x:v>draft</x:v>
      </x:c>
      <x:c r="J161" s="38" t="str">
        <x:v>Import batch thai_fda_20260718_v1: ต้องตรวจหมวดหมู่; ยังไม่กำหนดขนาดยาที่พบบ่อย; ต้องตรวจชื่อภาษาไทย; ห้ามเผยแพร่ก่อน Clinical review</x:v>
      </x:c>
    </x:row>
    <x:row r="162">
      <x:c r="A162" s="31" t="str">
        <x:v>levodopa_benserazide</x:v>
      </x:c>
      <x:c r="B162" s="31" t="str">
        <x:v>Levodopa-Benserazide</x:v>
      </x:c>
      <x:c r="C162" s="38" t="str">
        <x:v>รอตรวจสอบชื่อภาษาไทย</x:v>
      </x:c>
      <x:c r="D162" s="39" t="str">
        <x:v>รอตรวจสอบ</x:v>
      </x:c>
      <x:c r="E162" s="39" t="str">
        <x:v>[]</x:v>
      </x:c>
      <x:c r="F162" s="38" t="str">
        <x:v>● ยานี้ใช้รักษาโรคพาร์กินสัน</x:v>
      </x:c>
      <x:c r="G162" s="32" t="b">
        <x:v>0</x:v>
      </x:c>
      <x:c r="H162" s="37" t="str">
        <x:v>["https://drug.fda.moph.go.th/media.php?id=808595702568591360&amp;name=Levodopa-Benseraside_orodispersible_PIL.pdf"]</x:v>
      </x:c>
      <x:c r="I162" s="31" t="str">
        <x:v>draft</x:v>
      </x:c>
      <x:c r="J162"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163">
      <x:c r="A163" s="31" t="str">
        <x:v>levothyroxine</x:v>
      </x:c>
      <x:c r="B163" s="31" t="str">
        <x:v>Levothyroxine sodium</x:v>
      </x:c>
      <x:c r="C163" s="38" t="str">
        <x:v>ลีโวไทร็อกซีน</x:v>
      </x:c>
      <x:c r="D163" s="39" t="str">
        <x:v>รอตรวจสอบ</x:v>
      </x:c>
      <x:c r="E163" s="39" t="str">
        <x:v>[]</x:v>
      </x:c>
      <x:c r="F163" s="38" t="str">
        <x:v>ใช้รักษาภาวะขาดฮอร์โมนไทรอยด์ (ฮอร์โมน ไทรอยด์ต่า)</x:v>
      </x:c>
      <x:c r="G163" s="32" t="b">
        <x:v>0</x:v>
      </x:c>
      <x:c r="H163" s="37" t="str">
        <x:v>["https://drug.fda.moph.go.th/media.php?id=730438170746953728&amp;name=pil_Levothyroxine sodium (TABLET 50 mcg, 100 mcg).pdf"]</x:v>
      </x:c>
      <x:c r="I163" s="31" t="str">
        <x:v>draft</x:v>
      </x:c>
      <x:c r="J16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64">
      <x:c r="A164" s="31" t="str">
        <x:v>lidocaine</x:v>
      </x:c>
      <x:c r="B164" s="31" t="str">
        <x:v>Lidocaine hydrochloride</x:v>
      </x:c>
      <x:c r="C164" s="38" t="str">
        <x:v>รอตรวจสอบชื่อภาษาไทย</x:v>
      </x:c>
      <x:c r="D164" s="39" t="str">
        <x:v>รอตรวจสอบ</x:v>
      </x:c>
      <x:c r="E164" s="39" t="str">
        <x:v>[]</x:v>
      </x:c>
      <x:c r="F164" s="38" t="str">
        <x:v>ข้อมูลฉบับร่างจากเอกสารอ้างอิง อย. รอตรวจทานโดยผู้เชี่ยวชาญ</x:v>
      </x:c>
      <x:c r="G164" s="32" t="b">
        <x:v>0</x:v>
      </x:c>
      <x:c r="H164" s="37" t="str">
        <x:v>["https://drug.fda.moph.go.th/media.php?id=810403816229969920&amp;name=SMPC_Lidocaine Hydrochloride_solutions for injections or infusions.pdf"]</x:v>
      </x:c>
      <x:c r="I164" s="31" t="str">
        <x:v>draft</x:v>
      </x:c>
      <x:c r="J164" s="38" t="str">
        <x:v>Import batch thai_fda_20260718_v1: ต้องตรวจหมวดหมู่; ยังไม่กำหนดขนาดยาที่พบบ่อย; ต้องตรวจชื่อภาษาไทย; ห้ามเผยแพร่ก่อน Clinical review</x:v>
      </x:c>
    </x:row>
    <x:row r="165">
      <x:c r="A165" s="31" t="str">
        <x:v>lincomycin</x:v>
      </x:c>
      <x:c r="B165" s="31" t="str">
        <x:v>lincomycin hydrochloride</x:v>
      </x:c>
      <x:c r="C165" s="38" t="str">
        <x:v>ลินโคไมซิน</x:v>
      </x:c>
      <x:c r="D165" s="39" t="str">
        <x:v>รอตรวจสอบ</x:v>
      </x:c>
      <x:c r="E165" s="39" t="str">
        <x:v>[]</x:v>
      </x:c>
      <x:c r="F165" s="38" t="str">
        <x:v>ใช้รักษาโรคติดเชื้อแบคทีเรียที่ไวต่อยานี้</x:v>
      </x:c>
      <x:c r="G165" s="32" t="b">
        <x:v>0</x:v>
      </x:c>
      <x:c r="H165" s="37" t="str">
        <x:v>["https://drug.fda.moph.go.th/media.php?id=862918393525837824&amp;name=25. lincomycin_sterile solution_PIL_final.pdf"]</x:v>
      </x:c>
      <x:c r="I165" s="31" t="str">
        <x:v>draft</x:v>
      </x:c>
      <x:c r="J16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66">
      <x:c r="A166" s="31" t="str">
        <x:v>liquid_paraffin</x:v>
      </x:c>
      <x:c r="B166" s="31" t="str">
        <x:v>Liquid paraffin</x:v>
      </x:c>
      <x:c r="C166" s="38" t="str">
        <x:v>รอตรวจสอบชื่อภาษาไทย</x:v>
      </x:c>
      <x:c r="D166" s="39" t="str">
        <x:v>รอตรวจสอบ</x:v>
      </x:c>
      <x:c r="E166" s="39" t="str">
        <x:v>[]</x:v>
      </x:c>
      <x:c r="F166" s="38" t="str">
        <x:v>ข้อมูลฉบับร่างจากเอกสารอ้างอิง อย. รอตรวจทานโดยผู้เชี่ยวชาญ</x:v>
      </x:c>
      <x:c r="G166" s="32" t="b">
        <x:v>0</x:v>
      </x:c>
      <x:c r="H166" s="37" t="str">
        <x:v>["https://drug.fda.moph.go.th/media.php?id=810404231990353920&amp;name=SMPC_Liquid paraffin_Emulsion.pdf"]</x:v>
      </x:c>
      <x:c r="I166" s="31" t="str">
        <x:v>draft</x:v>
      </x:c>
      <x:c r="J166" s="38" t="str">
        <x:v>Import batch thai_fda_20260718_v1: ต้องตรวจหมวดหมู่; ยังไม่กำหนดขนาดยาที่พบบ่อย; ต้องตรวจชื่อภาษาไทย; ห้ามเผยแพร่ก่อน Clinical review</x:v>
      </x:c>
    </x:row>
    <x:row r="167">
      <x:c r="A167" s="31" t="str">
        <x:v>lisinopril</x:v>
      </x:c>
      <x:c r="B167" s="31" t="str">
        <x:v>Lisinopril</x:v>
      </x:c>
      <x:c r="C167" s="38" t="str">
        <x:v>ไลซิโนพริล</x:v>
      </x:c>
      <x:c r="D167" s="39" t="str">
        <x:v>รอตรวจสอบ</x:v>
      </x:c>
      <x:c r="E167" s="39" t="str">
        <x:v>[]</x:v>
      </x:c>
      <x:c r="F167" s="38" t="str">
        <x:v>รักษาโรคความดันเลือดสูง • รักษาโรคหัวใจล้ มเหลว • รักษาภาวะหลังหัวใจขาดเลือดเฉียบพลัน • รักษาโรคไตในผู้ ป่ วยเบาหวานที่ความดันเลือดสูง</x:v>
      </x:c>
      <x:c r="G167" s="32" t="b">
        <x:v>0</x:v>
      </x:c>
      <x:c r="H167" s="37" t="str">
        <x:v>["https://drug.fda.moph.go.th/media.php?id=730438387122708480&amp;name=pil_Lisinopril (TABLET 5 mg, 10 mg, 20 mg).pdf","https://drug.fda.moph.go.th/media.php?id=810405133153345536&amp;name=SMPC_Lisinopril_Tablets.pdf"]</x:v>
      </x:c>
      <x:c r="I167" s="31" t="str">
        <x:v>draft</x:v>
      </x:c>
      <x:c r="J16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68">
      <x:c r="A168" s="31" t="str">
        <x:v>lithium</x:v>
      </x:c>
      <x:c r="B168" s="31" t="str">
        <x:v>lithium</x:v>
      </x:c>
      <x:c r="C168" s="38" t="str">
        <x:v>ลิ-เทียม-คาร์-บอร์-เนต</x:v>
      </x:c>
      <x:c r="D168" s="39" t="str">
        <x:v>รอตรวจสอบ</x:v>
      </x:c>
      <x:c r="E168" s="39" t="str">
        <x:v>[]</x:v>
      </x:c>
      <x:c r="F168" s="38" t="str">
        <x:v>ใช้รักษาและป้องกันภาวะแมเนีย (mania) และโรคอารมณ์สองขั้ว (ไบโพลาร์) • ใช้รักษาและป้องกันการกลับมาเป็ นซ้าของภาวะ ซึมเศร้า</x:v>
      </x:c>
      <x:c r="G168" s="32" t="b">
        <x:v>0</x:v>
      </x:c>
      <x:c r="H168" s="37" t="str">
        <x:v>["https://drug.fda.moph.go.th/media.php?id=862918386550710272&amp;name=43.LithiumCarbonate_capsule_PIL.pdf"]</x:v>
      </x:c>
      <x:c r="I168" s="31" t="str">
        <x:v>draft</x:v>
      </x:c>
      <x:c r="J168"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69">
      <x:c r="A169" s="31" t="str">
        <x:v>loperamide</x:v>
      </x:c>
      <x:c r="B169" s="31" t="str">
        <x:v>Loperamide</x:v>
      </x:c>
      <x:c r="C169" s="38" t="str">
        <x:v>โลเพอราไมด์</x:v>
      </x:c>
      <x:c r="D169" s="39" t="str">
        <x:v>รอตรวจสอบ</x:v>
      </x:c>
      <x:c r="E169" s="39" t="str">
        <x:v>[]</x:v>
      </x:c>
      <x:c r="F169" s="38" t="str">
        <x:v>ใช้รักษาท้องเสียชนิดเฉียบพลันในระยะสั้น • ใช้รักษาท้องเสียในผู้ที่มีภาวะล าไส้แปรปรวน</x:v>
      </x:c>
      <x:c r="G169" s="32" t="b">
        <x:v>0</x:v>
      </x:c>
      <x:c r="H169" s="37" t="str">
        <x:v>["https://drug.fda.moph.go.th/media.php?id=730438529573855232&amp;name=pil_Loperamide (TABLET 2 mg).pdf","https://drug.fda.moph.go.th/media.php?id=810406546952560640&amp;name=SMPC_Loperamide_Tablets.pdf","https://drug.fda.moph.go.th/media.php?id=808596182745096192&amp;name=Loperamide_Capsule_PIL.pdf"]</x:v>
      </x:c>
      <x:c r="I169" s="31" t="str">
        <x:v>draft</x:v>
      </x:c>
      <x:c r="J16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70">
      <x:c r="A170" s="31" t="str">
        <x:v>magnesium</x:v>
      </x:c>
      <x:c r="B170" s="31" t="str">
        <x:v>Magnesium sulfate</x:v>
      </x:c>
      <x:c r="C170" s="38" t="str">
        <x:v>รอตรวจสอบชื่อภาษาไทย</x:v>
      </x:c>
      <x:c r="D170" s="39" t="str">
        <x:v>รอตรวจสอบ</x:v>
      </x:c>
      <x:c r="E170" s="39" t="str">
        <x:v>[]</x:v>
      </x:c>
      <x:c r="F170" s="38" t="str">
        <x:v>ข้อมูลฉบับร่างจากเอกสารอ้างอิง อย. รอตรวจทานโดยผู้เชี่ยวชาญ</x:v>
      </x:c>
      <x:c r="G170" s="32" t="b">
        <x:v>0</x:v>
      </x:c>
      <x:c r="H170" s="37" t="str">
        <x:v>["https://drug.fda.moph.go.th/media.php?id=810407556395704320&amp;name=SMPC_Magnesium sulfate_Solution for Injection or Infusion.pdf"]</x:v>
      </x:c>
      <x:c r="I170" s="31" t="str">
        <x:v>draft</x:v>
      </x:c>
      <x:c r="J170" s="38" t="str">
        <x:v>Import batch thai_fda_20260718_v1: ต้องตรวจหมวดหมู่; ยังไม่กำหนดขนาดยาที่พบบ่อย; ต้องตรวจชื่อภาษาไทย; ห้ามเผยแพร่ก่อน Clinical review</x:v>
      </x:c>
    </x:row>
    <x:row r="171">
      <x:c r="A171" s="31" t="str">
        <x:v>magnesium_hydroxide</x:v>
      </x:c>
      <x:c r="B171" s="31" t="str">
        <x:v>Magnesium hydroxide</x:v>
      </x:c>
      <x:c r="C171" s="38" t="str">
        <x:v>ท่านมีภาวะต่อไปนี้</x:v>
      </x:c>
      <x:c r="D171" s="39" t="str">
        <x:v>รอตรวจสอบ</x:v>
      </x:c>
      <x:c r="E171" s="39" t="str">
        <x:v>[]</x:v>
      </x:c>
      <x:c r="F171" s="38" t="str">
        <x:v>ยาระบาย บรรเทาอาการท้ องผูก</x:v>
      </x:c>
      <x:c r="G171" s="32" t="b">
        <x:v>0</x:v>
      </x:c>
      <x:c r="H171" s="37" t="str">
        <x:v>["https://drug.fda.moph.go.th/media.php?id=733945016032043008&amp;name=PIL_Magnesium hydroxide ยาระบายแมกนีเซี (15032024).pdf","https://drug.fda.moph.go.th/media.php?id=810406985441878016&amp;name=SMPC_Magnesium hydroxide_Oral suspension.pdf"]</x:v>
      </x:c>
      <x:c r="I171" s="31" t="str">
        <x:v>draft</x:v>
      </x:c>
      <x:c r="J171"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72">
      <x:c r="A172" s="31" t="str">
        <x:v>magnesium_trisilicate</x:v>
      </x:c>
      <x:c r="B172" s="31" t="str">
        <x:v>Magnesium trisilicate</x:v>
      </x:c>
      <x:c r="C172" s="38" t="str">
        <x:v>รอตรวจสอบชื่อภาษาไทย</x:v>
      </x:c>
      <x:c r="D172" s="39" t="str">
        <x:v>รอตรวจสอบ</x:v>
      </x:c>
      <x:c r="E172" s="39" t="str">
        <x:v>[]</x:v>
      </x:c>
      <x:c r="F172" s="38" t="str">
        <x:v>ข้อมูลฉบับร่างจากเอกสารอ้างอิง อย. รอตรวจทานโดยผู้เชี่ยวชาญ</x:v>
      </x:c>
      <x:c r="G172" s="32" t="b">
        <x:v>0</x:v>
      </x:c>
      <x:c r="H172" s="37" t="str">
        <x:v>["https://drug.fda.moph.go.th/media.php?id=810407998043332608&amp;name=SMPC_Magnesium trisilicate_Tablets.pdf","https://drug.fda.moph.go.th/media.php?id=810408508334940160&amp;name=SMPC_Magnesium trisilicate_Chewable Tablets.pdf"]</x:v>
      </x:c>
      <x:c r="I172" s="31" t="str">
        <x:v>draft</x:v>
      </x:c>
      <x:c r="J172" s="38" t="str">
        <x:v>Import batch thai_fda_20260718_v1: ต้องตรวจหมวดหมู่; ยังไม่กำหนดขนาดยาที่พบบ่อย; ต้องตรวจชื่อภาษาไทย; ห้ามเผยแพร่ก่อน Clinical review</x:v>
      </x:c>
    </x:row>
    <x:row r="173">
      <x:c r="A173" s="31" t="str">
        <x:v>mannitol</x:v>
      </x:c>
      <x:c r="B173" s="31" t="str">
        <x:v>Mannitol</x:v>
      </x:c>
      <x:c r="C173" s="38" t="str">
        <x:v>รอตรวจสอบชื่อภาษาไทย</x:v>
      </x:c>
      <x:c r="D173" s="39" t="str">
        <x:v>รอตรวจสอบ</x:v>
      </x:c>
      <x:c r="E173" s="39" t="str">
        <x:v>[]</x:v>
      </x:c>
      <x:c r="F173" s="38" t="str">
        <x:v>ข้อมูลฉบับร่างจากเอกสารอ้างอิง อย. รอตรวจทานโดยผู้เชี่ยวชาญ</x:v>
      </x:c>
      <x:c r="G173" s="32" t="b">
        <x:v>0</x:v>
      </x:c>
      <x:c r="H173" s="37" t="str">
        <x:v>["https://drug.fda.moph.go.th/media.php?id=810409159391584256&amp;name=SMPC_Mannitol_Solution for Infusion.pdf"]</x:v>
      </x:c>
      <x:c r="I173" s="31" t="str">
        <x:v>draft</x:v>
      </x:c>
      <x:c r="J173" s="38" t="str">
        <x:v>Import batch thai_fda_20260718_v1: ต้องตรวจหมวดหมู่; ยังไม่กำหนดขนาดยาที่พบบ่อย; ต้องตรวจชื่อภาษาไทย; ห้ามเผยแพร่ก่อน Clinical review</x:v>
      </x:c>
    </x:row>
    <x:row r="174">
      <x:c r="A174" s="31" t="str">
        <x:v>mebendazole</x:v>
      </x:c>
      <x:c r="B174" s="31" t="str">
        <x:v>Mebendazole</x:v>
      </x:c>
      <x:c r="C174" s="38" t="str">
        <x:v>ยาถ่ายพยาธิตัวกลม มีเบนดาโซล</x:v>
      </x:c>
      <x:c r="D174" s="39" t="str">
        <x:v>รอตรวจสอบ</x:v>
      </x:c>
      <x:c r="E174" s="39" t="str">
        <x:v>[]</x:v>
      </x:c>
      <x:c r="F174" s="38" t="str">
        <x:v>ใช้เพื่อ ถ่ายพยาธิเส้นด้ าย พยาธิ ตัวกลม , พยาธิ ไส้เดือน, พ ย า ธิแส้ม้า, พยาธิปากขอ, พยาธิเข็มหมุด</x:v>
      </x:c>
      <x:c r="G174" s="32" t="b">
        <x:v>0</x:v>
      </x:c>
      <x:c r="H174" s="37" t="str">
        <x:v>["https://drug.fda.moph.go.th/media.php?id=810409612485468160&amp;name=SMPC_Mebendazole_oral suspension.pdf","https://drug.fda.moph.go.th/media.php?id=733943326377648128&amp;name=PIL_Mebendazole ยาถ่ายพยาธิตัวกลม (15032024).pdf"]</x:v>
      </x:c>
      <x:c r="I174" s="31" t="str">
        <x:v>draft</x:v>
      </x:c>
      <x:c r="J17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75">
      <x:c r="A175" s="31" t="str">
        <x:v>mebeverine</x:v>
      </x:c>
      <x:c r="B175" s="31" t="str">
        <x:v>Mebeverine hydrochloride</x:v>
      </x:c>
      <x:c r="C175" s="38" t="str">
        <x:v>เมเบเวอรีน</x:v>
      </x:c>
      <x:c r="D175" s="39" t="str">
        <x:v>รอตรวจสอบ</x:v>
      </x:c>
      <x:c r="E175" s="39" t="str">
        <x:v>[]</x:v>
      </x:c>
      <x:c r="F175" s="38" t="str">
        <x:v>ใช้รักษาโรคล าไส้แปรปรวน • ใช้รักษาภาวะล าไส้บีบตัวหรือหดเกร็งมากกว่าปกติ</x:v>
      </x:c>
      <x:c r="G175" s="32" t="b">
        <x:v>0</x:v>
      </x:c>
      <x:c r="H175" s="37" t="str">
        <x:v>["https://drug.fda.moph.go.th/media.php?id=730439513196863488&amp;name=pil_Mebeverine hydrochloride (FILM COATED TABLET 135 mg).pdf"]</x:v>
      </x:c>
      <x:c r="I175" s="31" t="str">
        <x:v>draft</x:v>
      </x:c>
      <x:c r="J17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76">
      <x:c r="A176" s="31" t="str">
        <x:v>mebhydrolin</x:v>
      </x:c>
      <x:c r="B176" s="31" t="str">
        <x:v>Mebhydrolin</x:v>
      </x:c>
      <x:c r="C176" s="38" t="str">
        <x:v>เม็บ-ไฮ-โดร-ลิน</x:v>
      </x:c>
      <x:c r="D176" s="39" t="str">
        <x:v>รอตรวจสอบ</x:v>
      </x:c>
      <x:c r="E176" s="39" t="str">
        <x:v>[]</x:v>
      </x:c>
      <x:c r="F176" s="38" t="str">
        <x:v>ใช้เพื่อบรรเทาอาการต่าง ๆ จากการแพ้ เช่น น้ามูกไหล คันจมูก จาม ตาแดง คันตา หรือบรรเทา อาการแพ้บริเวณผิวหนัง เช่น ผื่นคัน ลมพิษ</x:v>
      </x:c>
      <x:c r="G176" s="32" t="b">
        <x:v>0</x:v>
      </x:c>
      <x:c r="H176" s="37" t="str">
        <x:v>["https://drug.fda.moph.go.th/media.php?id=808597501648183296&amp;name=Mebhydrolin_capsule_PIL.pdf"]</x:v>
      </x:c>
      <x:c r="I176" s="31" t="str">
        <x:v>draft</x:v>
      </x:c>
      <x:c r="J176"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77">
      <x:c r="A177" s="31" t="str">
        <x:v>medroxyprogesterone</x:v>
      </x:c>
      <x:c r="B177" s="31" t="str">
        <x:v>Medroxyprogesterone acetate</x:v>
      </x:c>
      <x:c r="C177" s="38" t="str">
        <x:v>เม-ดร็อก-ซี-โพร-เจส-เทอ-โรน-แอ-ซี-เทต</x:v>
      </x:c>
      <x:c r="D177" s="39" t="str">
        <x:v>รอตรวจสอบ</x:v>
      </x:c>
      <x:c r="E177" s="39" t="str">
        <x:v>[]</x:v>
      </x:c>
      <x:c r="F177" s="38" t="str">
        <x:v>ใช้เพื่อคุมก าเนิดในผู้หญิง</x:v>
      </x:c>
      <x:c r="G177" s="32" t="b">
        <x:v>0</x:v>
      </x:c>
      <x:c r="H177" s="37" t="str">
        <x:v>["https://drug.fda.moph.go.th/media.php?id=730440517598453760&amp;name=pil_Medroxyprogesterone acetate(SUSPENSION FOR INJECTION).pdf","https://drug.fda.moph.go.th/media.php?id=810410089709182976&amp;name=SMPC_Medroxyprogesterone acetate_Suspension for Injection.pdf"]</x:v>
      </x:c>
      <x:c r="I177" s="31" t="str">
        <x:v>draft</x:v>
      </x:c>
      <x:c r="J17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78">
      <x:c r="A178" s="31" t="str">
        <x:v>mefenamic_acid</x:v>
      </x:c>
      <x:c r="B178" s="31" t="str">
        <x:v>Mefenamic acid</x:v>
      </x:c>
      <x:c r="C178" s="38" t="str">
        <x:v>รอตรวจสอบชื่อภาษาไทย</x:v>
      </x:c>
      <x:c r="D178" s="39" t="str">
        <x:v>รอตรวจสอบ</x:v>
      </x:c>
      <x:c r="E178" s="39" t="str">
        <x:v>[]</x:v>
      </x:c>
      <x:c r="F178" s="38" t="str">
        <x:v>ข้อมูลฉบับร่างจากเอกสารอ้างอิง อย. รอตรวจทานโดยผู้เชี่ยวชาญ</x:v>
      </x:c>
      <x:c r="G178" s="32" t="b">
        <x:v>0</x:v>
      </x:c>
      <x:c r="H178" s="37" t="str">
        <x:v>["https://drug.fda.moph.go.th/media.php?id=810410734201741312&amp;name=SMPC_Mefenamic acid_Capsules.pdf"]</x:v>
      </x:c>
      <x:c r="I178" s="31" t="str">
        <x:v>draft</x:v>
      </x:c>
      <x:c r="J178" s="38" t="str">
        <x:v>Import batch thai_fda_20260718_v1: ต้องตรวจหมวดหมู่; ยังไม่กำหนดขนาดยาที่พบบ่อย; ต้องตรวจชื่อภาษาไทย; ห้ามเผยแพร่ก่อน Clinical review</x:v>
      </x:c>
    </x:row>
    <x:row r="179">
      <x:c r="A179" s="31" t="str">
        <x:v>menthol_eucalyptus_oil</x:v>
      </x:c>
      <x:c r="B179" s="31" t="str">
        <x:v>Menthol + Eucalyptus oil</x:v>
      </x:c>
      <x:c r="C179" s="38" t="str">
        <x:v>รอตรวจสอบชื่อภาษาไทย</x:v>
      </x:c>
      <x:c r="D179" s="39" t="str">
        <x:v>รอตรวจสอบ</x:v>
      </x:c>
      <x:c r="E179" s="39" t="str">
        <x:v>[]</x:v>
      </x:c>
      <x:c r="F179" s="38" t="str">
        <x:v>ข้อมูลฉบับร่างจากเอกสารอ้างอิง อย. รอตรวจทานโดยผู้เชี่ยวชาญ</x:v>
      </x:c>
      <x:c r="G179" s="32" t="b">
        <x:v>0</x:v>
      </x:c>
      <x:c r="H179" s="37" t="str">
        <x:v>["https://drug.fda.moph.go.th/media.php?id=810411159340589056&amp;name=SMPC_Menthol and Eucalyptus_Inhalation.pdf"]</x:v>
      </x:c>
      <x:c r="I179" s="31" t="str">
        <x:v>draft</x:v>
      </x:c>
      <x:c r="J179" s="38" t="str">
        <x:v>Import batch thai_fda_20260718_v1: ต้องตรวจหมวดหมู่; ยังไม่กำหนดขนาดยาที่พบบ่อย; ต้องตรวจชื่อภาษาไทย; ห้ามเผยแพร่ก่อน Clinical review</x:v>
      </x:c>
    </x:row>
    <x:row r="180">
      <x:c r="A180" s="31" t="str">
        <x:v>metformin</x:v>
      </x:c>
      <x:c r="B180" s="31" t="str">
        <x:v>Metformin</x:v>
      </x:c>
      <x:c r="C180" s="38" t="str">
        <x:v>รอตรวจสอบชื่อภาษาไทย</x:v>
      </x:c>
      <x:c r="D180" s="39" t="str">
        <x:v>รอตรวจสอบ</x:v>
      </x:c>
      <x:c r="E180" s="39" t="str">
        <x:v>[]</x:v>
      </x:c>
      <x:c r="F180" s="38" t="str">
        <x:v>ข้อมูลฉบับร่างจากเอกสารอ้างอิง อย. รอตรวจทานโดยผู้เชี่ยวชาญ</x:v>
      </x:c>
      <x:c r="G180" s="32" t="b">
        <x:v>0</x:v>
      </x:c>
      <x:c r="H180" s="37" t="str">
        <x:v>["https://drug.fda.moph.go.th/media.php?id=810411685197258752&amp;name=SMPC_Metformin_Film-coated Tablet.pdf"]</x:v>
      </x:c>
      <x:c r="I180" s="31" t="str">
        <x:v>draft</x:v>
      </x:c>
      <x:c r="J180" s="38" t="str">
        <x:v>Import batch thai_fda_20260718_v1: ต้องตรวจหมวดหมู่; ยังไม่กำหนดขนาดยาที่พบบ่อย; ต้องตรวจชื่อภาษาไทย; ห้ามเผยแพร่ก่อน Clinical review</x:v>
      </x:c>
    </x:row>
    <x:row r="181">
      <x:c r="A181" s="31" t="str">
        <x:v>methimazole_thiamazole</x:v>
      </x:c>
      <x:c r="B181" s="31" t="str">
        <x:v>Methimazole (Thiamazole)</x:v>
      </x:c>
      <x:c r="C181" s="38" t="str">
        <x:v>ชนิดเม็ด</x:v>
      </x:c>
      <x:c r="D181" s="39" t="str">
        <x:v>รอตรวจสอบ</x:v>
      </x:c>
      <x:c r="E181" s="39" t="str">
        <x:v>[]</x:v>
      </x:c>
      <x:c r="F181" s="38" t="str">
        <x:v>ใช้รักษาภาวะไทรอยด์ไทรอยด์เป็ นพิษ (ฮอร์โมน ไทรอยด์สูง) • ใช้รักษาโรคคอพอกจากภาวะไทรอยด์เป็ นพิษ</x:v>
      </x:c>
      <x:c r="G181" s="32" t="b">
        <x:v>0</x:v>
      </x:c>
      <x:c r="H181" s="37" t="str">
        <x:v>["https://drug.fda.moph.go.th/media.php?id=730440659181379584&amp;name=pil_Methimazole (Thiamazole) (TABLET 5 mg).pdf"]</x:v>
      </x:c>
      <x:c r="I181" s="31" t="str">
        <x:v>draft</x:v>
      </x:c>
      <x:c r="J181"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82">
      <x:c r="A182" s="31" t="str">
        <x:v>methocarbamol</x:v>
      </x:c>
      <x:c r="B182" s="31" t="str">
        <x:v>Methocarbamol</x:v>
      </x:c>
      <x:c r="C182" s="38" t="str">
        <x:v>รอตรวจสอบชื่อภาษาไทย</x:v>
      </x:c>
      <x:c r="D182" s="39" t="str">
        <x:v>รอตรวจสอบ</x:v>
      </x:c>
      <x:c r="E182" s="39" t="str">
        <x:v>[]</x:v>
      </x:c>
      <x:c r="F182" s="38" t="str">
        <x:v>ข้อมูลฉบับร่างจากเอกสารอ้างอิง อย. รอตรวจทานโดยผู้เชี่ยวชาญ</x:v>
      </x:c>
      <x:c r="G182" s="32" t="b">
        <x:v>0</x:v>
      </x:c>
      <x:c r="H182" s="37" t="str">
        <x:v>["https://drug.fda.moph.go.th/media.php?id=810412334496489472&amp;name=SMPC_Methocarbamol_Film-coated Tablet.pdf"]</x:v>
      </x:c>
      <x:c r="I182" s="31" t="str">
        <x:v>draft</x:v>
      </x:c>
      <x:c r="J182" s="38" t="str">
        <x:v>Import batch thai_fda_20260718_v1: ต้องตรวจหมวดหมู่; ยังไม่กำหนดขนาดยาที่พบบ่อย; ต้องตรวจชื่อภาษาไทย; ห้ามเผยแพร่ก่อน Clinical review</x:v>
      </x:c>
    </x:row>
    <x:row r="183">
      <x:c r="A183" s="31" t="str">
        <x:v>methotrexate</x:v>
      </x:c>
      <x:c r="B183" s="31" t="str">
        <x:v>methotrexate</x:v>
      </x:c>
      <x:c r="C183" s="38" t="str">
        <x:v>เมโทเทร็กเซต</x:v>
      </x:c>
      <x:c r="D183" s="39" t="str">
        <x:v>รอตรวจสอบ</x:v>
      </x:c>
      <x:c r="E183" s="39" t="str">
        <x:v>[]</x:v>
      </x:c>
      <x:c r="F183" s="38" t="str">
        <x:v>ใช้เพื่อรักษาโรคมะเร็งบางชนิด • ใช้เพื่อรักษาโรคสะเก็ดเงินที่ไม่ตอบสนองต่อการ รักษา • ใช้เพื่อรักษาโรคข้ ออักเสบรูมาตอยด์</x:v>
      </x:c>
      <x:c r="G183" s="32" t="b">
        <x:v>0</x:v>
      </x:c>
      <x:c r="H183" s="37" t="str">
        <x:v>["https://drug.fda.moph.go.th/media.php?id=862918389411225600&amp;name=15.Methotrexate_Inj_PIL_final.pdf"]</x:v>
      </x:c>
      <x:c r="I183" s="31" t="str">
        <x:v>draft</x:v>
      </x:c>
      <x:c r="J18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84">
      <x:c r="A184" s="31" t="str">
        <x:v>methyldopa</x:v>
      </x:c>
      <x:c r="B184" s="31" t="str">
        <x:v>Methyldopa</x:v>
      </x:c>
      <x:c r="C184" s="38" t="str">
        <x:v>เมทิลโดพา</x:v>
      </x:c>
      <x:c r="D184" s="39" t="str">
        <x:v>รอตรวจสอบ</x:v>
      </x:c>
      <x:c r="E184" s="39" t="str">
        <x:v>[]</x:v>
      </x:c>
      <x:c r="F184" s="38" t="str">
        <x:v>ใช้รักษาโรคความดันโลหิตสูง</x:v>
      </x:c>
      <x:c r="G184" s="32" t="b">
        <x:v>0</x:v>
      </x:c>
      <x:c r="H184" s="37" t="str">
        <x:v>["https://drug.fda.moph.go.th/media.php?id=730440782443585536&amp;name=pil_Methyldopa (TABLET 125 mg, 250 mg).pdf"]</x:v>
      </x:c>
      <x:c r="I184" s="31" t="str">
        <x:v>draft</x:v>
      </x:c>
      <x:c r="J18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85">
      <x:c r="A185" s="31" t="str">
        <x:v>methylergometrine</x:v>
      </x:c>
      <x:c r="B185" s="31" t="str">
        <x:v>Methylergometrine maleate</x:v>
      </x:c>
      <x:c r="C185" s="38" t="str">
        <x:v>เม-ทิล-เออร์-โก-เม-ทริน-มา-ลี-เอต</x:v>
      </x:c>
      <x:c r="D185" s="39" t="str">
        <x:v>รอตรวจสอบ</x:v>
      </x:c>
      <x:c r="E185" s="39" t="str">
        <x:v>[]</x:v>
      </x:c>
      <x:c r="F185" s="38" t="str">
        <x:v>ใช้เพื่อป้องกันและรักษาอาการตกเลือดหลังคลอดหรือ หลังแท้ งลูก</x:v>
      </x:c>
      <x:c r="G185" s="32" t="b">
        <x:v>0</x:v>
      </x:c>
      <x:c r="H185" s="37" t="str">
        <x:v>["https://drug.fda.moph.go.th/media.php?id=730440912047579136&amp;name=pil_Methylergometrine maleate (STERILE SOLUTION FOR INJECTION).pdf"]</x:v>
      </x:c>
      <x:c r="I185" s="31" t="str">
        <x:v>draft</x:v>
      </x:c>
      <x:c r="J18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86">
      <x:c r="A186" s="31" t="str">
        <x:v>methylprednisolone</x:v>
      </x:c>
      <x:c r="B186" s="31" t="str">
        <x:v>Methylprednisolone sodium succinate</x:v>
      </x:c>
      <x:c r="C186" s="38" t="str">
        <x:v>รอตรวจสอบชื่อภาษาไทย</x:v>
      </x:c>
      <x:c r="D186" s="39" t="str">
        <x:v>รอตรวจสอบ</x:v>
      </x:c>
      <x:c r="E186" s="39" t="str">
        <x:v>[]</x:v>
      </x:c>
      <x:c r="F186" s="38" t="str">
        <x:v>ข้อมูลฉบับร่างจากเอกสารอ้างอิง อย. รอตรวจทานโดยผู้เชี่ยวชาญ</x:v>
      </x:c>
      <x:c r="G186" s="32" t="b">
        <x:v>0</x:v>
      </x:c>
      <x:c r="H186" s="37" t="str">
        <x:v>["https://drug.fda.moph.go.th/media.php?id=810412748335882240&amp;name=SMPC_Methylprednisolone_Powders for solutions for injections or infusions.pdf"]</x:v>
      </x:c>
      <x:c r="I186" s="31" t="str">
        <x:v>draft</x:v>
      </x:c>
      <x:c r="J186" s="38" t="str">
        <x:v>Import batch thai_fda_20260718_v1: ต้องตรวจหมวดหมู่; ยังไม่กำหนดขนาดยาที่พบบ่อย; ต้องตรวจชื่อภาษาไทย; ห้ามเผยแพร่ก่อน Clinical review</x:v>
      </x:c>
    </x:row>
    <x:row r="187">
      <x:c r="A187" s="31" t="str">
        <x:v>metoclopramide</x:v>
      </x:c>
      <x:c r="B187" s="31" t="str">
        <x:v>Metoclopramide hydrochloride</x:v>
      </x:c>
      <x:c r="C187" s="38" t="str">
        <x:v>เม-โท-โคล-พรา-ไมด์-ไฮ-โดร-คลอ-ไรด์</x:v>
      </x:c>
      <x:c r="D187" s="39" t="str">
        <x:v>รอตรวจสอบ</x:v>
      </x:c>
      <x:c r="E187" s="39" t="str">
        <x:v>[]</x:v>
      </x:c>
      <x:c r="F187" s="38" t="str">
        <x:v>ใช้เพื่อรักษาอาการคลื่นไส้ อาเจียน • ใช้เพื่อป้องกันอาการคลื่นไส้ อาเจียน ที่เกิดจาก การได้รับยาเคมีบ าบัดหรือการฉายรังสี</x:v>
      </x:c>
      <x:c r="G187" s="32" t="b">
        <x:v>0</x:v>
      </x:c>
      <x:c r="H187" s="37" t="str">
        <x:v>["https://drug.fda.moph.go.th/media.php?id=808598096819920896&amp;name=MetoclopramideHydrochloride_compressedTablet_PIL.pdf","https://drug.fda.moph.go.th/media.php?id=730441114384998400&amp;name=pil_Metoclopramide hydrochloride (SYRUP 5 mg,5 ml).pdf","https://drug.fda.moph.go.th/media.php?id=730441069484974080&amp;name=pil_Metoclopramide hydrochloride (TABLET 10 mg).pdf","https://drug.fda.moph.go.th/media.php?id=810414829838934016&amp;name=SMPC_Metoclopramide_Tablets.pdf","https://drug.fda.moph.go.th/media.php?id=810415338977107968&amp;name=SMPC_Metoclopramide_solution for infusion.pdf","https://drug.fda.moph.go.th/media.php?id=810416020589256704&amp;name=SMPC_Metoclopramide_Oral Solution.pdf"]</x:v>
      </x:c>
      <x:c r="I187" s="31" t="str">
        <x:v>draft</x:v>
      </x:c>
      <x:c r="J18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88">
      <x:c r="A188" s="31" t="str">
        <x:v>metronidazole</x:v>
      </x:c>
      <x:c r="B188" s="31" t="str">
        <x:v>Metronidazole</x:v>
      </x:c>
      <x:c r="C188" s="38" t="str">
        <x:v>เมโทรไนดาโซล</x:v>
      </x:c>
      <x:c r="D188" s="39" t="str">
        <x:v>รอตรวจสอบ</x:v>
      </x:c>
      <x:c r="E188" s="39" t="str">
        <x:v>[]</x:v>
      </x:c>
      <x:c r="F188" s="38" t="str">
        <x:v>● ใช้เพื่อรักษาโรคติดเชื้อบางชนิดที่ไวต่อยานี้ เช่น แบคทีเรีย ปรสิต</x:v>
      </x:c>
      <x:c r="G188" s="32" t="b">
        <x:v>0</x:v>
      </x:c>
      <x:c r="H188" s="37" t="str">
        <x:v>["https://drug.fda.moph.go.th/media.php?id=808598399409594368&amp;name=Metronidazole_compressedTabletFilmeCoatedTablet_PIL.pdf","https://drug.fda.moph.go.th/media.php?id=810416555195244544&amp;name=SMPC_Metronidazole_Tablets.pdf","https://drug.fda.moph.go.th/media.php?id=810416973254107136&amp;name=SMPC_Metronidazole_Solutions for injections or infusions.pdf"]</x:v>
      </x:c>
      <x:c r="I188" s="31" t="str">
        <x:v>draft</x:v>
      </x:c>
      <x:c r="J188"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89">
      <x:c r="A189" s="31" t="str">
        <x:v>mianserin</x:v>
      </x:c>
      <x:c r="B189" s="31" t="str">
        <x:v>Mianserin hydrochloride</x:v>
      </x:c>
      <x:c r="C189" s="38" t="str">
        <x:v>ไม-แอน-เซอ-ริน-ไฮ-โดร-คลอ-ไรด์</x:v>
      </x:c>
      <x:c r="D189" s="39" t="str">
        <x:v>รอตรวจสอบ</x:v>
      </x:c>
      <x:c r="E189" s="39" t="str">
        <x:v>[]</x:v>
      </x:c>
      <x:c r="F189" s="38" t="str">
        <x:v>ใช้รักษาโรคซึมเศร้าที่แพทย์พิจารณาแล้วว่าต้องใช้ ยานี้</x:v>
      </x:c>
      <x:c r="G189" s="32" t="b">
        <x:v>0</x:v>
      </x:c>
      <x:c r="H189" s="37" t="str">
        <x:v>["https://drug.fda.moph.go.th/media.php?id=810417450431684608&amp;name=SMPC_Mianserin_Tablets.pdf","https://drug.fda.moph.go.th/media.php?id=862918387217604608&amp;name=37.Mianserin_tablet_PIL-final.pdf"]</x:v>
      </x:c>
      <x:c r="I189" s="31" t="str">
        <x:v>draft</x:v>
      </x:c>
      <x:c r="J18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90">
      <x:c r="A190" s="31" t="str">
        <x:v>miconazole</x:v>
      </x:c>
      <x:c r="B190" s="31" t="str">
        <x:v>Miconazole</x:v>
      </x:c>
      <x:c r="C190" s="38" t="str">
        <x:v>รอตรวจสอบชื่อภาษาไทย</x:v>
      </x:c>
      <x:c r="D190" s="39" t="str">
        <x:v>รอตรวจสอบ</x:v>
      </x:c>
      <x:c r="E190" s="39" t="str">
        <x:v>[]</x:v>
      </x:c>
      <x:c r="F190" s="38" t="str">
        <x:v>ข้อมูลฉบับร่างจากเอกสารอ้างอิง อย. รอตรวจทานโดยผู้เชี่ยวชาญ</x:v>
      </x:c>
      <x:c r="G190" s="32" t="b">
        <x:v>0</x:v>
      </x:c>
      <x:c r="H190" s="37" t="str">
        <x:v>["https://drug.fda.moph.go.th/media.php?id=810417927433101312&amp;name=SMPC_Miconazole_Oral gel.pdf","https://drug.fda.moph.go.th/media.php?id=810418354249670656&amp;name=SMPC_Miconazole_Cream.pdf"]</x:v>
      </x:c>
      <x:c r="I190" s="31" t="str">
        <x:v>draft</x:v>
      </x:c>
      <x:c r="J190" s="38" t="str">
        <x:v>Import batch thai_fda_20260718_v1: ต้องตรวจหมวดหมู่; ยังไม่กำหนดขนาดยาที่พบบ่อย; ต้องตรวจชื่อภาษาไทย; ห้ามเผยแพร่ก่อน Clinical review</x:v>
      </x:c>
    </x:row>
    <x:row r="191">
      <x:c r="A191" s="31" t="str">
        <x:v>miconazole_hydrocortisone</x:v>
      </x:c>
      <x:c r="B191" s="31" t="str">
        <x:v>Miconazole nitrate + Hydrocortisone</x:v>
      </x:c>
      <x:c r="C191" s="38" t="str">
        <x:v>รอตรวจสอบชื่อภาษาไทย</x:v>
      </x:c>
      <x:c r="D191" s="39" t="str">
        <x:v>รอตรวจสอบ</x:v>
      </x:c>
      <x:c r="E191" s="39" t="str">
        <x:v>[]</x:v>
      </x:c>
      <x:c r="F191" s="38" t="str">
        <x:v>ข้อมูลฉบับร่างจากเอกสารอ้างอิง อย. รอตรวจทานโดยผู้เชี่ยวชาญ</x:v>
      </x:c>
      <x:c r="G191" s="32" t="b">
        <x:v>0</x:v>
      </x:c>
      <x:c r="H191" s="37" t="str">
        <x:v>["https://drug.fda.moph.go.th/media.php?id=810418770794389504&amp;name=SMPC_Miconazole+hydrocortisone_Cream.pdf"]</x:v>
      </x:c>
      <x:c r="I191" s="31" t="str">
        <x:v>draft</x:v>
      </x:c>
      <x:c r="J191" s="38" t="str">
        <x:v>Import batch thai_fda_20260718_v1: ต้องตรวจหมวดหมู่; ยังไม่กำหนดขนาดยาที่พบบ่อย; ต้องตรวจชื่อภาษาไทย; ห้ามเผยแพร่ก่อน Clinical review</x:v>
      </x:c>
    </x:row>
    <x:row r="192">
      <x:c r="A192" s="31" t="str">
        <x:v>milk_of_magnesia</x:v>
      </x:c>
      <x:c r="B192" s="31" t="str">
        <x:v>Milk of magnesia</x:v>
      </x:c>
      <x:c r="C192" s="38" t="str">
        <x:v>ท่านมีภาวะต่อไปนี้</x:v>
      </x:c>
      <x:c r="D192" s="39" t="str">
        <x:v>รอตรวจสอบ</x:v>
      </x:c>
      <x:c r="E192" s="39" t="str">
        <x:v>[]</x:v>
      </x:c>
      <x:c r="F192" s="38" t="str">
        <x:v>ยาระบาย บรรเทาอาการท้ องผูก</x:v>
      </x:c>
      <x:c r="G192" s="32" t="b">
        <x:v>0</x:v>
      </x:c>
      <x:c r="H192" s="37" t="str">
        <x:v>["https://drug.fda.moph.go.th/media.php?id=733942889922568192&amp;name=PIL_Milk of Magnesia_(15032024).pdf"]</x:v>
      </x:c>
      <x:c r="I192" s="31" t="str">
        <x:v>draft</x:v>
      </x:c>
      <x:c r="J19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93">
      <x:c r="A193" s="31" t="str">
        <x:v>minoxidil</x:v>
      </x:c>
      <x:c r="B193" s="31" t="str">
        <x:v>Minoxidil</x:v>
      </x:c>
      <x:c r="C193" s="38" t="str">
        <x:v>ไม-น็อก-ซิ-ดิล</x:v>
      </x:c>
      <x:c r="D193" s="39" t="str">
        <x:v>รอตรวจสอบ</x:v>
      </x:c>
      <x:c r="E193" s="39" t="str">
        <x:v>[]</x:v>
      </x:c>
      <x:c r="F193" s="38" t="str">
        <x:v>● ใช้รักษาผมร่วง ในผู้ชายหรือผู้หญิง อายุ 18-65 ปี</x:v>
      </x:c>
      <x:c r="G193" s="32" t="b">
        <x:v>0</x:v>
      </x:c>
      <x:c r="H193" s="37" t="str">
        <x:v>["https://drug.fda.moph.go.th/media.php?id=808598734081499136&amp;name=Minoxidil_2_LotionAqueoussolution_PIL.pdf","https://drug.fda.moph.go.th/media.php?id=904601734335307776&amp;name=10. Ref PIL_Minoxidil lotion 5_.pdf","https://drug.fda.moph.go.th/media.php?id=808599071341289472&amp;name=Minoxidil_tablet_PIL.pdf"]</x:v>
      </x:c>
      <x:c r="I193" s="31" t="str">
        <x:v>draft</x:v>
      </x:c>
      <x:c r="J19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94">
      <x:c r="A194" s="31" t="str">
        <x:v>mucopolysaccharide_polysulphate</x:v>
      </x:c>
      <x:c r="B194" s="31" t="str">
        <x:v>Mucopolysaccharide polysulphate</x:v>
      </x:c>
      <x:c r="C194" s="38" t="str">
        <x:v>รอตรวจสอบชื่อภาษาไทย</x:v>
      </x:c>
      <x:c r="D194" s="39" t="str">
        <x:v>รอตรวจสอบ</x:v>
      </x:c>
      <x:c r="E194" s="39" t="str">
        <x:v>[]</x:v>
      </x:c>
      <x:c r="F194" s="38" t="str">
        <x:v>ข้อมูลฉบับร่างจากเอกสารอ้างอิง อย. รอตรวจทานโดยผู้เชี่ยวชาญ</x:v>
      </x:c>
      <x:c r="G194" s="32" t="b">
        <x:v>0</x:v>
      </x:c>
      <x:c r="H194" s="37" t="str">
        <x:v>["https://drug.fda.moph.go.th/media.php?id=810420646990454784&amp;name=SMPC_Mucopolysaccharide _Cream.pdf"]</x:v>
      </x:c>
      <x:c r="I194" s="31" t="str">
        <x:v>draft</x:v>
      </x:c>
      <x:c r="J194" s="38" t="str">
        <x:v>Import batch thai_fda_20260718_v1: ต้องตรวจหมวดหมู่; ยังไม่กำหนดขนาดยาที่พบบ่อย; ต้องตรวจชื่อภาษาไทย; ห้ามเผยแพร่ก่อน Clinical review</x:v>
      </x:c>
    </x:row>
    <x:row r="195">
      <x:c r="A195" s="31" t="str">
        <x:v>multivitamin</x:v>
      </x:c>
      <x:c r="B195" s="31" t="str">
        <x:v>Multivitamin</x:v>
      </x:c>
      <x:c r="C195" s="38" t="str">
        <x:v>รอตรวจสอบชื่อภาษาไทย</x:v>
      </x:c>
      <x:c r="D195" s="39" t="str">
        <x:v>รอตรวจสอบ</x:v>
      </x:c>
      <x:c r="E195" s="39" t="str">
        <x:v>[]</x:v>
      </x:c>
      <x:c r="F195" s="38" t="str">
        <x:v>รักษาผู้ ที่มีภาวะขาดวิตามิน • รักษาผู้ ที่ขาดสารอาหารหรือรับประทานอาหาร ไม่เพียงพอ เพื่อลดความเสี่ยงการขาดวิตามิน • ใช้บ ารุงร่างกาย • เสริมสร้ างสุขภาพหรือการเจริญเติบโตของ ร่างกาย</x:v>
      </x:c>
      <x:c r="G195" s="32" t="b">
        <x:v>0</x:v>
      </x:c>
      <x:c r="H195" s="37" t="str">
        <x:v>["https://drug.fda.moph.go.th/media.php?id=808599891721986048&amp;name=Multivitamin_drop_PIL.pdf","https://drug.fda.moph.go.th/media.php?id=808600132265320448&amp;name=Multivitamin_syrup_PIL.pdf"]</x:v>
      </x:c>
      <x:c r="I195" s="31" t="str">
        <x:v>draft</x:v>
      </x:c>
      <x:c r="J195"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196">
      <x:c r="A196" s="31" t="str">
        <x:v>multivitamins</x:v>
      </x:c>
      <x:c r="B196" s="31" t="str">
        <x:v>Multivitamins</x:v>
      </x:c>
      <x:c r="C196" s="38" t="str">
        <x:v>รอตรวจสอบชื่อภาษาไทย</x:v>
      </x:c>
      <x:c r="D196" s="39" t="str">
        <x:v>รอตรวจสอบ</x:v>
      </x:c>
      <x:c r="E196" s="39" t="str">
        <x:v>[]</x:v>
      </x:c>
      <x:c r="F196" s="38" t="str">
        <x:v>รักษาผู้ ที่มีภาวะขาดวิตามิน • รักษาผู้ ที่ขาดสารอาหารหรือรับประทานอาหาร ไม่เพียงพอ เพื่อลดความเสี่ยงการขาดวิตามิน • ใช้บํารุงร่างกาย • เสริมสร้ างสุขภาพหรือการเจริญเติบโตของ ร่างกาย</x:v>
      </x:c>
      <x:c r="G196" s="32" t="b">
        <x:v>0</x:v>
      </x:c>
      <x:c r="H196" s="37" t="str">
        <x:v>["https://drug.fda.moph.go.th/media.php?id=733942030962663424&amp;name=56 PIL_Multivitamins ชนิดเม็ดและแคปซูล_(11042024).pdf"]</x:v>
      </x:c>
      <x:c r="I196" s="31" t="str">
        <x:v>draft</x:v>
      </x:c>
      <x:c r="J196"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197">
      <x:c r="A197" s="31" t="str">
        <x:v>naproxen</x:v>
      </x:c>
      <x:c r="B197" s="31" t="str">
        <x:v>Naproxen</x:v>
      </x:c>
      <x:c r="C197" s="38" t="str">
        <x:v>รอตรวจสอบชื่อภาษาไทย</x:v>
      </x:c>
      <x:c r="D197" s="39" t="str">
        <x:v>รอตรวจสอบ</x:v>
      </x:c>
      <x:c r="E197" s="39" t="str">
        <x:v>[]</x:v>
      </x:c>
      <x:c r="F197" s="38" t="str">
        <x:v>ข้อมูลฉบับร่างจากเอกสารอ้างอิง อย. รอตรวจทานโดยผู้เชี่ยวชาญ</x:v>
      </x:c>
      <x:c r="G197" s="32" t="b">
        <x:v>0</x:v>
      </x:c>
      <x:c r="H197" s="37" t="str">
        <x:v>["https://drug.fda.moph.go.th/media.php?id=810422587254513664&amp;name=SMPC_Naproxen_Tablets.pdf"]</x:v>
      </x:c>
      <x:c r="I197" s="31" t="str">
        <x:v>draft</x:v>
      </x:c>
      <x:c r="J197" s="38" t="str">
        <x:v>Import batch thai_fda_20260718_v1: ต้องตรวจหมวดหมู่; ยังไม่กำหนดขนาดยาที่พบบ่อย; ต้องตรวจชื่อภาษาไทย; ห้ามเผยแพร่ก่อน Clinical review</x:v>
      </x:c>
    </x:row>
    <x:row r="198">
      <x:c r="A198" s="31" t="str">
        <x:v>niclosamide</x:v>
      </x:c>
      <x:c r="B198" s="31" t="str">
        <x:v>niclosamide</x:v>
      </x:c>
      <x:c r="C198" s="38" t="str">
        <x:v>นิ-โคล-ซา-ไมด์</x:v>
      </x:c>
      <x:c r="D198" s="39" t="str">
        <x:v>รอตรวจสอบ</x:v>
      </x:c>
      <x:c r="E198" s="39" t="str">
        <x:v>[]</x:v>
      </x:c>
      <x:c r="F198" s="38" t="str">
        <x:v>ใช้เพื่อถ่ายพยาธิตัวตืด ได้ แก่ พยาธิตืดวัว พยาธิตืดหมู พยาธิตืดปลา และ พยาธิตืดแคระ</x:v>
      </x:c>
      <x:c r="G198" s="32" t="b">
        <x:v>0</x:v>
      </x:c>
      <x:c r="H198" s="37" t="str">
        <x:v>["https://drug.fda.moph.go.th/media.php?id=862918387754475520&amp;name=36.Niclosamide_Tablets_PIL_final.pdf"]</x:v>
      </x:c>
      <x:c r="I198" s="31" t="str">
        <x:v>draft</x:v>
      </x:c>
      <x:c r="J198"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199">
      <x:c r="A199" s="31" t="str">
        <x:v>nicotinic_acid</x:v>
      </x:c>
      <x:c r="B199" s="31" t="str">
        <x:v>Nicotinic acid</x:v>
      </x:c>
      <x:c r="C199" s="38" t="str">
        <x:v>กรด-นิ-โค-ติ-นิก</x:v>
      </x:c>
      <x:c r="D199" s="39" t="str">
        <x:v>รอตรวจสอบ</x:v>
      </x:c>
      <x:c r="E199" s="39" t="str">
        <x:v>[]</x:v>
      </x:c>
      <x:c r="F199" s="38" t="str">
        <x:v>ใช้ร่วมกับยาลดไขมันในเลือด เพื่อช่วยลดระดับไขมันใน เลือด • ใช้รักษาภาวะร่างกายขาดกรดนิโคตินิก</x:v>
      </x:c>
      <x:c r="G199" s="32" t="b">
        <x:v>0</x:v>
      </x:c>
      <x:c r="H199" s="37" t="str">
        <x:v>["https://drug.fda.moph.go.th/media.php?id=730445941231984640&amp;name=pil_Nicotinic acid (TABLET).pdf"]</x:v>
      </x:c>
      <x:c r="I199" s="31" t="str">
        <x:v>draft</x:v>
      </x:c>
      <x:c r="J19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00">
      <x:c r="A200" s="31" t="str">
        <x:v>nimodipine</x:v>
      </x:c>
      <x:c r="B200" s="31" t="str">
        <x:v>Nimodipine</x:v>
      </x:c>
      <x:c r="C200" s="38" t="str">
        <x:v>รอตรวจสอบชื่อภาษาไทย</x:v>
      </x:c>
      <x:c r="D200" s="39" t="str">
        <x:v>รอตรวจสอบ</x:v>
      </x:c>
      <x:c r="E200" s="39" t="str">
        <x:v>[]</x:v>
      </x:c>
      <x:c r="F200" s="38" t="str">
        <x:v>ข้อมูลฉบับร่างจากเอกสารอ้างอิง อย. รอตรวจทานโดยผู้เชี่ยวชาญ</x:v>
      </x:c>
      <x:c r="G200" s="32" t="b">
        <x:v>0</x:v>
      </x:c>
      <x:c r="H200" s="37" t="str">
        <x:v>["https://drug.fda.moph.go.th/media.php?id=810423093272125440&amp;name=SMPC_Nimodipine_Solution for Infusion.pdf"]</x:v>
      </x:c>
      <x:c r="I200" s="31" t="str">
        <x:v>draft</x:v>
      </x:c>
      <x:c r="J200" s="38" t="str">
        <x:v>Import batch thai_fda_20260718_v1: ต้องตรวจหมวดหมู่; ยังไม่กำหนดขนาดยาที่พบบ่อย; ต้องตรวจชื่อภาษาไทย; ห้ามเผยแพร่ก่อน Clinical review</x:v>
      </x:c>
    </x:row>
    <x:row r="201">
      <x:c r="A201" s="31" t="str">
        <x:v>norethisterone_ethinylestradiol</x:v>
      </x:c>
      <x:c r="B201" s="31" t="str">
        <x:v>Norethisterone + Ethinylestradiol</x:v>
      </x:c>
      <x:c r="C201" s="38" t="str">
        <x:v>รอตรวจสอบชื่อภาษาไทย</x:v>
      </x:c>
      <x:c r="D201" s="39" t="str">
        <x:v>รอตรวจสอบ</x:v>
      </x:c>
      <x:c r="E201" s="39" t="str">
        <x:v>[]</x:v>
      </x:c>
      <x:c r="F201" s="38" t="str">
        <x:v>ข้อมูลฉบับร่างจากเอกสารอ้างอิง อย. รอตรวจทานโดยผู้เชี่ยวชาญ</x:v>
      </x:c>
      <x:c r="G201" s="32" t="b">
        <x:v>0</x:v>
      </x:c>
      <x:c r="H201" s="37" t="str">
        <x:v>["https://drug.fda.moph.go.th/media.php?id=810423555446677504&amp;name=SMPC_Norethisterone+ethinylestradiol_Tablets.pdf"]</x:v>
      </x:c>
      <x:c r="I201" s="31" t="str">
        <x:v>draft</x:v>
      </x:c>
      <x:c r="J201" s="38" t="str">
        <x:v>Import batch thai_fda_20260718_v1: ต้องตรวจหมวดหมู่; ยังไม่กำหนดขนาดยาที่พบบ่อย; ต้องตรวจชื่อภาษาไทย; ห้ามเผยแพร่ก่อน Clinical review</x:v>
      </x:c>
    </x:row>
    <x:row r="202">
      <x:c r="A202" s="31" t="str">
        <x:v>norfloxacin</x:v>
      </x:c>
      <x:c r="B202" s="31" t="str">
        <x:v>norfloxacin</x:v>
      </x:c>
      <x:c r="C202" s="38" t="str">
        <x:v>นอร์ฟล็อกซาซิน</x:v>
      </x:c>
      <x:c r="D202" s="39" t="str">
        <x:v>รอตรวจสอบ</x:v>
      </x:c>
      <x:c r="E202" s="39" t="str">
        <x:v>[]</x:v>
      </x:c>
      <x:c r="F202" s="38" t="str">
        <x:v>ใช้รักษาการติดเชื้อแบคทีเรีย</x:v>
      </x:c>
      <x:c r="G202" s="32" t="b">
        <x:v>0</x:v>
      </x:c>
      <x:c r="H202" s="37" t="str">
        <x:v>["https://drug.fda.moph.go.th/media.php?id=862918392955412480&amp;name=19.norfloxacin_tablets_PIL_final.pdf"]</x:v>
      </x:c>
      <x:c r="I202" s="31" t="str">
        <x:v>draft</x:v>
      </x:c>
      <x:c r="J20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03">
      <x:c r="A203" s="31" t="str">
        <x:v>nortriptyline</x:v>
      </x:c>
      <x:c r="B203" s="31" t="str">
        <x:v>Nortriptyline</x:v>
      </x:c>
      <x:c r="C203" s="38" t="str">
        <x:v>นอร์-ทริป-ไท-ลีน-ไฮ-โดร-คลอ-ไรด์</x:v>
      </x:c>
      <x:c r="D203" s="39" t="str">
        <x:v>รอตรวจสอบ</x:v>
      </x:c>
      <x:c r="E203" s="39" t="str">
        <x:v>[]</x:v>
      </x:c>
      <x:c r="F203" s="38" t="str">
        <x:v>ใช้รักษาโรคซึมเศร้า</x:v>
      </x:c>
      <x:c r="G203" s="32" t="b">
        <x:v>0</x:v>
      </x:c>
      <x:c r="H203" s="37" t="str">
        <x:v>["https://drug.fda.moph.go.th/media.php?id=810424052261986304&amp;name=SMPC_Nortriptyline_Film-coated Tablet.pdf","https://drug.fda.moph.go.th/media.php?id=862918385342750720&amp;name=45.Nortriptyline_tablet_PIL.pdf"]</x:v>
      </x:c>
      <x:c r="I203" s="31" t="str">
        <x:v>draft</x:v>
      </x:c>
      <x:c r="J20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04">
      <x:c r="A204" s="31" t="str">
        <x:v>nystatin</x:v>
      </x:c>
      <x:c r="B204" s="31" t="str">
        <x:v>Nystatin</x:v>
      </x:c>
      <x:c r="C204" s="38" t="str">
        <x:v>นิส-สะ-ทา-ทิน</x:v>
      </x:c>
      <x:c r="D204" s="39" t="str">
        <x:v>รอตรวจสอบ</x:v>
      </x:c>
      <x:c r="E204" s="39" t="str">
        <x:v>[]</x:v>
      </x:c>
      <x:c r="F204" s="38" t="str">
        <x:v>ใช้เพื่อรักษาการติดเชื้อราในช่องคลอด</x:v>
      </x:c>
      <x:c r="G204" s="32" t="b">
        <x:v>0</x:v>
      </x:c>
      <x:c r="H204" s="37" t="str">
        <x:v>["https://drug.fda.moph.go.th/media.php?id=730446059045789696&amp;name=pil_Nystatin(VAGINAL SUPPOSITORIES).pdf","https://drug.fda.moph.go.th/media.php?id=810424746264109056&amp;name=SMPC_Nystatin_Vaginal Tablets.pdf"]</x:v>
      </x:c>
      <x:c r="I204" s="31" t="str">
        <x:v>draft</x:v>
      </x:c>
      <x:c r="J20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05">
      <x:c r="A205" s="31" t="str">
        <x:v>ofloxacin</x:v>
      </x:c>
      <x:c r="B205" s="31" t="str">
        <x:v>Ofloxacin</x:v>
      </x:c>
      <x:c r="C205" s="38" t="str">
        <x:v>โอฟล็อกซาซิน</x:v>
      </x:c>
      <x:c r="D205" s="39" t="str">
        <x:v>รอตรวจสอบ</x:v>
      </x:c>
      <x:c r="E205" s="39" t="str">
        <x:v>[]</x:v>
      </x:c>
      <x:c r="F205" s="38" t="str">
        <x:v>● ใช้เพื่อรักษาโรคติดเชื้อแบคทีเรียบางชนิดที่ไวต่อยานี้</x:v>
      </x:c>
      <x:c r="G205" s="32" t="b">
        <x:v>0</x:v>
      </x:c>
      <x:c r="H205" s="37" t="str">
        <x:v>["https://drug.fda.moph.go.th/media.php?id=810425338315284480&amp;name=SMPC_Ofloxacin_Film-coated Tablet.pdf","https://drug.fda.moph.go.th/media.php?id=810425581312286720&amp;name=SMPC_Ofloxacin_Tablet.pdf","https://drug.fda.moph.go.th/media.php?id=862918389574803456&amp;name=18.ofloxacin_tablets_PIL_final.pdf"]</x:v>
      </x:c>
      <x:c r="I205" s="31" t="str">
        <x:v>draft</x:v>
      </x:c>
      <x:c r="J20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06">
      <x:c r="A206" s="31" t="str">
        <x:v>omeprazole</x:v>
      </x:c>
      <x:c r="B206" s="31" t="str">
        <x:v>Omeprazole</x:v>
      </x:c>
      <x:c r="C206" s="38" t="str">
        <x:v>โอมีพราโซลโซเดียม</x:v>
      </x:c>
      <x:c r="D206" s="39" t="str">
        <x:v>รอตรวจสอบ</x:v>
      </x:c>
      <x:c r="E206" s="39" t="str">
        <x:v>[]</x:v>
      </x:c>
      <x:c r="F206" s="38" t="str">
        <x:v>● รักษาและป้องกันการกลับเป็ นซ้าของแผลในกร ะเพาะอาหารหรือล าไส้เล็กส่วนต้น ● รักษาโรคกรดไหลย้ อน หรือภาวะกรดเกิน ● รักษาและป้องกันโรคแผลในกระเพาะอาหาร หรือล าไส้เล็กส่วนต้นที่เกิดจากยาต้านอักเสบที่ ไม่ใช่สเตอรอยด์ ● รักษาภาวะการสร้ างกรดในกระเพาะอาหารมาก กว่าปกติ (กลุ่มอาการโซลลิงเจอร์- เอลลิสัน) ● ใช้ร่วมกับยาปฏิชีวนะเพื่อรักษาแผลในกระเพาะ อาหารที่เกิดจากเชื้อเอชไพโลไร</x:v>
      </x:c>
      <x:c r="G206" s="32" t="b">
        <x:v>0</x:v>
      </x:c>
      <x:c r="H206" s="37" t="str">
        <x:v>["https://drug.fda.moph.go.th/media.php?id=810426319253938176&amp;name=SMPC_Omeprazole_Hard Gastro-resistant Capsule.pdf","https://drug.fda.moph.go.th/media.php?id=904601731147636736&amp;name=3. Ref PIL_ Omeprazole (for infusion).pdf","https://drug.fda.moph.go.th/media.php?id=904966130538520576&amp;name=3. Ref SmPC_Omeprazole.pdf"]</x:v>
      </x:c>
      <x:c r="I206" s="31" t="str">
        <x:v>draft</x:v>
      </x:c>
      <x:c r="J206"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07">
      <x:c r="A207" s="31" t="str">
        <x:v>oral_rehydration_salt</x:v>
      </x:c>
      <x:c r="B207" s="31" t="str">
        <x:v>Oral rehydration salt</x:v>
      </x:c>
      <x:c r="C207" s="38" t="str">
        <x:v>ท้ องเสีย หรืออาเจียนมากๆ</x:v>
      </x:c>
      <x:c r="D207" s="39" t="str">
        <x:v>รอตรวจสอบ</x:v>
      </x:c>
      <x:c r="E207" s="39" t="str">
        <x:v>[]</x:v>
      </x:c>
      <x:c r="F207" s="38" t="str">
        <x:v>ใช้ทดแทนการเสียนํ้าและเกลือแร่ในผู้ที่มีอาการ ท้ องเสีย หรืออาเจียนมากๆ</x:v>
      </x:c>
      <x:c r="G207" s="32" t="b">
        <x:v>0</x:v>
      </x:c>
      <x:c r="H207" s="37" t="str">
        <x:v>["https://drug.fda.moph.go.th/media.php?id=733941522013233152&amp;name=PIL_Oral rehydration salt_ผงน้ำตาลเกลือแร่ (15032024).pdf"]</x:v>
      </x:c>
      <x:c r="I207" s="31" t="str">
        <x:v>draft</x:v>
      </x:c>
      <x:c r="J20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08">
      <x:c r="A208" s="31" t="str">
        <x:v>oxytetracycline</x:v>
      </x:c>
      <x:c r="B208" s="31" t="str">
        <x:v>Oxytetracycline</x:v>
      </x:c>
      <x:c r="C208" s="38" t="str">
        <x:v>รอตรวจสอบชื่อภาษาไทย</x:v>
      </x:c>
      <x:c r="D208" s="39" t="str">
        <x:v>รอตรวจสอบ</x:v>
      </x:c>
      <x:c r="E208" s="39" t="str">
        <x:v>[]</x:v>
      </x:c>
      <x:c r="F208" s="38" t="str">
        <x:v>ข้อมูลฉบับร่างจากเอกสารอ้างอิง อย. รอตรวจทานโดยผู้เชี่ยวชาญ</x:v>
      </x:c>
      <x:c r="G208" s="32" t="b">
        <x:v>0</x:v>
      </x:c>
      <x:c r="H208" s="37" t="str">
        <x:v>["https://drug.fda.moph.go.th/media.php?id=810426784758767616&amp;name=SMPC_Oxytetracycline_Capsules.pdf"]</x:v>
      </x:c>
      <x:c r="I208" s="31" t="str">
        <x:v>draft</x:v>
      </x:c>
      <x:c r="J208" s="38" t="str">
        <x:v>Import batch thai_fda_20260718_v1: ต้องตรวจหมวดหมู่; ยังไม่กำหนดขนาดยาที่พบบ่อย; ต้องตรวจชื่อภาษาไทย; ห้ามเผยแพร่ก่อน Clinical review</x:v>
      </x:c>
    </x:row>
    <x:row r="209">
      <x:c r="A209" s="31" t="str">
        <x:v>paracetamol</x:v>
      </x:c>
      <x:c r="B209" s="31" t="str">
        <x:v>Paracetamol</x:v>
      </x:c>
      <x:c r="C209" s="38" t="str">
        <x:v>พา-รา-เซ-ตา-มอล</x:v>
      </x:c>
      <x:c r="D209" s="39" t="str">
        <x:v>รอตรวจสอบ</x:v>
      </x:c>
      <x:c r="E209" s="39" t="str">
        <x:v>[]</x:v>
      </x:c>
      <x:c r="F209" s="38" t="str">
        <x:v>ใช้เพื่อลดไข้ • ใช้บรรเทาอาการปวดเล็กน้อยถึงปานกลางเช่น ปวด ศีรษะ ปวดเมื่อยจากไข้หวัด ปวดฟัน ปวดกล้ามเนื้อ ปวดหลัง</x:v>
      </x:c>
      <x:c r="G209" s="32" t="b">
        <x:v>0</x:v>
      </x:c>
      <x:c r="H209" s="37" t="str">
        <x:v>["https://drug.fda.moph.go.th/media.php?id=808600728649211904&amp;name=Paracetamol_suspension_PIL.pdf","https://drug.fda.moph.go.th/media.php?id=810427720377966592&amp;name=SMPC_Paracetamol_Capsules.pdf","https://drug.fda.moph.go.th/media.php?id=810428236826812416&amp;name=SMPC_Paracetamol_Elixir.pdf","https://drug.fda.moph.go.th/media.php?id=810428697118121984&amp;name=SMPC_Paracetamol_Solutions for injections or infusions.pdf","https://drug.fda.moph.go.th/media.php?id=810429112165474304&amp;name=SMPC_Paracetamol_Syrup.pdf","https://drug.fda.moph.go.th/media.php?id=733925689249636352&amp;name=PIL_para 120mg-5ml Syr.pdf","https://drug.fda.moph.go.th/media.php?id=733925715686334464&amp;name=PIL_para 325 mg tab.pdf","https://drug.fda.moph.go.th/media.php?id=733925745348452352&amp;name=PIL_para 500 mg tab.pdf","https://drug.fda.moph.go.th/media.php?id=810429959502962688&amp;name=SMPC_Paracetamol_suspension.pdf","https://drug.fda.moph.go.th/media.php?id=810430466103582720&amp;name=SMPC_Paracetamol_Tablet.pdf"]</x:v>
      </x:c>
      <x:c r="I209" s="31" t="str">
        <x:v>draft</x:v>
      </x:c>
      <x:c r="J20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10">
      <x:c r="A210" s="31" t="str">
        <x:v>peppermint_water</x:v>
      </x:c>
      <x:c r="B210" s="31" t="str">
        <x:v>Peppermint water</x:v>
      </x:c>
      <x:c r="C210" s="38" t="str">
        <x:v>รอตรวจสอบชื่อภาษาไทย</x:v>
      </x:c>
      <x:c r="D210" s="39" t="str">
        <x:v>รอตรวจสอบ</x:v>
      </x:c>
      <x:c r="E210" s="39" t="str">
        <x:v>[]</x:v>
      </x:c>
      <x:c r="F210" s="38" t="str">
        <x:v>ข้อมูลฉบับร่างจากเอกสารอ้างอิง อย. รอตรวจทานโดยผู้เชี่ยวชาญ</x:v>
      </x:c>
      <x:c r="G210" s="32" t="b">
        <x:v>0</x:v>
      </x:c>
      <x:c r="H210" s="37" t="str">
        <x:v>["https://drug.fda.moph.go.th/media.php?id=810431145572442112&amp;name=SMPC_Peppermint oil_solution.pdf"]</x:v>
      </x:c>
      <x:c r="I210" s="31" t="str">
        <x:v>draft</x:v>
      </x:c>
      <x:c r="J210" s="38" t="str">
        <x:v>Import batch thai_fda_20260718_v1: ต้องตรวจหมวดหมู่; ยังไม่กำหนดขนาดยาที่พบบ่อย; ต้องตรวจชื่อภาษาไทย; ห้ามเผยแพร่ก่อน Clinical review</x:v>
      </x:c>
    </x:row>
    <x:row r="211">
      <x:c r="A211" s="31" t="str">
        <x:v>perphenazine</x:v>
      </x:c>
      <x:c r="B211" s="31" t="str">
        <x:v>perphenazine</x:v>
      </x:c>
      <x:c r="C211" s="38" t="str">
        <x:v>เพอ-เฟ-นา-ซีน</x:v>
      </x:c>
      <x:c r="D211" s="39" t="str">
        <x:v>รอตรวจสอบ</x:v>
      </x:c>
      <x:c r="E211" s="39" t="str">
        <x:v>[]</x:v>
      </x:c>
      <x:c r="F211" s="38" t="str">
        <x:v>ใช้รักษาโรคจิตเภท • ใช้รักษาอาการคลื่นไส้ อาเจียน</x:v>
      </x:c>
      <x:c r="G211" s="32" t="b">
        <x:v>0</x:v>
      </x:c>
      <x:c r="H211" s="37" t="str">
        <x:v>["https://drug.fda.moph.go.th/media.php?id=862918385070120960&amp;name=46.Perphenazine_tablet_PIL.pdf"]</x:v>
      </x:c>
      <x:c r="I211" s="31" t="str">
        <x:v>draft</x:v>
      </x:c>
      <x:c r="J211"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12">
      <x:c r="A212" s="31" t="str">
        <x:v>phenol</x:v>
      </x:c>
      <x:c r="B212" s="31" t="str">
        <x:v>Phenol</x:v>
      </x:c>
      <x:c r="C212" s="38" t="str">
        <x:v>รอตรวจสอบชื่อภาษาไทย</x:v>
      </x:c>
      <x:c r="D212" s="39" t="str">
        <x:v>รอตรวจสอบ</x:v>
      </x:c>
      <x:c r="E212" s="39" t="str">
        <x:v>[]</x:v>
      </x:c>
      <x:c r="F212" s="38" t="str">
        <x:v>ข้อมูลฉบับร่างจากเอกสารอ้างอิง อย. รอตรวจทานโดยผู้เชี่ยวชาญ</x:v>
      </x:c>
      <x:c r="G212" s="32" t="b">
        <x:v>0</x:v>
      </x:c>
      <x:c r="H212" s="37" t="str">
        <x:v>["https://drug.fda.moph.go.th/media.php?id=810431642043817984&amp;name=SMPC_Phenol_injection.pdf"]</x:v>
      </x:c>
      <x:c r="I212" s="31" t="str">
        <x:v>draft</x:v>
      </x:c>
      <x:c r="J212" s="38" t="str">
        <x:v>Import batch thai_fda_20260718_v1: ต้องตรวจหมวดหมู่; ยังไม่กำหนดขนาดยาที่พบบ่อย; ต้องตรวจชื่อภาษาไทย; ห้ามเผยแพร่ก่อน Clinical review</x:v>
      </x:c>
    </x:row>
    <x:row r="213">
      <x:c r="A213" s="31" t="str">
        <x:v>phenoxymethylpenicillin</x:v>
      </x:c>
      <x:c r="B213" s="31" t="str">
        <x:v>phenoxymethylpenicillin</x:v>
      </x:c>
      <x:c r="C213" s="38" t="str">
        <x:v>ฟี น็อกซีเมทิลเพนิซิลลิน</x:v>
      </x:c>
      <x:c r="D213" s="39" t="str">
        <x:v>รอตรวจสอบ</x:v>
      </x:c>
      <x:c r="E213" s="39" t="str">
        <x:v>[]</x:v>
      </x:c>
      <x:c r="F213" s="38" t="str">
        <x:v>ใช้รักษาโรคติดเชื้อแบคทีเรียที่ไวต่อยานี้</x:v>
      </x:c>
      <x:c r="G213" s="32" t="b">
        <x:v>0</x:v>
      </x:c>
      <x:c r="H213" s="37" t="str">
        <x:v>["https://drug.fda.moph.go.th/media.php?id=862918394427613184&amp;name=22.Phenoxymethylpenicillin_dry_syup_PIL_final_.pdf"]</x:v>
      </x:c>
      <x:c r="I213" s="31" t="str">
        <x:v>draft</x:v>
      </x:c>
      <x:c r="J21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14">
      <x:c r="A214" s="31" t="str">
        <x:v>phenoxymethylpenicillin_penicillin_v</x:v>
      </x:c>
      <x:c r="B214" s="31" t="str">
        <x:v>Phenoxymethylpenicillin (Penicillin V)</x:v>
      </x:c>
      <x:c r="C214" s="38" t="str">
        <x:v>รอตรวจสอบชื่อภาษาไทย</x:v>
      </x:c>
      <x:c r="D214" s="39" t="str">
        <x:v>รอตรวจสอบ</x:v>
      </x:c>
      <x:c r="E214" s="39" t="str">
        <x:v>[]</x:v>
      </x:c>
      <x:c r="F214" s="38" t="str">
        <x:v>ข้อมูลฉบับร่างจากเอกสารอ้างอิง อย. รอตรวจทานโดยผู้เชี่ยวชาญ</x:v>
      </x:c>
      <x:c r="G214" s="32" t="b">
        <x:v>0</x:v>
      </x:c>
      <x:c r="H214" s="37" t="str">
        <x:v>["https://drug.fda.moph.go.th/media.php?id=810432142491394048&amp;name=SMPC_Phenoxymethylpenicillin potassium_Dry syrup.pdf"]</x:v>
      </x:c>
      <x:c r="I214" s="31" t="str">
        <x:v>draft</x:v>
      </x:c>
      <x:c r="J214" s="38" t="str">
        <x:v>Import batch thai_fda_20260718_v1: ต้องตรวจหมวดหมู่; ยังไม่กำหนดขนาดยาที่พบบ่อย; ต้องตรวจชื่อภาษาไทย; ห้ามเผยแพร่ก่อน Clinical review</x:v>
      </x:c>
    </x:row>
    <x:row r="215">
      <x:c r="A215" s="31" t="str">
        <x:v>phenoxymethylpenicillin_potassium_penicillin_v</x:v>
      </x:c>
      <x:c r="B215" s="31" t="str">
        <x:v>phenoxymethylpenicillin potassium (penicillin V)</x:v>
      </x:c>
      <x:c r="C215" s="38" t="str">
        <x:v>ฟี น็อกซีเมทิลเพนิซิลลิน</x:v>
      </x:c>
      <x:c r="D215" s="39" t="str">
        <x:v>รอตรวจสอบ</x:v>
      </x:c>
      <x:c r="E215" s="39" t="str">
        <x:v>[]</x:v>
      </x:c>
      <x:c r="F215" s="38" t="str">
        <x:v>ใช้รักษาโรคติดเชื้อแบคทีเรียบางชนิดที่ไวต่อยานี้</x:v>
      </x:c>
      <x:c r="G215" s="32" t="b">
        <x:v>0</x:v>
      </x:c>
      <x:c r="H215" s="37" t="str">
        <x:v>["https://drug.fda.moph.go.th/media.php?id=862918396285689856&amp;name=23.phenoxymethylpenicillin potassium_tablets_PIL_final.pdf"]</x:v>
      </x:c>
      <x:c r="I215" s="31" t="str">
        <x:v>draft</x:v>
      </x:c>
      <x:c r="J21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16">
      <x:c r="A216" s="31" t="str">
        <x:v>pimozide</x:v>
      </x:c>
      <x:c r="B216" s="31" t="str">
        <x:v>Pimozide</x:v>
      </x:c>
      <x:c r="C216" s="38" t="str">
        <x:v>พิโมไซด์</x:v>
      </x:c>
      <x:c r="D216" s="39" t="str">
        <x:v>รอตรวจสอบ</x:v>
      </x:c>
      <x:c r="E216" s="39" t="str">
        <x:v>[]</x:v>
      </x:c>
      <x:c r="F216" s="38" t="str">
        <x:v>ใช้เพื่อรักษาอาการผิดปกติทางจิตและประสาท เช่น อาการสับสน อาการประสาทหลอน อาการหลงผิด และอาการหวาดระแวง</x:v>
      </x:c>
      <x:c r="G216" s="32" t="b">
        <x:v>0</x:v>
      </x:c>
      <x:c r="H216" s="37" t="str">
        <x:v>["https://drug.fda.moph.go.th/media.php?id=810432738745262080&amp;name=SMPC_Pimozide_Tablet.pdf","https://drug.fda.moph.go.th/media.php?id=862918387037249536&amp;name=38.Pimozide_Tablets_PIL_final.pdf"]</x:v>
      </x:c>
      <x:c r="I216" s="31" t="str">
        <x:v>draft</x:v>
      </x:c>
      <x:c r="J216"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17">
      <x:c r="A217" s="31" t="str">
        <x:v>piroxicam</x:v>
      </x:c>
      <x:c r="B217" s="31" t="str">
        <x:v>Piroxicam</x:v>
      </x:c>
      <x:c r="C217" s="38" t="str">
        <x:v>ไพร็อกซิแคม</x:v>
      </x:c>
      <x:c r="D217" s="39" t="str">
        <x:v>รอตรวจสอบ</x:v>
      </x:c>
      <x:c r="E217" s="39" t="str">
        <x:v>[]</x:v>
      </x:c>
      <x:c r="F217" s="38" t="str">
        <x:v>ข้อมูลฉบับร่างจากเอกสารอ้างอิง อย. รอตรวจทานโดยผู้เชี่ยวชาญ</x:v>
      </x:c>
      <x:c r="G217" s="32" t="b">
        <x:v>0</x:v>
      </x:c>
      <x:c r="H217" s="37" t="str">
        <x:v>["https://drug.fda.moph.go.th/media.php?id=808601251695697920&amp;name=Piroxicam_capsuleCompressedTabletFilmCoatedTabletSugarCoatedTablet_PIL.pdf","https://drug.fda.moph.go.th/media.php?id=810433390829510656&amp;name=SMPC_Piroxicam_Capsules.pdf"]</x:v>
      </x:c>
      <x:c r="I217" s="31" t="str">
        <x:v>draft</x:v>
      </x:c>
      <x:c r="J217" s="38" t="str">
        <x:v>Import batch thai_fda_20260718_v1: ต้องตรวจหมวดหมู่; ยังไม่กำหนดขนาดยาที่พบบ่อย; ห้ามเผยแพร่ก่อน Clinical review</x:v>
      </x:c>
    </x:row>
    <x:row r="218">
      <x:c r="A218" s="31" t="str">
        <x:v>pizotifen_malate</x:v>
      </x:c>
      <x:c r="B218" s="31" t="str">
        <x:v>Pizotifen malate</x:v>
      </x:c>
      <x:c r="C218" s="38" t="str">
        <x:v>พิโซทิเฟน</x:v>
      </x:c>
      <x:c r="D218" s="39" t="str">
        <x:v>รอตรวจสอบ</x:v>
      </x:c>
      <x:c r="E218" s="39" t="str">
        <x:v>[]</x:v>
      </x:c>
      <x:c r="F218" s="38" t="str">
        <x:v>ข้อมูลฉบับร่างจากเอกสารอ้างอิง อย. รอตรวจทานโดยผู้เชี่ยวชาญ</x:v>
      </x:c>
      <x:c r="G218" s="32" t="b">
        <x:v>0</x:v>
      </x:c>
      <x:c r="H218" s="37" t="str">
        <x:v>["https://drug.fda.moph.go.th/media.php?id=808604508509839360&amp;name=Pizotifen_sugarcoatedtablet-syrup_PIL.pdf","https://drug.fda.moph.go.th/media.php?id=808607455159394304&amp;name=Pizotifen_tablet_SmPC.pdf"]</x:v>
      </x:c>
      <x:c r="I218" s="31" t="str">
        <x:v>draft</x:v>
      </x:c>
      <x:c r="J218" s="38" t="str">
        <x:v>Import batch thai_fda_20260718_v1: ต้องตรวจหมวดหมู่; ยังไม่กำหนดขนาดยาที่พบบ่อย; ห้ามเผยแพร่ก่อน Clinical review</x:v>
      </x:c>
    </x:row>
    <x:row r="219">
      <x:c r="A219" s="31" t="str">
        <x:v>potassium_chloride</x:v>
      </x:c>
      <x:c r="B219" s="31" t="str">
        <x:v>Potassium chloride</x:v>
      </x:c>
      <x:c r="C219" s="38" t="str">
        <x:v>โพ-แทส-เซียม-คลอ-ไรด์</x:v>
      </x:c>
      <x:c r="D219" s="39" t="str">
        <x:v>รอตรวจสอบ</x:v>
      </x:c>
      <x:c r="E219" s="39" t="str">
        <x:v>[]</x:v>
      </x:c>
      <x:c r="F219" s="38" t="str">
        <x:v>ใช้เพื่อรักษาภาวะโพแทสเซียมในเลือดต่า</x:v>
      </x:c>
      <x:c r="G219" s="32" t="b">
        <x:v>0</x:v>
      </x:c>
      <x:c r="H219" s="37" t="str">
        <x:v>["https://drug.fda.moph.go.th/media.php?id=730446222506205184&amp;name=pil_Potassium chloride(TABLET - ENTERIC COATED TABLET).pdf","https://drug.fda.moph.go.th/media.php?id=810436745484181504&amp;name=SMPC_Potassium Chloride_Concentrate for injection.pdf"]</x:v>
      </x:c>
      <x:c r="I219" s="31" t="str">
        <x:v>draft</x:v>
      </x:c>
      <x:c r="J21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20">
      <x:c r="A220" s="31" t="str">
        <x:v>povidone_iodine</x:v>
      </x:c>
      <x:c r="B220" s="31" t="str">
        <x:v>Povidone-iodine</x:v>
      </x:c>
      <x:c r="C220" s="38" t="str">
        <x:v>ยาใส่แผล โพวิโดน-ไอโอดีน ชนิดนํ้า</x:v>
      </x:c>
      <x:c r="D220" s="39" t="str">
        <x:v>รอตรวจสอบ</x:v>
      </x:c>
      <x:c r="E220" s="39" t="str">
        <x:v>[]</x:v>
      </x:c>
      <x:c r="F220" s="38" t="str">
        <x:v>ใช้รักษาแผลสด</x:v>
      </x:c>
      <x:c r="G220" s="32" t="b">
        <x:v>0</x:v>
      </x:c>
      <x:c r="H220" s="37" t="str">
        <x:v>["https://drug.fda.moph.go.th/media.php?id=733926310765797376&amp;name=PIL ยาใส่แผลโพวิโดน-ไอโอดีน povidone-iodine (17102024).pdf"]</x:v>
      </x:c>
      <x:c r="I220" s="31" t="str">
        <x:v>draft</x:v>
      </x:c>
      <x:c r="J220"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21">
      <x:c r="A221" s="31" t="str">
        <x:v>prazosin</x:v>
      </x:c>
      <x:c r="B221" s="31" t="str">
        <x:v>Prazosin hydrochloride</x:v>
      </x:c>
      <x:c r="C221" s="38" t="str">
        <x:v>พราโซซิน</x:v>
      </x:c>
      <x:c r="D221" s="39" t="str">
        <x:v>รอตรวจสอบ</x:v>
      </x:c>
      <x:c r="E221" s="39" t="str">
        <x:v>[]</x:v>
      </x:c>
      <x:c r="F221" s="38" t="str">
        <x:v>ใช้รักษาโรคความดันโลหิตสูง • ใช้รักษาโรคต่อมหลูกหมากโต • ใช้รักษาอาการเจ็บ เย็น หรือ ชาที่ปลายมือปลายเท้ า ที่มีสาเหตุจากโรคเรเนาด์</x:v>
      </x:c>
      <x:c r="G221" s="32" t="b">
        <x:v>0</x:v>
      </x:c>
      <x:c r="H221" s="37" t="str">
        <x:v>["https://drug.fda.moph.go.th/media.php?id=730446325333762048&amp;name=pil_Prazosin hydrochloride (TABLET 1 mg, 2 mg).pdf","https://drug.fda.moph.go.th/media.php?id=810438580303437824&amp;name=SMPC_Prazosin_Tablets.pdf"]</x:v>
      </x:c>
      <x:c r="I221" s="31" t="str">
        <x:v>draft</x:v>
      </x:c>
      <x:c r="J221"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22">
      <x:c r="A222" s="31" t="str">
        <x:v>prednisolone</x:v>
      </x:c>
      <x:c r="B222" s="31" t="str">
        <x:v>Prednisolone</x:v>
      </x:c>
      <x:c r="C222" s="38" t="str">
        <x:v>เพรด-นิ-โซ-โลน</x:v>
      </x:c>
      <x:c r="D222" s="39" t="str">
        <x:v>รอตรวจสอบ</x:v>
      </x:c>
      <x:c r="E222" s="39" t="str">
        <x:v>[]</x:v>
      </x:c>
      <x:c r="F222" s="38" t="str">
        <x:v>ใช้เพื่อบรรเทาอาการแพ้ ลดการอักเสบที่รุนแรง หรือใช้ รักษาโรคบางชนิดที่เกิดจากภูมิคุ้ มกันผิดปกติ ที่แพทย์ พิจารณาว่าต้องใช้ยานี้</x:v>
      </x:c>
      <x:c r="G222" s="32" t="b">
        <x:v>0</x:v>
      </x:c>
      <x:c r="H222" s="37" t="str">
        <x:v>["https://drug.fda.moph.go.th/media.php?id=730446474630012928&amp;name=pil_Prednisolone (TABLET - CAPSULE, HARD).pdf","https://drug.fda.moph.go.th/media.php?id=730446440161222656&amp;name=pil_Prednisolone (CREAM).pdf","https://drug.fda.moph.go.th/media.php?id=810442650741252096&amp;name=SMPC_Prednisolone_Eye Drops Suspension.pdf"]</x:v>
      </x:c>
      <x:c r="I222" s="31" t="str">
        <x:v>draft</x:v>
      </x:c>
      <x:c r="J22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23">
      <x:c r="A223" s="31" t="str">
        <x:v>procaterol</x:v>
      </x:c>
      <x:c r="B223" s="31" t="str">
        <x:v>procaterol</x:v>
      </x:c>
      <x:c r="C223" s="38" t="str">
        <x:v>โพร-คา-เทอ-รอล-ไฮ-โดร-คลอ-ไรด์</x:v>
      </x:c>
      <x:c r="D223" s="39" t="str">
        <x:v>รอตรวจสอบ</x:v>
      </x:c>
      <x:c r="E223" s="39" t="str">
        <x:v>[]</x:v>
      </x:c>
      <x:c r="F223" s="38" t="str">
        <x:v>ใช้รักษาอาการหลอดลมตีบในผู้ ป่ วยหอบหืด หรือโรค เกี่ยวกับทางเดินหายใจ</x:v>
      </x:c>
      <x:c r="G223" s="32" t="b">
        <x:v>0</x:v>
      </x:c>
      <x:c r="H223" s="37" t="str">
        <x:v>["https://drug.fda.moph.go.th/media.php?id=862918390623379456&amp;name=29.Procaterol_syrup_PIL_Final.pdf"]</x:v>
      </x:c>
      <x:c r="I223" s="31" t="str">
        <x:v>draft</x:v>
      </x:c>
      <x:c r="J22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24">
      <x:c r="A224" s="31" t="str">
        <x:v>progesterone</x:v>
      </x:c>
      <x:c r="B224" s="31" t="str">
        <x:v>Progesterone</x:v>
      </x:c>
      <x:c r="C224" s="38" t="str">
        <x:v>โพรเจสเทอโรน</x:v>
      </x:c>
      <x:c r="D224" s="39" t="str">
        <x:v>รอตรวจสอบ</x:v>
      </x:c>
      <x:c r="E224" s="39" t="str">
        <x:v>[]</x:v>
      </x:c>
      <x:c r="F224" s="38" t="str">
        <x:v>ใช้เป็ นฮอร์โมนทดแทนร่วมกับเอสโทรเจนในผู้ หญิงหลัง หมดประจ าเดือนที่ยังมีมดลูกอยู่ ทั้งนี้ยานี้ไม่ใช่ยา คุมก าเนิด ห้ามใช้เป็ นยาคุมก าเนิด</x:v>
      </x:c>
      <x:c r="G224" s="32" t="b">
        <x:v>0</x:v>
      </x:c>
      <x:c r="H224" s="37" t="str">
        <x:v>["https://drug.fda.moph.go.th/media.php?id=733964826350592000&amp;name=pil_Progesterone CAPSULE SOFT 100mg.pdf","https://drug.fda.moph.go.th/media.php?id=733965125794537472&amp;name=pil_Progesterone CAPSULE SOFT 200mg.pdf"]</x:v>
      </x:c>
      <x:c r="I224" s="31" t="str">
        <x:v>draft</x:v>
      </x:c>
      <x:c r="J22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25">
      <x:c r="A225" s="31" t="str">
        <x:v>progesterone_vaginal</x:v>
      </x:c>
      <x:c r="B225" s="31" t="str">
        <x:v>Progesterone Vaginal</x:v>
      </x:c>
      <x:c r="C225" s="38" t="str">
        <x:v>โพรเจสเทอโรน</x:v>
      </x:c>
      <x:c r="D225" s="39" t="str">
        <x:v>รอตรวจสอบ</x:v>
      </x:c>
      <x:c r="E225" s="39" t="str">
        <x:v>[]</x:v>
      </x:c>
      <x:c r="F225" s="38" t="str">
        <x:v>เพื่อเตรียมมดลูกส าหรับการท าเด็กหลอดแก้ว • ป้องกันการคลอดก่อนก าหนด ทั้งนี้ยานี้ไม่ใช่ยาคุมก าเนิด ห้ามใช้เป็ นยาคุมก าเนิด</x:v>
      </x:c>
      <x:c r="G225" s="32" t="b">
        <x:v>0</x:v>
      </x:c>
      <x:c r="H225" s="37" t="str">
        <x:v>["https://drug.fda.moph.go.th/media.php?id=733966286706581504&amp;name=pil_Progesterone Vaginal CAPSULE SOFT 200mg.pdf","https://drug.fda.moph.go.th/media.php?id=733966313554321408&amp;name=pil_Progesterone Vaginal CAPSULE SOFT 300mg.pdf"]</x:v>
      </x:c>
      <x:c r="I225" s="31" t="str">
        <x:v>draft</x:v>
      </x:c>
      <x:c r="J22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26">
      <x:c r="A226" s="31" t="str">
        <x:v>propofol</x:v>
      </x:c>
      <x:c r="B226" s="31" t="str">
        <x:v>Propofol</x:v>
      </x:c>
      <x:c r="C226" s="38" t="str">
        <x:v>โพรโพฟอล</x:v>
      </x:c>
      <x:c r="D226" s="39" t="str">
        <x:v>รอตรวจสอบ</x:v>
      </x:c>
      <x:c r="E226" s="39" t="str">
        <x:v>[]</x:v>
      </x:c>
      <x:c r="F226" s="38" t="str">
        <x:v>ใช้เพื่อน าสลบและคงสภาวะการสลบ • ใ ช้เ พื่อ ร ะ งั บป ร ะ ส า ทใ น ผู้ที่ต้อ ง เ ข้า รั บ ก า ร ต ร ว จ วินิจฉัยโรคและผู้ ที่ได้ รับการผ่าตัด • ใช้เพื่อระงับประสาทในผู้ใช้เครื่องช่วยหายใจที่อยู่ในหอ ผู้ ป่ วยวิกฤตในผู้ ป่ วยอายุมากกว่า 16 ปี</x:v>
      </x:c>
      <x:c r="G226" s="32" t="b">
        <x:v>0</x:v>
      </x:c>
      <x:c r="H226" s="37" t="str">
        <x:v>["https://drug.fda.moph.go.th/media.php?id=904601732196212736&amp;name=4. Ref PIL_ PROPOFOL.pdf","https://drug.fda.moph.go.th/media.php?id=904966130077147136&amp;name=4. Ref SmPC_PROPOFOL.pdf"]</x:v>
      </x:c>
      <x:c r="I226" s="31" t="str">
        <x:v>draft</x:v>
      </x:c>
      <x:c r="J226"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27">
      <x:c r="A227" s="31" t="str">
        <x:v>propranolol</x:v>
      </x:c>
      <x:c r="B227" s="31" t="str">
        <x:v>Propranolol</x:v>
      </x:c>
      <x:c r="C227" s="38" t="str">
        <x:v>โพรพราโนลอล</x:v>
      </x:c>
      <x:c r="D227" s="39" t="str">
        <x:v>รอตรวจสอบ</x:v>
      </x:c>
      <x:c r="E227" s="39" t="str">
        <x:v>[]</x:v>
      </x:c>
      <x:c r="F227" s="38" t="str">
        <x:v>รักษาภาวะความดันโลหิตสูง • รักษาอาการเจ็บเค้ นหน้ าอก • รักษาภาวะหัวใจเต้ นผิดจังหวะ • ป้องกันความผิดปกติของหัวใจหลังภาวะหัวใจวาย • ป้องกันโรคปวดหัวไมเกรน</x:v>
      </x:c>
      <x:c r="G227" s="32" t="b">
        <x:v>0</x:v>
      </x:c>
      <x:c r="H227" s="37" t="str">
        <x:v>["https://drug.fda.moph.go.th/media.php?id=730445010499149824&amp;name=pil_Propranolol (TABLET 10 mg, 40 mg).pdf"]</x:v>
      </x:c>
      <x:c r="I227" s="31" t="str">
        <x:v>draft</x:v>
      </x:c>
      <x:c r="J22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28">
      <x:c r="A228" s="31" t="str">
        <x:v>propylthiouracil</x:v>
      </x:c>
      <x:c r="B228" s="31" t="str">
        <x:v>Propylthiouracil</x:v>
      </x:c>
      <x:c r="C228" s="38" t="str">
        <x:v>โพรพิลไทโอยูราซิล</x:v>
      </x:c>
      <x:c r="D228" s="39" t="str">
        <x:v>รอตรวจสอบ</x:v>
      </x:c>
      <x:c r="E228" s="39" t="str">
        <x:v>[]</x:v>
      </x:c>
      <x:c r="F228" s="38" t="str">
        <x:v>ใช้รักษาภาวะไทรอยด์เป็ นพิษ (ฮอร์โมนไทรอยด์สูง)</x:v>
      </x:c>
      <x:c r="G228" s="32" t="b">
        <x:v>0</x:v>
      </x:c>
      <x:c r="H228" s="37" t="str">
        <x:v>["https://drug.fda.moph.go.th/media.php?id=730444886557466624&amp;name=pil_Propylthiouracil (TABLET)50 mg.pdf","https://drug.fda.moph.go.th/media.php?id=810444421324742656&amp;name=SMPC_Propylthiouracil_Tablet.pdf"]</x:v>
      </x:c>
      <x:c r="I228" s="31" t="str">
        <x:v>draft</x:v>
      </x:c>
      <x:c r="J228"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29">
      <x:c r="A229" s="31" t="str">
        <x:v>pyridoxine</x:v>
      </x:c>
      <x:c r="B229" s="31" t="str">
        <x:v>Pyridoxine</x:v>
      </x:c>
      <x:c r="C229" s="38" t="str">
        <x:v>ไพ-ริ-ด็อก-ซีน-ไฮ-โดร-คลอ-ไรด์</x:v>
      </x:c>
      <x:c r="D229" s="39" t="str">
        <x:v>รอตรวจสอบ</x:v>
      </x:c>
      <x:c r="E229" s="39" t="str">
        <x:v>[]</x:v>
      </x:c>
      <x:c r="F229" s="38" t="str">
        <x:v>ใช้รักษาภาวะขาดวิตามินบี 6 • ใช้ป้องกันหรือรักษาอาการปลายประสาทอักเสบจากการ ใช้ยารักษาวัณโรค</x:v>
      </x:c>
      <x:c r="G229" s="32" t="b">
        <x:v>0</x:v>
      </x:c>
      <x:c r="H229" s="37" t="str">
        <x:v>["https://drug.fda.moph.go.th/media.php?id=730444571007393792&amp;name=pil_Pyridoxine (TABLET 50 mg).pdf","https://drug.fda.moph.go.th/media.php?id=810444996493844480&amp;name=SMPC_Pyridoxine_Tablet.pdf"]</x:v>
      </x:c>
      <x:c r="I229" s="31" t="str">
        <x:v>draft</x:v>
      </x:c>
      <x:c r="J22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30">
      <x:c r="A230" s="31" t="str">
        <x:v>pyrimethamine</x:v>
      </x:c>
      <x:c r="B230" s="31" t="str">
        <x:v>pyrimethamine</x:v>
      </x:c>
      <x:c r="C230" s="38" t="str">
        <x:v>ไพ-ริ-เม-ทา-มีน</x:v>
      </x:c>
      <x:c r="D230" s="39" t="str">
        <x:v>รอตรวจสอบ</x:v>
      </x:c>
      <x:c r="E230" s="39" t="str">
        <x:v>[]</x:v>
      </x:c>
      <x:c r="F230" s="38" t="str">
        <x:v>ใช้รักษาการติดเชื้อโปรโตซัว</x:v>
      </x:c>
      <x:c r="G230" s="32" t="b">
        <x:v>0</x:v>
      </x:c>
      <x:c r="H230" s="37" t="str">
        <x:v>["https://drug.fda.moph.go.th/media.php?id=862918388308123648&amp;name=31.Pyrimethamine_tablet_PIL_final.pdf"]</x:v>
      </x:c>
      <x:c r="I230" s="31" t="str">
        <x:v>draft</x:v>
      </x:c>
      <x:c r="J230"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31">
      <x:c r="A231" s="31" t="str">
        <x:v>quinine</x:v>
      </x:c>
      <x:c r="B231" s="31" t="str">
        <x:v>Quinine hydrochloride</x:v>
      </x:c>
      <x:c r="C231" s="38" t="str">
        <x:v>ควิ-นีน-ซัล-เฟต</x:v>
      </x:c>
      <x:c r="D231" s="39" t="str">
        <x:v>รอตรวจสอบ</x:v>
      </x:c>
      <x:c r="E231" s="39" t="str">
        <x:v>[]</x:v>
      </x:c>
      <x:c r="F231" s="38" t="str">
        <x:v>ใช้รักษาการติดเชื้อมาลาเรีย</x:v>
      </x:c>
      <x:c r="G231" s="32" t="b">
        <x:v>0</x:v>
      </x:c>
      <x:c r="H231" s="37" t="str">
        <x:v>["https://drug.fda.moph.go.th/media.php?id=810445665753767936&amp;name=SMPC_Quinine dihydrochloride_solutions for injections or infusions.pdf","https://drug.fda.moph.go.th/media.php?id=862918387930636288&amp;name=32. Quinine_tablet_PIL_final.pdf"]</x:v>
      </x:c>
      <x:c r="I231" s="31" t="str">
        <x:v>draft</x:v>
      </x:c>
      <x:c r="J231"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32">
      <x:c r="A232" s="31" t="str">
        <x:v>ranitidine</x:v>
      </x:c>
      <x:c r="B232" s="31" t="str">
        <x:v>Ranitidine</x:v>
      </x:c>
      <x:c r="C232" s="38" t="str">
        <x:v>รอตรวจสอบชื่อภาษาไทย</x:v>
      </x:c>
      <x:c r="D232" s="39" t="str">
        <x:v>รอตรวจสอบ</x:v>
      </x:c>
      <x:c r="E232" s="39" t="str">
        <x:v>[]</x:v>
      </x:c>
      <x:c r="F232" s="38" t="str">
        <x:v>ข้อมูลฉบับร่างจากเอกสารอ้างอิง อย. รอตรวจทานโดยผู้เชี่ยวชาญ</x:v>
      </x:c>
      <x:c r="G232" s="32" t="b">
        <x:v>0</x:v>
      </x:c>
      <x:c r="H232" s="37" t="str">
        <x:v>["https://drug.fda.moph.go.th/media.php?id=810446254327865344&amp;name=SMPC_Ranitidine_Tablet.pdf","https://drug.fda.moph.go.th/media.php?id=810446887676157952&amp;name=SMPC_Ranitidine_solution for injection and infusion.pdf"]</x:v>
      </x:c>
      <x:c r="I232" s="31" t="str">
        <x:v>draft</x:v>
      </x:c>
      <x:c r="J232" s="38" t="str">
        <x:v>Import batch thai_fda_20260718_v1: ต้องตรวจหมวดหมู่; ยังไม่กำหนดขนาดยาที่พบบ่อย; ต้องตรวจชื่อภาษาไทย; ห้ามเผยแพร่ก่อน Clinical review</x:v>
      </x:c>
    </x:row>
    <x:row r="233">
      <x:c r="A233" s="31" t="str">
        <x:v>retinol</x:v>
      </x:c>
      <x:c r="B233" s="31" t="str">
        <x:v>Retinol</x:v>
      </x:c>
      <x:c r="C233" s="38" t="str">
        <x:v>เร-ติ-นอล</x:v>
      </x:c>
      <x:c r="D233" s="39" t="str">
        <x:v>รอตรวจสอบ</x:v>
      </x:c>
      <x:c r="E233" s="39" t="str">
        <x:v>[]</x:v>
      </x:c>
      <x:c r="F233" s="38" t="str">
        <x:v>ใช้เพื่อรักษาภาวะขาดวิตามินเอ</x:v>
      </x:c>
      <x:c r="G233" s="32" t="b">
        <x:v>0</x:v>
      </x:c>
      <x:c r="H233" s="37" t="str">
        <x:v>["https://drug.fda.moph.go.th/media.php?id=730444441944465408&amp;name=pil_Retinol (CAPSULE SOFT).pdf","https://drug.fda.moph.go.th/media.php?id=810447473809170432&amp;name=SMPC_Retinol_Capsules.pdf"]</x:v>
      </x:c>
      <x:c r="I233" s="31" t="str">
        <x:v>draft</x:v>
      </x:c>
      <x:c r="J23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34">
      <x:c r="A234" s="31" t="str">
        <x:v>riboflavin</x:v>
      </x:c>
      <x:c r="B234" s="31" t="str">
        <x:v>Riboflavin</x:v>
      </x:c>
      <x:c r="C234" s="38" t="str">
        <x:v>ไร-โบ-ฟลา-วิน</x:v>
      </x:c>
      <x:c r="D234" s="39" t="str">
        <x:v>รอตรวจสอบ</x:v>
      </x:c>
      <x:c r="E234" s="39" t="str">
        <x:v>[]</x:v>
      </x:c>
      <x:c r="F234" s="38" t="str">
        <x:v>ใช้เพื่อรักษาภาวะขาดวิตามินบี 2</x:v>
      </x:c>
      <x:c r="G234" s="32" t="b">
        <x:v>0</x:v>
      </x:c>
      <x:c r="H234" s="37" t="str">
        <x:v>["https://drug.fda.moph.go.th/media.php?id=730444317851787264&amp;name=pil_Riboflavin (TABLET).pdf"]</x:v>
      </x:c>
      <x:c r="I234" s="31" t="str">
        <x:v>draft</x:v>
      </x:c>
      <x:c r="J23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35">
      <x:c r="A235" s="31" t="str">
        <x:v>rifampicin</x:v>
      </x:c>
      <x:c r="B235" s="31" t="str">
        <x:v>Rifampicin</x:v>
      </x:c>
      <x:c r="C235" s="38" t="str">
        <x:v>รอตรวจสอบชื่อภาษาไทย</x:v>
      </x:c>
      <x:c r="D235" s="39" t="str">
        <x:v>รอตรวจสอบ</x:v>
      </x:c>
      <x:c r="E235" s="39" t="str">
        <x:v>[]</x:v>
      </x:c>
      <x:c r="F235" s="38" t="str">
        <x:v>ข้อมูลฉบับร่างจากเอกสารอ้างอิง อย. รอตรวจทานโดยผู้เชี่ยวชาญ</x:v>
      </x:c>
      <x:c r="G235" s="32" t="b">
        <x:v>0</x:v>
      </x:c>
      <x:c r="H235" s="37" t="str">
        <x:v>["https://drug.fda.moph.go.th/media.php?id=810448559467012096&amp;name=SMPC_Rifampicin_Tablets.pdf"]</x:v>
      </x:c>
      <x:c r="I235" s="31" t="str">
        <x:v>draft</x:v>
      </x:c>
      <x:c r="J235" s="38" t="str">
        <x:v>Import batch thai_fda_20260718_v1: ต้องตรวจหมวดหมู่; ยังไม่กำหนดขนาดยาที่พบบ่อย; ต้องตรวจชื่อภาษาไทย; ห้ามเผยแพร่ก่อน Clinical review</x:v>
      </x:c>
    </x:row>
    <x:row r="236">
      <x:c r="A236" s="31" t="str">
        <x:v>roxithromycin</x:v>
      </x:c>
      <x:c r="B236" s="31" t="str">
        <x:v>roxithromycin</x:v>
      </x:c>
      <x:c r="C236" s="38" t="str">
        <x:v>ร็อกซิโทรไมซิน</x:v>
      </x:c>
      <x:c r="D236" s="39" t="str">
        <x:v>รอตรวจสอบ</x:v>
      </x:c>
      <x:c r="E236" s="39" t="str">
        <x:v>[]</x:v>
      </x:c>
      <x:c r="F236" s="38" t="str">
        <x:v>ใช้รักษาการติดเชื้อแบคทีเรีย</x:v>
      </x:c>
      <x:c r="G236" s="32" t="b">
        <x:v>0</x:v>
      </x:c>
      <x:c r="H236" s="37" t="str">
        <x:v>["https://drug.fda.moph.go.th/media.php?id=862918388656250880&amp;name=21.Roxithromycin_tablet_PIL_final.pdf"]</x:v>
      </x:c>
      <x:c r="I236" s="31" t="str">
        <x:v>draft</x:v>
      </x:c>
      <x:c r="J236"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37">
      <x:c r="A237" s="31" t="str">
        <x:v>salbutamol</x:v>
      </x:c>
      <x:c r="B237" s="31" t="str">
        <x:v>Salbutamol sulfate</x:v>
      </x:c>
      <x:c r="C237" s="38" t="str">
        <x:v>ซาลบูทามอล</x:v>
      </x:c>
      <x:c r="D237" s="39" t="str">
        <x:v>รอตรวจสอบ</x:v>
      </x:c>
      <x:c r="E237" s="39" t="str">
        <x:v>[]</x:v>
      </x:c>
      <x:c r="F237" s="38" t="str">
        <x:v>ข้อมูลฉบับร่างจากเอกสารอ้างอิง อย. รอตรวจทานโดยผู้เชี่ยวชาญ</x:v>
      </x:c>
      <x:c r="G237" s="32" t="b">
        <x:v>0</x:v>
      </x:c>
      <x:c r="H237" s="37" t="str">
        <x:v>["https://drug.fda.moph.go.th/media.php?id=808610253401890816&amp;name=Salbutamol_compressedTablet_PIL.pdf","https://drug.fda.moph.go.th/media.php?id=810449076385619968&amp;name=SMPC_Salbutamol_Syrup.pdf"]</x:v>
      </x:c>
      <x:c r="I237" s="31" t="str">
        <x:v>draft</x:v>
      </x:c>
      <x:c r="J237" s="38" t="str">
        <x:v>Import batch thai_fda_20260718_v1: ต้องตรวจหมวดหมู่; ยังไม่กำหนดขนาดยาที่พบบ่อย; ห้ามเผยแพร่ก่อน Clinical review</x:v>
      </x:c>
    </x:row>
    <x:row r="238">
      <x:c r="A238" s="31" t="str">
        <x:v>simethicone</x:v>
      </x:c>
      <x:c r="B238" s="31" t="str">
        <x:v>Simethicone</x:v>
      </x:c>
      <x:c r="C238" s="38" t="str">
        <x:v>รอตรวจสอบชื่อภาษาไทย</x:v>
      </x:c>
      <x:c r="D238" s="39" t="str">
        <x:v>รอตรวจสอบ</x:v>
      </x:c>
      <x:c r="E238" s="39" t="str">
        <x:v>[]</x:v>
      </x:c>
      <x:c r="F238" s="38" t="str">
        <x:v>ใช้บรรเทาอาการท้ องอืด ท้อ ง เ ฟ้ อ จุกเสียดเนื่องจากมี แก๊สในทางเดินอาหาร ในผู้ ใหญ่ที่มีอายุ 18 ปีขึ้นไป</x:v>
      </x:c>
      <x:c r="G238" s="32" t="b">
        <x:v>0</x:v>
      </x:c>
      <x:c r="H238" s="37" t="str">
        <x:v>["https://drug.fda.moph.go.th/media.php?id=733924770743197696&amp;name=PIL_Simethicone_ยาเม็ดแก้ท้องอืด ท้องเฟ้อ  ไซเมธิโคน(15032024).pdf"]</x:v>
      </x:c>
      <x:c r="I238" s="31" t="str">
        <x:v>draft</x:v>
      </x:c>
      <x:c r="J238"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239">
      <x:c r="A239" s="31" t="str">
        <x:v>simvastatin</x:v>
      </x:c>
      <x:c r="B239" s="31" t="str">
        <x:v>Simvastatin</x:v>
      </x:c>
      <x:c r="C239" s="38" t="str">
        <x:v>ซิมวาสแตทิน</x:v>
      </x:c>
      <x:c r="D239" s="39" t="str">
        <x:v>รอตรวจสอบ</x:v>
      </x:c>
      <x:c r="E239" s="39" t="str">
        <x:v>[]</x:v>
      </x:c>
      <x:c r="F239" s="38" t="str">
        <x:v>ข้อมูลฉบับร่างจากเอกสารอ้างอิง อย. รอตรวจทานโดยผู้เชี่ยวชาญ</x:v>
      </x:c>
      <x:c r="G239" s="32" t="b">
        <x:v>0</x:v>
      </x:c>
      <x:c r="H239" s="37" t="str">
        <x:v>["https://drug.fda.moph.go.th/media.php?id=808610458117480448&amp;name=simvastatin_PIL.pdf"]</x:v>
      </x:c>
      <x:c r="I239" s="31" t="str">
        <x:v>draft</x:v>
      </x:c>
      <x:c r="J239" s="38" t="str">
        <x:v>Import batch thai_fda_20260718_v1: ต้องตรวจหมวดหมู่; ยังไม่กำหนดขนาดยาที่พบบ่อย; ห้ามเผยแพร่ก่อน Clinical review</x:v>
      </x:c>
    </x:row>
    <x:row r="240">
      <x:c r="A240" s="31" t="str">
        <x:v>sodium_alginate_sodium_bicarbonate_calcium_carbonate</x:v>
      </x:c>
      <x:c r="B240" s="31" t="str">
        <x:v>Sodium alginate + Sodium bicarbonate + Calcium carbonate</x:v>
      </x:c>
      <x:c r="C240" s="38" t="str">
        <x:v>เพื่อบรรเทาอาการแสบร้อนบริเวณกลางอก ร่วมกับเรอ</x:v>
      </x:c>
      <x:c r="D240" s="39" t="str">
        <x:v>รอตรวจสอบ</x:v>
      </x:c>
      <x:c r="E240" s="39" t="str">
        <x:v>[]</x:v>
      </x:c>
      <x:c r="F240" s="38" t="str">
        <x:v>เพื่อบรรเทาอาการแสบร้อนบริเวณกลางอก ร่วมกับเรอ เปรี้ยว และอาหารไม่ย่อยเนื่องจากกรดไหลย้อ น</x:v>
      </x:c>
      <x:c r="G240" s="32" t="b">
        <x:v>0</x:v>
      </x:c>
      <x:c r="H240" s="37" t="str">
        <x:v>["https://drug.fda.moph.go.th/media.php?id=733940757777489920&amp;name=PIL_Sodium alginate + Sodium bicarbonate + Calcium carbonate ชนิดน้ำ.pdf","https://drug.fda.moph.go.th/media.php?id=733940824714387456&amp;name=PIL_Sodium alginate + Sodium bicarbonate + Calcium carbonate ชนิดเม็ด.pdf","https://drug.fda.moph.go.th/media.php?id=733939702767427584&amp;name=PIL_Sodium alginate + Sodium bicarbonate + Calcium carbonat.pdf","https://drug.fda.moph.go.th/media.php?id=733939962545840128&amp;name=PIL_Sodium alginate + Sodium bicarbonate + Calcium carbonate ชนิดเม็ด.pdf"]</x:v>
      </x:c>
      <x:c r="I240" s="31" t="str">
        <x:v>draft</x:v>
      </x:c>
      <x:c r="J240"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41">
      <x:c r="A241" s="31" t="str">
        <x:v>sodium_bicarbonate</x:v>
      </x:c>
      <x:c r="B241" s="31" t="str">
        <x:v>Sodium Bicarbonate</x:v>
      </x:c>
      <x:c r="C241" s="38" t="str">
        <x:v>ยานํ้าแก้ท้องอืด ท้องเฟ้ อ โซเดียมไบคาร์บอเนต ชนิดนํ้า</x:v>
      </x:c>
      <x:c r="D241" s="39" t="str">
        <x:v>รอตรวจสอบ</x:v>
      </x:c>
      <x:c r="E241" s="39" t="str">
        <x:v>[]</x:v>
      </x:c>
      <x:c r="F241" s="38" t="str">
        <x:v>ใช้เพื่อบรรเทาอาการท้ องอืด ท้ องขึ้น ท้ องเฟ้อ เนื่องจากมีกรดมากในกระเพาะอาหาร</x:v>
      </x:c>
      <x:c r="G241" s="32" t="b">
        <x:v>0</x:v>
      </x:c>
      <x:c r="H241" s="37" t="str">
        <x:v>["https://drug.fda.moph.go.th/media.php?id=810453894575562752&amp;name=SMPC_Sodium Bicarbonate_powder.pdf","https://drug.fda.moph.go.th/media.php?id=733938312682807296&amp;name=PIL_Sodium bicarbonate ยาน้ำแก้ท้องอืด ท้องเฟ้อ(15032024).pdf","https://drug.fda.moph.go.th/media.php?id=810454498920243200&amp;name=SMPC_Sodium Bicarbonate_oral solution.pdf"]</x:v>
      </x:c>
      <x:c r="I241" s="31" t="str">
        <x:v>draft</x:v>
      </x:c>
      <x:c r="J241"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42">
      <x:c r="A242" s="31" t="str">
        <x:v>sodium_bicarbonate_peppermint_oil</x:v>
      </x:c>
      <x:c r="B242" s="31" t="str">
        <x:v>Sodium bicarbonate + Peppermint oil</x:v>
      </x:c>
      <x:c r="C242" s="38" t="str">
        <x:v>รอตรวจสอบชื่อภาษาไทย</x:v>
      </x:c>
      <x:c r="D242" s="39" t="str">
        <x:v>รอตรวจสอบ</x:v>
      </x:c>
      <x:c r="E242" s="39" t="str">
        <x:v>[]</x:v>
      </x:c>
      <x:c r="F242" s="38" t="str">
        <x:v>ใช้เพื่อบรรเทาอาการจุกเสียด ลดอาการระคายเคือง เนื่องจากมีกรดมากในกระเพาะอาหาร</x:v>
      </x:c>
      <x:c r="G242" s="32" t="b">
        <x:v>0</x:v>
      </x:c>
      <x:c r="H242" s="37" t="str">
        <x:v>["https://drug.fda.moph.go.th/media.php?id=733937916107169792&amp;name=PIL_Sodium bicarbonate + Peppermint oil (15032024).pdf"]</x:v>
      </x:c>
      <x:c r="I242" s="31" t="str">
        <x:v>draft</x:v>
      </x:c>
      <x:c r="J242"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243">
      <x:c r="A243" s="31" t="str">
        <x:v>sodium_chloride</x:v>
      </x:c>
      <x:c r="B243" s="31" t="str">
        <x:v>Sodium chloride</x:v>
      </x:c>
      <x:c r="C243" s="38" t="str">
        <x:v>นํ้าเกลือล้างแผล ชนิดนํ้า</x:v>
      </x:c>
      <x:c r="D243" s="39" t="str">
        <x:v>รอตรวจสอบ</x:v>
      </x:c>
      <x:c r="E243" s="39" t="str">
        <x:v>[]</x:v>
      </x:c>
      <x:c r="F243" s="38" t="str">
        <x:v>ใช้ทําความสะอาดบาดแผล</x:v>
      </x:c>
      <x:c r="G243" s="32" t="b">
        <x:v>0</x:v>
      </x:c>
      <x:c r="H243" s="37" t="str">
        <x:v>["https://drug.fda.moph.go.th/media.php?id=733937516763291648&amp;name=PIL_Sodium chloride_น้ำเกลือล้างแผล (150320204).pdf","https://drug.fda.moph.go.th/media.php?id=733937174893961216&amp;name=PIL ยาระบาย Sodium chloride ชนิดสวนทวาร (15032024).pdf","https://drug.fda.moph.go.th/media.php?id=733936761784377344&amp;name=PIL Sodium chloride_ยาล้างตา_(15032024).pdf"]</x:v>
      </x:c>
      <x:c r="I243" s="31" t="str">
        <x:v>draft</x:v>
      </x:c>
      <x:c r="J24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44">
      <x:c r="A244" s="31" t="str">
        <x:v>sodium_dihydrogen</x:v>
      </x:c>
      <x:c r="B244" s="31" t="str">
        <x:v>Sodium dihydrogen phosphate</x:v>
      </x:c>
      <x:c r="C244" s="38" t="str">
        <x:v>รอตรวจสอบชื่อภาษาไทย</x:v>
      </x:c>
      <x:c r="D244" s="39" t="str">
        <x:v>รอตรวจสอบ</x:v>
      </x:c>
      <x:c r="E244" s="39" t="str">
        <x:v>[]</x:v>
      </x:c>
      <x:c r="F244" s="38" t="str">
        <x:v>ข้อมูลฉบับร่างจากเอกสารอ้างอิง อย. รอตรวจทานโดยผู้เชี่ยวชาญ</x:v>
      </x:c>
      <x:c r="G244" s="32" t="b">
        <x:v>0</x:v>
      </x:c>
      <x:c r="H244" s="37" t="str">
        <x:v>["https://drug.fda.moph.go.th/media.php?id=810461583477186560&amp;name=SMPC_Sodium dihydrogen phosphate_enema.pdf"]</x:v>
      </x:c>
      <x:c r="I244" s="31" t="str">
        <x:v>draft</x:v>
      </x:c>
      <x:c r="J244" s="38" t="str">
        <x:v>Import batch thai_fda_20260718_v1: ต้องตรวจหมวดหมู่; ยังไม่กำหนดขนาดยาที่พบบ่อย; ต้องตรวจชื่อภาษาไทย; ห้ามเผยแพร่ก่อน Clinical review</x:v>
      </x:c>
    </x:row>
    <x:row r="245">
      <x:c r="A245" s="31" t="str">
        <x:v>sodium_phosphate</x:v>
      </x:c>
      <x:c r="B245" s="31" t="str">
        <x:v>Sodium phosphate</x:v>
      </x:c>
      <x:c r="C245" s="38" t="str">
        <x:v>รอตรวจสอบชื่อภาษาไทย</x:v>
      </x:c>
      <x:c r="D245" s="39" t="str">
        <x:v>รอตรวจสอบ</x:v>
      </x:c>
      <x:c r="E245" s="39" t="str">
        <x:v>[]</x:v>
      </x:c>
      <x:c r="F245" s="38" t="str">
        <x:v>ข้อมูลฉบับร่างจากเอกสารอ้างอิง อย. รอตรวจทานโดยผู้เชี่ยวชาญ</x:v>
      </x:c>
      <x:c r="G245" s="32" t="b">
        <x:v>0</x:v>
      </x:c>
      <x:c r="H245" s="37" t="str">
        <x:v>["https://drug.fda.moph.go.th/media.php?id=810462163935305728&amp;name=SMPC_Sodium phosphate_enema.pdf"]</x:v>
      </x:c>
      <x:c r="I245" s="31" t="str">
        <x:v>draft</x:v>
      </x:c>
      <x:c r="J245" s="38" t="str">
        <x:v>Import batch thai_fda_20260718_v1: ต้องตรวจหมวดหมู่; ยังไม่กำหนดขนาดยาที่พบบ่อย; ต้องตรวจชื่อภาษาไทย; ห้ามเผยแพร่ก่อน Clinical review</x:v>
      </x:c>
    </x:row>
    <x:row r="246">
      <x:c r="A246" s="31" t="str">
        <x:v>sodium_phosphate_sodium_biphosphate</x:v>
      </x:c>
      <x:c r="B246" s="31" t="str">
        <x:v>Sodium phosphate + Sodium biphosphate</x:v>
      </x:c>
      <x:c r="C246" s="38" t="str">
        <x:v>รอตรวจสอบชื่อภาษาไทย</x:v>
      </x:c>
      <x:c r="D246" s="39" t="str">
        <x:v>รอตรวจสอบ</x:v>
      </x:c>
      <x:c r="E246" s="39" t="str">
        <x:v>[]</x:v>
      </x:c>
      <x:c r="F246" s="38" t="str">
        <x:v>ใช้เพื่อรักษาอาการท้องผูก • ใช้เพื่อท าความสะอาดล าไส้ส าหรับการเตรียมผ่าตัดหรือ การตรวจวินิจฉัยโรค</x:v>
      </x:c>
      <x:c r="G246" s="32" t="b">
        <x:v>0</x:v>
      </x:c>
      <x:c r="H246" s="37" t="str">
        <x:v>["https://drug.fda.moph.go.th/media.php?id=733966685354205184&amp;name=pil_Sodium phosphate + Sodium biphosphate ENEMA.pdf"]</x:v>
      </x:c>
      <x:c r="I246" s="31" t="str">
        <x:v>draft</x:v>
      </x:c>
      <x:c r="J246"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247">
      <x:c r="A247" s="31" t="str">
        <x:v>sodium_thiosulfate</x:v>
      </x:c>
      <x:c r="B247" s="31" t="str">
        <x:v>Sodium thiosulfate</x:v>
      </x:c>
      <x:c r="C247" s="38" t="str">
        <x:v>โซเดียมไทโอซัลเฟต</x:v>
      </x:c>
      <x:c r="D247" s="39" t="str">
        <x:v>รอตรวจสอบ</x:v>
      </x:c>
      <x:c r="E247" s="39" t="str">
        <x:v>[]</x:v>
      </x:c>
      <x:c r="F247" s="38" t="str">
        <x:v>ยานี้ใช้เพื่อรักษาเกลื้อน</x:v>
      </x:c>
      <x:c r="G247" s="32" t="b">
        <x:v>0</x:v>
      </x:c>
      <x:c r="H247" s="37" t="str">
        <x:v>["https://drug.fda.moph.go.th/media.php?id=733936327577444352&amp;name=PIL_ยารักษาเกลื้อน Sodium thiosulfate (15032024).pdf"]</x:v>
      </x:c>
      <x:c r="I247" s="31" t="str">
        <x:v>draft</x:v>
      </x:c>
      <x:c r="J247"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48">
      <x:c r="A248" s="31" t="str">
        <x:v>sodium_valproate</x:v>
      </x:c>
      <x:c r="B248" s="31" t="str">
        <x:v>Sodium valproate</x:v>
      </x:c>
      <x:c r="C248" s="38" t="str">
        <x:v>รอตรวจสอบชื่อภาษาไทย</x:v>
      </x:c>
      <x:c r="D248" s="39" t="str">
        <x:v>รอตรวจสอบ</x:v>
      </x:c>
      <x:c r="E248" s="39" t="str">
        <x:v>[]</x:v>
      </x:c>
      <x:c r="F248" s="38" t="str">
        <x:v>ข้อมูลฉบับร่างจากเอกสารอ้างอิง อย. รอตรวจทานโดยผู้เชี่ยวชาญ</x:v>
      </x:c>
      <x:c r="G248" s="32" t="b">
        <x:v>0</x:v>
      </x:c>
      <x:c r="H248" s="37" t="str">
        <x:v>["https://drug.fda.moph.go.th/media.php?id=810462806720782336&amp;name=SMPC_Sodium Valproate_Enteric-coated tablet.pdf"]</x:v>
      </x:c>
      <x:c r="I248" s="31" t="str">
        <x:v>draft</x:v>
      </x:c>
      <x:c r="J248" s="38" t="str">
        <x:v>Import batch thai_fda_20260718_v1: ต้องตรวจหมวดหมู่; ยังไม่กำหนดขนาดยาที่พบบ่อย; ต้องตรวจชื่อภาษาไทย; ห้ามเผยแพร่ก่อน Clinical review</x:v>
      </x:c>
    </x:row>
    <x:row r="249">
      <x:c r="A249" s="31" t="str">
        <x:v>sublimed_sulphur</x:v>
      </x:c>
      <x:c r="B249" s="31" t="str">
        <x:v>Sublimed sulphur</x:v>
      </x:c>
      <x:c r="C249" s="38" t="str">
        <x:v>รอตรวจสอบชื่อภาษาไทย</x:v>
      </x:c>
      <x:c r="D249" s="39" t="str">
        <x:v>รอตรวจสอบ</x:v>
      </x:c>
      <x:c r="E249" s="39" t="str">
        <x:v>[]</x:v>
      </x:c>
      <x:c r="F249" s="38" t="str">
        <x:v>ยานี้ใช้เพื่อรักษาโรคหิด</x:v>
      </x:c>
      <x:c r="G249" s="32" t="b">
        <x:v>0</x:v>
      </x:c>
      <x:c r="H249" s="37" t="str">
        <x:v>["https://drug.fda.moph.go.th/media.php?id=733935842904645632&amp;name=PIL_Sublimed sulphur_ยารักษาหิด ขี้ผึ้งกำมะถัน (15032024).pdf"]</x:v>
      </x:c>
      <x:c r="I249" s="31" t="str">
        <x:v>draft</x:v>
      </x:c>
      <x:c r="J249"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250">
      <x:c r="A250" s="31" t="str">
        <x:v>sucralfate</x:v>
      </x:c>
      <x:c r="B250" s="31" t="str">
        <x:v>Sucralfate</x:v>
      </x:c>
      <x:c r="C250" s="38" t="str">
        <x:v>ซูคราลเฟต ชนิดน้าแขวนตะกอน</x:v>
      </x:c>
      <x:c r="D250" s="39" t="str">
        <x:v>รอตรวจสอบ</x:v>
      </x:c>
      <x:c r="E250" s="39" t="str">
        <x:v>[]</x:v>
      </x:c>
      <x:c r="F250" s="38" t="str">
        <x:v>รักษาแผลในกระเพาะอาหารและล าไส้เล็กส่วนต้น • ป้องกันภาวะเลือดออกในทางเดินอาหารที่มีสาเหตุ จากแผลในทางเดินอาหารเนื่องจากภาวะเครียด</x:v>
      </x:c>
      <x:c r="G250" s="32" t="b">
        <x:v>0</x:v>
      </x:c>
      <x:c r="H250" s="37" t="str">
        <x:v>["https://drug.fda.moph.go.th/media.php?id=730445749044781056&amp;name=pil_Sucralfate (ORAL SUSPENSION).pdf","https://drug.fda.moph.go.th/media.php?id=730445568010231808&amp;name=pil_Sucralfate (TABLET).pdf","https://drug.fda.moph.go.th/media.php?id=810463510696960000&amp;name=SMPC_Sucralfate_suspension.pdf"]</x:v>
      </x:c>
      <x:c r="I250" s="31" t="str">
        <x:v>draft</x:v>
      </x:c>
      <x:c r="J250"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51">
      <x:c r="A251" s="31" t="str">
        <x:v>sulfasalazine</x:v>
      </x:c>
      <x:c r="B251" s="31" t="str">
        <x:v>Sulfasalazine</x:v>
      </x:c>
      <x:c r="C251" s="38" t="str">
        <x:v>ซัลฟาซาลาซีน</x:v>
      </x:c>
      <x:c r="D251" s="39" t="str">
        <x:v>รอตรวจสอบ</x:v>
      </x:c>
      <x:c r="E251" s="39" t="str">
        <x:v>[]</x:v>
      </x:c>
      <x:c r="F251" s="38" t="str">
        <x:v>ใช้รักษาโรคที่มีการอักเสบของทางเดินอาหาร ได้แก่ o โรคล าไส้ใหญ่อักเสบ o โรคโครห์น</x:v>
      </x:c>
      <x:c r="G251" s="32" t="b">
        <x:v>0</x:v>
      </x:c>
      <x:c r="H251" s="37" t="str">
        <x:v>["https://drug.fda.moph.go.th/media.php?id=730445434027384832&amp;name=pil_Sulfasalazine (ENTERIC COATED TABLET 500 mg).pdf"]</x:v>
      </x:c>
      <x:c r="I251" s="31" t="str">
        <x:v>draft</x:v>
      </x:c>
      <x:c r="J251"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52">
      <x:c r="A252" s="31" t="str">
        <x:v>tamoxifen</x:v>
      </x:c>
      <x:c r="B252" s="31" t="str">
        <x:v>Tamoxifen citrate</x:v>
      </x:c>
      <x:c r="C252" s="38" t="str">
        <x:v>ทาม็อกซิเฟน</x:v>
      </x:c>
      <x:c r="D252" s="39" t="str">
        <x:v>รอตรวจสอบ</x:v>
      </x:c>
      <x:c r="E252" s="39" t="str">
        <x:v>[]</x:v>
      </x:c>
      <x:c r="F252" s="38" t="str">
        <x:v>ใช้รักษามะเร็งเต้ านม • ใช้รักษาผู้ ที่มีภาวะมีบุตรยาก • ใช้ลดความเสี่ยงในการเกิดโรคมะเร็งเต้านมในผู้ ที่มี ความเสี่ยงสูง ซึ่งแพทย์วินิจฉัยแล้วว่าจ าเป็ นต้องใช้ ยานี้</x:v>
      </x:c>
      <x:c r="G252" s="32" t="b">
        <x:v>0</x:v>
      </x:c>
      <x:c r="H252" s="37" t="str">
        <x:v>["https://drug.fda.moph.go.th/media.php?id=810464618991460352&amp;name=SMPC_Tamoxifen_Tablets.pdf","https://drug.fda.moph.go.th/media.php?id=862918389235064832&amp;name=16.Tamoxifen_Tablets_PIL_final.pdf"]</x:v>
      </x:c>
      <x:c r="I252" s="31" t="str">
        <x:v>draft</x:v>
      </x:c>
      <x:c r="J25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53">
      <x:c r="A253" s="31" t="str">
        <x:v>teicoplanin</x:v>
      </x:c>
      <x:c r="B253" s="31" t="str">
        <x:v>Teicoplanin</x:v>
      </x:c>
      <x:c r="C253" s="38" t="str">
        <x:v>รอตรวจสอบชื่อภาษาไทย</x:v>
      </x:c>
      <x:c r="D253" s="39" t="str">
        <x:v>รอตรวจสอบ</x:v>
      </x:c>
      <x:c r="E253" s="39" t="str">
        <x:v>[]</x:v>
      </x:c>
      <x:c r="F253" s="38" t="str">
        <x:v>ข้อมูลฉบับร่างจากเอกสารอ้างอิง อย. รอตรวจทานโดยผู้เชี่ยวชาญ</x:v>
      </x:c>
      <x:c r="G253" s="32" t="b">
        <x:v>0</x:v>
      </x:c>
      <x:c r="H253" s="37" t="str">
        <x:v>["https://drug.fda.moph.go.th/media.php?id=810465319775772672&amp;name=SMPC_Teicoplanin_powder for solution for injection-infusion or oral solution.pdf"]</x:v>
      </x:c>
      <x:c r="I253" s="31" t="str">
        <x:v>draft</x:v>
      </x:c>
      <x:c r="J253" s="38" t="str">
        <x:v>Import batch thai_fda_20260718_v1: ต้องตรวจหมวดหมู่; ยังไม่กำหนดขนาดยาที่พบบ่อย; ต้องตรวจชื่อภาษาไทย; ห้ามเผยแพร่ก่อน Clinical review</x:v>
      </x:c>
    </x:row>
    <x:row r="254">
      <x:c r="A254" s="31" t="str">
        <x:v>tenoxicam</x:v>
      </x:c>
      <x:c r="B254" s="31" t="str">
        <x:v>Tenoxicam</x:v>
      </x:c>
      <x:c r="C254" s="38" t="str">
        <x:v>รอตรวจสอบชื่อภาษาไทย</x:v>
      </x:c>
      <x:c r="D254" s="39" t="str">
        <x:v>รอตรวจสอบ</x:v>
      </x:c>
      <x:c r="E254" s="39" t="str">
        <x:v>[]</x:v>
      </x:c>
      <x:c r="F254" s="38" t="str">
        <x:v>ข้อมูลฉบับร่างจากเอกสารอ้างอิง อย. รอตรวจทานโดยผู้เชี่ยวชาญ</x:v>
      </x:c>
      <x:c r="G254" s="32" t="b">
        <x:v>0</x:v>
      </x:c>
      <x:c r="H254" s="37" t="str">
        <x:v>["https://drug.fda.moph.go.th/media.php?id=810466026549551104&amp;name=SMPC_Tenoxicam_Tablets.pdf"]</x:v>
      </x:c>
      <x:c r="I254" s="31" t="str">
        <x:v>draft</x:v>
      </x:c>
      <x:c r="J254" s="38" t="str">
        <x:v>Import batch thai_fda_20260718_v1: ต้องตรวจหมวดหมู่; ยังไม่กำหนดขนาดยาที่พบบ่อย; ต้องตรวจชื่อภาษาไทย; ห้ามเผยแพร่ก่อน Clinical review</x:v>
      </x:c>
    </x:row>
    <x:row r="255">
      <x:c r="A255" s="31" t="str">
        <x:v>terbutaline</x:v>
      </x:c>
      <x:c r="B255" s="31" t="str">
        <x:v>Terbutaline sulfate</x:v>
      </x:c>
      <x:c r="C255" s="38" t="str">
        <x:v>เทอร์บูทาลีน</x:v>
      </x:c>
      <x:c r="D255" s="39" t="str">
        <x:v>รอตรวจสอบ</x:v>
      </x:c>
      <x:c r="E255" s="39" t="str">
        <x:v>[]</x:v>
      </x:c>
      <x:c r="F255" s="38" t="str">
        <x:v>ข้อมูลฉบับร่างจากเอกสารอ้างอิง อย. รอตรวจทานโดยผู้เชี่ยวชาญ</x:v>
      </x:c>
      <x:c r="G255" s="32" t="b">
        <x:v>0</x:v>
      </x:c>
      <x:c r="H255" s="37" t="str">
        <x:v>["https://drug.fda.moph.go.th/media.php?id=808611557641691136&amp;name=Terbutaline_compressedTablet_PIL.pdf","https://drug.fda.moph.go.th/media.php?id=810466986881589248&amp;name=SMPC_Terbutaline_Solution for injection or infusion.pdf","https://drug.fda.moph.go.th/media.php?id=810467535672713216&amp;name=SMPC_Terbutaline_Syrup.pdf"]</x:v>
      </x:c>
      <x:c r="I255" s="31" t="str">
        <x:v>draft</x:v>
      </x:c>
      <x:c r="J255" s="38" t="str">
        <x:v>Import batch thai_fda_20260718_v1: ต้องตรวจหมวดหมู่; ยังไม่กำหนดขนาดยาที่พบบ่อย; ห้ามเผยแพร่ก่อน Clinical review</x:v>
      </x:c>
    </x:row>
    <x:row r="256">
      <x:c r="A256" s="31" t="str">
        <x:v>tetracycline</x:v>
      </x:c>
      <x:c r="B256" s="31" t="str">
        <x:v>Tetracycline hydrochloride</x:v>
      </x:c>
      <x:c r="C256" s="38" t="str">
        <x:v>เต-ตระ-ไซ-คลิน-ไฮ-โดร-คลอ-ไรด์</x:v>
      </x:c>
      <x:c r="D256" s="39" t="str">
        <x:v>รอตรวจสอบ</x:v>
      </x:c>
      <x:c r="E256" s="39" t="str">
        <x:v>[]</x:v>
      </x:c>
      <x:c r="F256" s="38" t="str">
        <x:v>ใช้เพื่อรักษาการติดเชื้อแบคทีเรีย ที่ได้ รับการวินิจฉัยว่า ต้องใช้ยานี้</x:v>
      </x:c>
      <x:c r="G256" s="32" t="b">
        <x:v>0</x:v>
      </x:c>
      <x:c r="H256" s="37" t="str">
        <x:v>["https://drug.fda.moph.go.th/media.php?id=730445324153397248&amp;name=pil_Tetracycline hydrochloride (CAPSULE, HARD).pdf","https://drug.fda.moph.go.th/media.php?id=810476861875429376&amp;name=SMPC_Tetracycline_Tablets.pdf"]</x:v>
      </x:c>
      <x:c r="I256" s="31" t="str">
        <x:v>draft</x:v>
      </x:c>
      <x:c r="J256"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57">
      <x:c r="A257" s="31" t="str">
        <x:v>theophylline</x:v>
      </x:c>
      <x:c r="B257" s="31" t="str">
        <x:v>Theophylline</x:v>
      </x:c>
      <x:c r="C257" s="38" t="str">
        <x:v>ทีออฟิลลีน</x:v>
      </x:c>
      <x:c r="D257" s="39" t="str">
        <x:v>รอตรวจสอบ</x:v>
      </x:c>
      <x:c r="E257" s="39" t="str">
        <x:v>[]</x:v>
      </x:c>
      <x:c r="F257" s="38" t="str">
        <x:v>ข้อมูลฉบับร่างจากเอกสารอ้างอิง อย. รอตรวจทานโดยผู้เชี่ยวชาญ</x:v>
      </x:c>
      <x:c r="G257" s="32" t="b">
        <x:v>0</x:v>
      </x:c>
      <x:c r="H257" s="37" t="str">
        <x:v>["https://drug.fda.moph.go.th/media.php?id=808611857748336640&amp;name=Theophylline_compressedTablet_PIL.pdf"]</x:v>
      </x:c>
      <x:c r="I257" s="31" t="str">
        <x:v>draft</x:v>
      </x:c>
      <x:c r="J257" s="38" t="str">
        <x:v>Import batch thai_fda_20260718_v1: ต้องตรวจหมวดหมู่; ยังไม่กำหนดขนาดยาที่พบบ่อย; ห้ามเผยแพร่ก่อน Clinical review</x:v>
      </x:c>
    </x:row>
    <x:row r="258">
      <x:c r="A258" s="31" t="str">
        <x:v>thiamine</x:v>
      </x:c>
      <x:c r="B258" s="31" t="str">
        <x:v>Thiamine hydrochloride</x:v>
      </x:c>
      <x:c r="C258" s="38" t="str">
        <x:v>ไท-อา-มีน</x:v>
      </x:c>
      <x:c r="D258" s="39" t="str">
        <x:v>รอตรวจสอบ</x:v>
      </x:c>
      <x:c r="E258" s="39" t="str">
        <x:v>[]</x:v>
      </x:c>
      <x:c r="F258" s="38" t="str">
        <x:v>ใช้เพื่อรักษาภาวะขาดวิตามินบี 1</x:v>
      </x:c>
      <x:c r="G258" s="32" t="b">
        <x:v>0</x:v>
      </x:c>
      <x:c r="H258" s="37" t="str">
        <x:v>["https://drug.fda.moph.go.th/media.php?id=730445219878805504&amp;name=pil_Thiamine hydrochloride (TABLET).pdf","https://drug.fda.moph.go.th/media.php?id=810477458427092992&amp;name=SMPC_Thiamine hydrochloride_Tablets.pdf","https://drug.fda.moph.go.th/media.php?id=810478221882695680&amp;name=SMPC_Thiamine hydrochloride_Solution for Injection.pdf"]</x:v>
      </x:c>
      <x:c r="I258" s="31" t="str">
        <x:v>draft</x:v>
      </x:c>
      <x:c r="J258"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59">
      <x:c r="A259" s="31" t="str">
        <x:v>thimerosal</x:v>
      </x:c>
      <x:c r="B259" s="31" t="str">
        <x:v>Thimerosal</x:v>
      </x:c>
      <x:c r="C259" s="38" t="str">
        <x:v>ยาใส่แผล ทิงเจอร์ไทเมอรอซอล ชนิดนํ้า</x:v>
      </x:c>
      <x:c r="D259" s="39" t="str">
        <x:v>รอตรวจสอบ</x:v>
      </x:c>
      <x:c r="E259" s="39" t="str">
        <x:v>[]</x:v>
      </x:c>
      <x:c r="F259" s="38" t="str">
        <x:v>ใช้รักษาแผลสด</x:v>
      </x:c>
      <x:c r="G259" s="32" t="b">
        <x:v>0</x:v>
      </x:c>
      <x:c r="H259" s="37" t="str">
        <x:v>["https://drug.fda.moph.go.th/media.php?id=733935364602994688&amp;name=PIL_Thimerosal ยาใส่แผลทิงเจอร์ (15032024).pdf"]</x:v>
      </x:c>
      <x:c r="I259" s="31" t="str">
        <x:v>draft</x:v>
      </x:c>
      <x:c r="J25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60">
      <x:c r="A260" s="31" t="str">
        <x:v>thioridazine</x:v>
      </x:c>
      <x:c r="B260" s="31" t="str">
        <x:v>Thioridazine hydrochloride</x:v>
      </x:c>
      <x:c r="C260" s="38" t="str">
        <x:v>ไทโอริดาซีน</x:v>
      </x:c>
      <x:c r="D260" s="39" t="str">
        <x:v>รอตรวจสอบ</x:v>
      </x:c>
      <x:c r="E260" s="39" t="str">
        <x:v>[]</x:v>
      </x:c>
      <x:c r="F260" s="38" t="str">
        <x:v>ข้อมูลฉบับร่างจากเอกสารอ้างอิง อย. รอตรวจทานโดยผู้เชี่ยวชาญ</x:v>
      </x:c>
      <x:c r="G260" s="32" t="b">
        <x:v>0</x:v>
      </x:c>
      <x:c r="H260" s="37" t="str">
        <x:v>["https://drug.fda.moph.go.th/media.php?id=808612106248265728&amp;name=Thioridazine hydrochloride_sugarCoatedTablet_PIL.pdf"]</x:v>
      </x:c>
      <x:c r="I260" s="31" t="str">
        <x:v>draft</x:v>
      </x:c>
      <x:c r="J260" s="38" t="str">
        <x:v>Import batch thai_fda_20260718_v1: ต้องตรวจหมวดหมู่; ยังไม่กำหนดขนาดยาที่พบบ่อย; ห้ามเผยแพร่ก่อน Clinical review</x:v>
      </x:c>
    </x:row>
    <x:row r="261">
      <x:c r="A261" s="31" t="str">
        <x:v>thyrothricin_benzocaine</x:v>
      </x:c>
      <x:c r="B261" s="31" t="str">
        <x:v>Thyrothricin + Benzocaine</x:v>
      </x:c>
      <x:c r="C261" s="38" t="str">
        <x:v>รอตรวจสอบชื่อภาษาไทย</x:v>
      </x:c>
      <x:c r="D261" s="39" t="str">
        <x:v>รอตรวจสอบ</x:v>
      </x:c>
      <x:c r="E261" s="39" t="str">
        <x:v>[]</x:v>
      </x:c>
      <x:c r="F261" s="38" t="str">
        <x:v>ข้อมูลฉบับร่างจากเอกสารอ้างอิง อย. รอตรวจทานโดยผู้เชี่ยวชาญ</x:v>
      </x:c>
      <x:c r="G261" s="32" t="b">
        <x:v>0</x:v>
      </x:c>
      <x:c r="H261" s="37" t="str">
        <x:v>["https://drug.fda.moph.go.th/media.php?id=810481677779476480&amp;name=SMPC_Tyrothricin and Benzocaine_Lozenge.pdf"]</x:v>
      </x:c>
      <x:c r="I261" s="31" t="str">
        <x:v>draft</x:v>
      </x:c>
      <x:c r="J261" s="38" t="str">
        <x:v>Import batch thai_fda_20260718_v1: ต้องตรวจหมวดหมู่; ยังไม่กำหนดขนาดยาที่พบบ่อย; ต้องตรวจชื่อภาษาไทย; ห้ามเผยแพร่ก่อน Clinical review</x:v>
      </x:c>
    </x:row>
    <x:row r="262">
      <x:c r="A262" s="31" t="str">
        <x:v>timolol</x:v>
      </x:c>
      <x:c r="B262" s="31" t="str">
        <x:v>Timolol maleate</x:v>
      </x:c>
      <x:c r="C262" s="38" t="str">
        <x:v>ทิโมลอล</x:v>
      </x:c>
      <x:c r="D262" s="39" t="str">
        <x:v>รอตรวจสอบ</x:v>
      </x:c>
      <x:c r="E262" s="39" t="str">
        <x:v>[]</x:v>
      </x:c>
      <x:c r="F262" s="38" t="str">
        <x:v>ใช้เพื่อรักษาโรคต้ อหิน</x:v>
      </x:c>
      <x:c r="G262" s="32" t="b">
        <x:v>0</x:v>
      </x:c>
      <x:c r="H262" s="37" t="str">
        <x:v>["https://drug.fda.moph.go.th/media.php?id=810482237991690240&amp;name=SMPC_Timolol_Eye Drops Solution.pdf","https://drug.fda.moph.go.th/media.php?id=862918387385376768&amp;name=39.Timolol_eyedrop_PIL_final.pdf"]</x:v>
      </x:c>
      <x:c r="I262" s="31" t="str">
        <x:v>draft</x:v>
      </x:c>
      <x:c r="J26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63">
      <x:c r="A263" s="31" t="str">
        <x:v>tinidazole</x:v>
      </x:c>
      <x:c r="B263" s="31" t="str">
        <x:v>Tinidazole</x:v>
      </x:c>
      <x:c r="C263" s="38" t="str">
        <x:v>ทินิดาโซล</x:v>
      </x:c>
      <x:c r="D263" s="39" t="str">
        <x:v>รอตรวจสอบ</x:v>
      </x:c>
      <x:c r="E263" s="39" t="str">
        <x:v>[]</x:v>
      </x:c>
      <x:c r="F263" s="38" t="str">
        <x:v>ข้อมูลฉบับร่างจากเอกสารอ้างอิง อย. รอตรวจทานโดยผู้เชี่ยวชาญ</x:v>
      </x:c>
      <x:c r="G263" s="32" t="b">
        <x:v>0</x:v>
      </x:c>
      <x:c r="H263" s="37" t="str">
        <x:v>["https://drug.fda.moph.go.th/media.php?id=808854193703100416&amp;name=Tinidazole_capsuleCompressedTabletFilmCoatedTabletEntericFilmCoatedTablet_PIL.pdf","https://drug.fda.moph.go.th/media.php?id=810482703316164608&amp;name=SMPC_Tinidazole_Film-coated Tablet.pdf"]</x:v>
      </x:c>
      <x:c r="I263" s="31" t="str">
        <x:v>draft</x:v>
      </x:c>
      <x:c r="J263" s="38" t="str">
        <x:v>Import batch thai_fda_20260718_v1: ต้องตรวจหมวดหมู่; ยังไม่กำหนดขนาดยาที่พบบ่อย; ห้ามเผยแพร่ก่อน Clinical review</x:v>
      </x:c>
    </x:row>
    <x:row r="264">
      <x:c r="A264" s="31" t="str">
        <x:v>tocopherol</x:v>
      </x:c>
      <x:c r="B264" s="31" t="str">
        <x:v>Tocopherol</x:v>
      </x:c>
      <x:c r="C264" s="38" t="str">
        <x:v>โท-โค-ฟี-รอล</x:v>
      </x:c>
      <x:c r="D264" s="39" t="str">
        <x:v>รอตรวจสอบ</x:v>
      </x:c>
      <x:c r="E264" s="39" t="str">
        <x:v>[]</x:v>
      </x:c>
      <x:c r="F264" s="38" t="str">
        <x:v>ใช้เพื่อรักษาภาวะขาดวิตามินอี</x:v>
      </x:c>
      <x:c r="G264" s="32" t="b">
        <x:v>0</x:v>
      </x:c>
      <x:c r="H264" s="37" t="str">
        <x:v>["https://drug.fda.moph.go.th/media.php?id=730443346484535296&amp;name=pil_Tocopherol (CAPSULE, SOFT).pdf","https://drug.fda.moph.go.th/media.php?id=810483084486123520&amp;name=SMPC_Tocopherol_soft capsules.pdf"]</x:v>
      </x:c>
      <x:c r="I264" s="31" t="str">
        <x:v>draft</x:v>
      </x:c>
      <x:c r="J264"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65">
      <x:c r="A265" s="31" t="str">
        <x:v>tramadol</x:v>
      </x:c>
      <x:c r="B265" s="31" t="str">
        <x:v>Tramadol hydrochloride</x:v>
      </x:c>
      <x:c r="C265" s="38" t="str">
        <x:v>ทรา-มา-ดอล-ไฮ-โดร-คลอ-ไรด์</x:v>
      </x:c>
      <x:c r="D265" s="39" t="str">
        <x:v>รอตรวจสอบ</x:v>
      </x:c>
      <x:c r="E265" s="39" t="str">
        <x:v>[]</x:v>
      </x:c>
      <x:c r="F265" s="38" t="str">
        <x:v>ใช้รักษาอาการปวดระดับปานกลางถึงรุนแรง</x:v>
      </x:c>
      <x:c r="G265" s="32" t="b">
        <x:v>0</x:v>
      </x:c>
      <x:c r="H265" s="37" t="str">
        <x:v>["https://drug.fda.moph.go.th/media.php?id=808855984142426112&amp;name=Tramadol_capsuleCompressedtablet_PIL.pdf","https://drug.fda.moph.go.th/media.php?id=810483663501402112&amp;name=SMPC_Tramadol_Capsules.pdf","https://drug.fda.moph.go.th/media.php?id=810484035766853632&amp;name=SMPC_Tramadol_solution for injection or infusion.pdf"]</x:v>
      </x:c>
      <x:c r="I265" s="31" t="str">
        <x:v>draft</x:v>
      </x:c>
      <x:c r="J265"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66">
      <x:c r="A266" s="31" t="str">
        <x:v>trazodone</x:v>
      </x:c>
      <x:c r="B266" s="31" t="str">
        <x:v>Trazodone</x:v>
      </x:c>
      <x:c r="C266" s="38" t="str">
        <x:v>ทรา-โซ-โดน-ไฮ-โดร-คลอ-ไรด์</x:v>
      </x:c>
      <x:c r="D266" s="39" t="str">
        <x:v>รอตรวจสอบ</x:v>
      </x:c>
      <x:c r="E266" s="39" t="str">
        <x:v>[]</x:v>
      </x:c>
      <x:c r="F266" s="38" t="str">
        <x:v>ใช้รักษาโรคซึมเศร้า</x:v>
      </x:c>
      <x:c r="G266" s="32" t="b">
        <x:v>0</x:v>
      </x:c>
      <x:c r="H266" s="37" t="str">
        <x:v>["https://drug.fda.moph.go.th/media.php?id=810484413367459840&amp;name=SMPC_Trazodone_Tablets.pdf","https://drug.fda.moph.go.th/media.php?id=862918385716043776&amp;name=47.Trazodone_tablet_PIL.pdf"]</x:v>
      </x:c>
      <x:c r="I266" s="31" t="str">
        <x:v>draft</x:v>
      </x:c>
      <x:c r="J266"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67">
      <x:c r="A267" s="31" t="str">
        <x:v>tretinoin</x:v>
      </x:c>
      <x:c r="B267" s="31" t="str">
        <x:v>Tretinoin</x:v>
      </x:c>
      <x:c r="C267" s="38" t="str">
        <x:v>รอตรวจสอบชื่อภาษาไทย</x:v>
      </x:c>
      <x:c r="D267" s="39" t="str">
        <x:v>รอตรวจสอบ</x:v>
      </x:c>
      <x:c r="E267" s="39" t="str">
        <x:v>[]</x:v>
      </x:c>
      <x:c r="F267" s="38" t="str">
        <x:v>ข้อมูลฉบับร่างจากเอกสารอ้างอิง อย. รอตรวจทานโดยผู้เชี่ยวชาญ</x:v>
      </x:c>
      <x:c r="G267" s="32" t="b">
        <x:v>0</x:v>
      </x:c>
      <x:c r="H267" s="37" t="str">
        <x:v>["https://drug.fda.moph.go.th/media.php?id=810484794516447232&amp;name=SMPC_Tretinoin_Gel.pdf"]</x:v>
      </x:c>
      <x:c r="I267" s="31" t="str">
        <x:v>draft</x:v>
      </x:c>
      <x:c r="J267" s="38" t="str">
        <x:v>Import batch thai_fda_20260718_v1: ต้องตรวจหมวดหมู่; ยังไม่กำหนดขนาดยาที่พบบ่อย; ต้องตรวจชื่อภาษาไทย; ห้ามเผยแพร่ก่อน Clinical review</x:v>
      </x:c>
    </x:row>
    <x:row r="268">
      <x:c r="A268" s="31" t="str">
        <x:v>triamcinolone_acetonide</x:v>
      </x:c>
      <x:c r="B268" s="31" t="str">
        <x:v>Triamcinolone acetonide</x:v>
      </x:c>
      <x:c r="C268" s="38" t="str">
        <x:v>ไตร-แอม-ซิ-โน-โลน-อะ-ซี-โท-ไนด์</x:v>
      </x:c>
      <x:c r="D268" s="39" t="str">
        <x:v>รอตรวจสอบ</x:v>
      </x:c>
      <x:c r="E268" s="39" t="str">
        <x:v>[]</x:v>
      </x:c>
      <x:c r="F268" s="38" t="str">
        <x:v>ใช้เพื่อลดอาการ แดง คัน ที่เกิดจากการอักเสบบริเวณ ผิวหนัง</x:v>
      </x:c>
      <x:c r="G268" s="32" t="b">
        <x:v>0</x:v>
      </x:c>
      <x:c r="H268" s="37" t="str">
        <x:v>["https://drug.fda.moph.go.th/media.php?id=730442794375716864&amp;name=pil_Triamcinolone acetonide (CREAM - LOTION).pdf","https://drug.fda.moph.go.th/media.php?id=810493020255428608&amp;name=SMPC_Triamcinolone_Suspensions for injections or infusions.pdf"]</x:v>
      </x:c>
      <x:c r="I268" s="31" t="str">
        <x:v>draft</x:v>
      </x:c>
      <x:c r="J268"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69">
      <x:c r="A269" s="31" t="str">
        <x:v>trifluoperazine</x:v>
      </x:c>
      <x:c r="B269" s="31" t="str">
        <x:v>Trifluoperazine hydrochloride</x:v>
      </x:c>
      <x:c r="C269" s="38" t="str">
        <x:v>รอตรวจสอบชื่อภาษาไทย</x:v>
      </x:c>
      <x:c r="D269" s="39" t="str">
        <x:v>รอตรวจสอบ</x:v>
      </x:c>
      <x:c r="E269" s="39" t="str">
        <x:v>[]</x:v>
      </x:c>
      <x:c r="F269" s="38" t="str">
        <x:v>ข้อมูลฉบับร่างจากเอกสารอ้างอิง อย. รอตรวจทานโดยผู้เชี่ยวชาญ</x:v>
      </x:c>
      <x:c r="G269" s="32" t="b">
        <x:v>0</x:v>
      </x:c>
      <x:c r="H269" s="37" t="str">
        <x:v>["https://drug.fda.moph.go.th/media.php?id=810493611467743232&amp;name=SMPC_Trifluoperazine_Tablets.pdf"]</x:v>
      </x:c>
      <x:c r="I269" s="31" t="str">
        <x:v>draft</x:v>
      </x:c>
      <x:c r="J269" s="38" t="str">
        <x:v>Import batch thai_fda_20260718_v1: ต้องตรวจหมวดหมู่; ยังไม่กำหนดขนาดยาที่พบบ่อย; ต้องตรวจชื่อภาษาไทย; ห้ามเผยแพร่ก่อน Clinical review</x:v>
      </x:c>
    </x:row>
    <x:row r="270">
      <x:c r="A270" s="31" t="str">
        <x:v>trihexyphenidyl</x:v>
      </x:c>
      <x:c r="B270" s="31" t="str">
        <x:v>trihexyphenidyl</x:v>
      </x:c>
      <x:c r="C270" s="38" t="str">
        <x:v>ไทร-เฮ็ก-ซี-เฟ-นิ-ดิล</x:v>
      </x:c>
      <x:c r="D270" s="39" t="str">
        <x:v>รอตรวจสอบ</x:v>
      </x:c>
      <x:c r="E270" s="39" t="str">
        <x:v>[]</x:v>
      </x:c>
      <x:c r="F270" s="38" t="str">
        <x:v>ใช้รักษาอาการของโรคพาร์กินสัน • ใช้ป้องกันและควบคุมอาการข้างเคียงจากยาอื่น ที่มีอาการคล้ายโรคพาร์กินสัน</x:v>
      </x:c>
      <x:c r="G270" s="32" t="b">
        <x:v>0</x:v>
      </x:c>
      <x:c r="H270" s="37" t="str">
        <x:v>["https://drug.fda.moph.go.th/media.php?id=862918385552465920&amp;name=48.Trihexyphenidyl_tablet_PIL.pdf"]</x:v>
      </x:c>
      <x:c r="I270" s="31" t="str">
        <x:v>draft</x:v>
      </x:c>
      <x:c r="J270"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71">
      <x:c r="A271" s="31" t="str">
        <x:v>trimethoprim_sulfamethoxazole</x:v>
      </x:c>
      <x:c r="B271" s="31" t="str">
        <x:v>Trimethoprim + Sulfamethoxazole</x:v>
      </x:c>
      <x:c r="C271" s="38" t="str">
        <x:v>รอตรวจสอบชื่อภาษาไทย</x:v>
      </x:c>
      <x:c r="D271" s="39" t="str">
        <x:v>รอตรวจสอบ</x:v>
      </x:c>
      <x:c r="E271" s="39" t="str">
        <x:v>[]</x:v>
      </x:c>
      <x:c r="F271" s="38" t="str">
        <x:v>ข้อมูลฉบับร่างจากเอกสารอ้างอิง อย. รอตรวจทานโดยผู้เชี่ยวชาญ</x:v>
      </x:c>
      <x:c r="G271" s="32" t="b">
        <x:v>0</x:v>
      </x:c>
      <x:c r="H271" s="37" t="str">
        <x:v>["https://drug.fda.moph.go.th/media.php?id=810494133834752000&amp;name=SMPC_Trimethoprim + Sulfamethoxazole_Solution for Infusion.pdf"]</x:v>
      </x:c>
      <x:c r="I271" s="31" t="str">
        <x:v>draft</x:v>
      </x:c>
      <x:c r="J271" s="38" t="str">
        <x:v>Import batch thai_fda_20260718_v1: ต้องตรวจหมวดหมู่; ยังไม่กำหนดขนาดยาที่พบบ่อย; ต้องตรวจชื่อภาษาไทย; ห้ามเผยแพร่ก่อน Clinical review</x:v>
      </x:c>
    </x:row>
    <x:row r="272">
      <x:c r="A272" s="31" t="str">
        <x:v>vancomycin</x:v>
      </x:c>
      <x:c r="B272" s="31" t="str">
        <x:v>Vancomycin hydrochloride</x:v>
      </x:c>
      <x:c r="C272" s="38" t="str">
        <x:v>แวนโคมัยซินไฮโดรคลอไรด์</x:v>
      </x:c>
      <x:c r="D272" s="39" t="str">
        <x:v>รอตรวจสอบ</x:v>
      </x:c>
      <x:c r="E272" s="39" t="str">
        <x:v>[]</x:v>
      </x:c>
      <x:c r="F272" s="38" t="str">
        <x:v>● ใช้รักษาการติดเชื้อแบคทีเรียบางชนิดที่ไวต่อยานี้</x:v>
      </x:c>
      <x:c r="G272" s="32" t="b">
        <x:v>0</x:v>
      </x:c>
      <x:c r="H272" s="37" t="str">
        <x:v>["https://drug.fda.moph.go.th/media.php?id=904601732376567808&amp;name=5. Ref_PIL Vancomycin.pdf","https://drug.fda.moph.go.th/media.php?id=904966130962145280&amp;name=5. Ref SmPC_Vancomycin.pdf"]</x:v>
      </x:c>
      <x:c r="I272" s="31" t="str">
        <x:v>draft</x:v>
      </x:c>
      <x:c r="J272"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73">
      <x:c r="A273" s="31" t="str">
        <x:v>verapamil</x:v>
      </x:c>
      <x:c r="B273" s="31" t="str">
        <x:v>Verapamil hydrochloride</x:v>
      </x:c>
      <x:c r="C273" s="38" t="str">
        <x:v>เวอราพามิล</x:v>
      </x:c>
      <x:c r="D273" s="39" t="str">
        <x:v>รอตรวจสอบ</x:v>
      </x:c>
      <x:c r="E273" s="39" t="str">
        <x:v>[]</x:v>
      </x:c>
      <x:c r="F273" s="38" t="str">
        <x:v>ใช้รักษาโรคความดันโลหิตสูง • ใช้รักษาและป้องกันอาการเจ็บเค้นหน้าอก • ใช้รักษาและป้องกันภาวะหัวใจเต้ นเร็วผิดปกติ</x:v>
      </x:c>
      <x:c r="G273" s="32" t="b">
        <x:v>0</x:v>
      </x:c>
      <x:c r="H273" s="37" t="str">
        <x:v>["https://drug.fda.moph.go.th/media.php?id=730442671180619776&amp;name=pil_Verapamil hydrochloride (TABLET 40 mg, 80 mg).pdf"]</x:v>
      </x:c>
      <x:c r="I273" s="31" t="str">
        <x:v>draft</x:v>
      </x:c>
      <x:c r="J273"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74">
      <x:c r="A274" s="31" t="str">
        <x:v>vitamin_b1_b6_b12</x:v>
      </x:c>
      <x:c r="B274" s="31" t="str">
        <x:v>Vitamin B1 B6 B12</x:v>
      </x:c>
      <x:c r="C274" s="38" t="str">
        <x:v>รอตรวจสอบชื่อภาษาไทย</x:v>
      </x:c>
      <x:c r="D274" s="39" t="str">
        <x:v>รอตรวจสอบ</x:v>
      </x:c>
      <x:c r="E274" s="39" t="str">
        <x:v>[]</x:v>
      </x:c>
      <x:c r="F274" s="38" t="str">
        <x:v>รักษาผู้ ที่มีภาวะขาดวิตามินบี1-6-12</x:v>
      </x:c>
      <x:c r="G274" s="32" t="b">
        <x:v>0</x:v>
      </x:c>
      <x:c r="H274" s="37" t="str">
        <x:v>["https://drug.fda.moph.go.th/media.php?id=808856449353654272&amp;name=VitaminB1B6B12_tablet_PIL.pdf"]</x:v>
      </x:c>
      <x:c r="I274" s="31" t="str">
        <x:v>draft</x:v>
      </x:c>
      <x:c r="J274"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275">
      <x:c r="A275" s="31" t="str">
        <x:v>vitamin_b_complex</x:v>
      </x:c>
      <x:c r="B275" s="31" t="str">
        <x:v>Vitamin B-complex</x:v>
      </x:c>
      <x:c r="C275" s="38" t="str">
        <x:v>รอตรวจสอบชื่อภาษาไทย</x:v>
      </x:c>
      <x:c r="D275" s="39" t="str">
        <x:v>รอตรวจสอบ</x:v>
      </x:c>
      <x:c r="E275" s="39" t="str">
        <x:v>[]</x:v>
      </x:c>
      <x:c r="F275" s="38" t="str">
        <x:v>รักษาผู้ที่มีภาวะขาดวิตามินบี • รักษาผู้ที่ขาดสารอาหารหรือรับประทานอาหาร ไม่เพียงพอ เพื่อลดความเสี่ยงการขาดวิตามินบี • ใช้บํารุงร่างกาย • เสริมสร้างสุขภาพหรือการเจริญเติบโตของร่างกาย</x:v>
      </x:c>
      <x:c r="G275" s="32" t="b">
        <x:v>0</x:v>
      </x:c>
      <x:c r="H275" s="37" t="str">
        <x:v>["https://drug.fda.moph.go.th/media.php?id=733934898674540544&amp;name=PIL_Vitamin B-complex ชนิดเม็ดและแคปซูล_(11042024).pdf"]</x:v>
      </x:c>
      <x:c r="I275" s="31" t="str">
        <x:v>draft</x:v>
      </x:c>
      <x:c r="J275"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276">
      <x:c r="A276" s="31" t="str">
        <x:v>vitamin_c</x:v>
      </x:c>
      <x:c r="B276" s="31" t="str">
        <x:v>Vitamin C</x:v>
      </x:c>
      <x:c r="C276" s="38" t="str">
        <x:v>รอตรวจสอบชื่อภาษาไทย</x:v>
      </x:c>
      <x:c r="D276" s="39" t="str">
        <x:v>รอตรวจสอบ</x:v>
      </x:c>
      <x:c r="E276" s="39" t="str">
        <x:v>[]</x:v>
      </x:c>
      <x:c r="F276" s="38" t="str">
        <x:v>ใช้ป้องกันการขาดวิตามินซี</x:v>
      </x:c>
      <x:c r="G276" s="32" t="b">
        <x:v>0</x:v>
      </x:c>
      <x:c r="H276" s="37" t="str">
        <x:v>["https://drug.fda.moph.go.th/media.php?id=733933363483779072&amp;name=PIL ยาเม็ดวิตามินซี (15032024).pdf"]</x:v>
      </x:c>
      <x:c r="I276" s="31" t="str">
        <x:v>draft</x:v>
      </x:c>
      <x:c r="J276" s="38" t="str">
        <x:v>Import batch thai_fda_20260718_v1: ต้องตรวจหมวดหมู่; ยังไม่กำหนดขนาดยาที่พบบ่อย; ต้องตรวจชื่อภาษาไทย; ปรับช่องว่างจากการสกัด PDF แบบเชิงกล; ห้ามเผยแพร่ก่อน Clinical review</x:v>
      </x:c>
    </x:row>
    <x:row r="277">
      <x:c r="A277" s="31" t="str">
        <x:v>water_for_injection</x:v>
      </x:c>
      <x:c r="B277" s="31" t="str">
        <x:v>Water For Injection</x:v>
      </x:c>
      <x:c r="C277" s="38" t="str">
        <x:v>รอตรวจสอบชื่อภาษาไทย</x:v>
      </x:c>
      <x:c r="D277" s="39" t="str">
        <x:v>รอตรวจสอบ</x:v>
      </x:c>
      <x:c r="E277" s="39" t="str">
        <x:v>[]</x:v>
      </x:c>
      <x:c r="F277" s="38" t="str">
        <x:v>ข้อมูลฉบับร่างจากเอกสารอ้างอิง อย. รอตรวจทานโดยผู้เชี่ยวชาญ</x:v>
      </x:c>
      <x:c r="G277" s="32" t="b">
        <x:v>0</x:v>
      </x:c>
      <x:c r="H277" s="37" t="str">
        <x:v>["https://drug.fda.moph.go.th/media.php?id=810494575130058752&amp;name=SMPC_Water for Injections_solvent for parenteral use.pdf"]</x:v>
      </x:c>
      <x:c r="I277" s="31" t="str">
        <x:v>draft</x:v>
      </x:c>
      <x:c r="J277" s="38" t="str">
        <x:v>Import batch thai_fda_20260718_v1: ต้องตรวจหมวดหมู่; ยังไม่กำหนดขนาดยาที่พบบ่อย; ต้องตรวจชื่อภาษาไทย; ห้ามเผยแพร่ก่อน Clinical review</x:v>
      </x:c>
    </x:row>
    <x:row r="278">
      <x:c r="A278" s="31" t="str">
        <x:v>zidovudine</x:v>
      </x:c>
      <x:c r="B278" s="31" t="str">
        <x:v>Zidovudine</x:v>
      </x:c>
      <x:c r="C278" s="38" t="str">
        <x:v>รอตรวจสอบชื่อภาษาไทย</x:v>
      </x:c>
      <x:c r="D278" s="39" t="str">
        <x:v>รอตรวจสอบ</x:v>
      </x:c>
      <x:c r="E278" s="39" t="str">
        <x:v>[]</x:v>
      </x:c>
      <x:c r="F278" s="38" t="str">
        <x:v>ข้อมูลฉบับร่างจากเอกสารอ้างอิง อย. รอตรวจทานโดยผู้เชี่ยวชาญ</x:v>
      </x:c>
      <x:c r="G278" s="32" t="b">
        <x:v>0</x:v>
      </x:c>
      <x:c r="H278" s="37" t="str">
        <x:v>["https://drug.fda.moph.go.th/media.php?id=810494978483691520&amp;name=SMPC_Zidovudine_Capsules.pdf"]</x:v>
      </x:c>
      <x:c r="I278" s="31" t="str">
        <x:v>draft</x:v>
      </x:c>
      <x:c r="J278" s="38" t="str">
        <x:v>Import batch thai_fda_20260718_v1: ต้องตรวจหมวดหมู่; ยังไม่กำหนดขนาดยาที่พบบ่อย; ต้องตรวจชื่อภาษาไทย; ห้ามเผยแพร่ก่อน Clinical review</x:v>
      </x:c>
    </x:row>
    <x:row r="279">
      <x:c r="A279" s="31" t="str">
        <x:v>zinc</x:v>
      </x:c>
      <x:c r="B279" s="31" t="str">
        <x:v>Zinc sulfate</x:v>
      </x:c>
      <x:c r="C279" s="38" t="str">
        <x:v>ซิงค์-ซัล-เฟต</x:v>
      </x:c>
      <x:c r="D279" s="39" t="str">
        <x:v>รอตรวจสอบ</x:v>
      </x:c>
      <x:c r="E279" s="39" t="str">
        <x:v>[]</x:v>
      </x:c>
      <x:c r="F279" s="38" t="str">
        <x:v>ใช้เพื่อรักษาภาวะขาดธาตุสังกะสี</x:v>
      </x:c>
      <x:c r="G279" s="32" t="b">
        <x:v>0</x:v>
      </x:c>
      <x:c r="H279" s="37" t="str">
        <x:v>["https://drug.fda.moph.go.th/media.php?id=730442096309313536&amp;name=pil_Zinc sulfate (TABLET - CAPSULE, HARD).pdf","https://drug.fda.moph.go.th/media.php?id=810495775787327488&amp;name=SMPC_Zinc sulfate_hardcapsules.pdf"]</x:v>
      </x:c>
      <x:c r="I279" s="31" t="str">
        <x:v>draft</x:v>
      </x:c>
      <x:c r="J279"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row r="280">
      <x:c r="A280" s="31" t="str">
        <x:v>zinc_oxide</x:v>
      </x:c>
      <x:c r="B280" s="31" t="str">
        <x:v>Zinc oxide</x:v>
      </x:c>
      <x:c r="C280" s="38" t="str">
        <x:v>ซิงค์-ออก-ไซด์</x:v>
      </x:c>
      <x:c r="D280" s="39" t="str">
        <x:v>รอตรวจสอบ</x:v>
      </x:c>
      <x:c r="E280" s="39" t="str">
        <x:v>[]</x:v>
      </x:c>
      <x:c r="F280" s="38" t="str">
        <x:v>ใช้บรรเทาการระคายเคืองที่ผิวหนัง แผลผิวตื้น หรือแผล ไฟไหม้ น้าร้ อนลวก</x:v>
      </x:c>
      <x:c r="G280" s="32" t="b">
        <x:v>0</x:v>
      </x:c>
      <x:c r="H280" s="37" t="str">
        <x:v>["https://drug.fda.moph.go.th/media.php?id=730441990902259712&amp;name=pil_Zinc oxide (CREAM).pdf","https://drug.fda.moph.go.th/media.php?id=810495384341323776&amp;name=SMPC_Zinc oxide_Ointment.pdf"]</x:v>
      </x:c>
      <x:c r="I280" s="31" t="str">
        <x:v>draft</x:v>
      </x:c>
      <x:c r="J280" s="38" t="str">
        <x:v>Import batch thai_fda_20260718_v1: ต้องตรวจหมวดหมู่; ยังไม่กำหนดขนาดยาที่พบบ่อย; ปรับช่องว่างจากการสกัด PDF แบบเชิงกล; ห้ามเผยแพร่ก่อน Clinical review</x:v>
      </x:c>
    </x:row>
  </x:sheetData>
  <x:dataValidations count="1">
    <x:dataValidation type="list" sqref="I2:I280">
      <x:formula1>"draft"</x:formula1>
    </x:dataValidation>
  </x:dataValidations>
  <x:pageMargins left="0.7" right="0.7" top="0.75" bottom="0.75" header="0.3" footer="0.3"/>
  <x:tableParts count="1">
    <x:tablePart xmlns:r="http://schemas.openxmlformats.org/officeDocument/2006/relationships" r:id="Rd158b9990f06460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2" hidden="0" customWidth="1"/>
    <x:col min="4" max="4" width="37" hidden="0" customWidth="1"/>
    <x:col min="5" max="5" width="55" hidden="0" customWidth="1"/>
    <x:col min="6" max="6" width="12" hidden="0" customWidth="1"/>
    <x:col min="7" max="7" width="18" hidden="0" customWidth="1"/>
    <x:col min="8" max="8" width="16" hidden="0" customWidth="1"/>
    <x:col min="9" max="9" width="12" hidden="0" customWidth="1"/>
    <x:col min="10" max="10" width="55" hidden="0" customWidth="1"/>
    <x:col min="11" max="11" width="70" hidden="0" customWidth="1"/>
    <x:col min="12" max="12" width="20" hidden="0" customWidth="1"/>
    <x:col min="13" max="13" width="15" hidden="0" customWidth="1"/>
  </x:cols>
  <x:sheetData>
    <x:row r="1" ht="30" customHeight="1">
      <x:c r="A1" s="36" t="str">
        <x:v>drug_1</x:v>
      </x:c>
      <x:c r="B1" s="36" t="str">
        <x:v>drug_2</x:v>
      </x:c>
      <x:c r="C1" s="36" t="str">
        <x:v>severity</x:v>
      </x:c>
      <x:c r="D1" s="36" t="str">
        <x:v>title_th</x:v>
      </x:c>
      <x:c r="E1" s="36" t="str">
        <x:v>description_th</x:v>
      </x:c>
      <x:c r="F1" s="36" t="str">
        <x:v>status</x:v>
      </x:c>
      <x:c r="G1" s="36" t="str">
        <x:v>source_document_id</x:v>
      </x:c>
      <x:c r="H1" s="36" t="str">
        <x:v>source_document_type</x:v>
      </x:c>
      <x:c r="I1" s="36" t="str">
        <x:v>source_page</x:v>
      </x:c>
      <x:c r="J1" s="36" t="str">
        <x:v>source_url</x:v>
      </x:c>
      <x:c r="K1" s="36" t="str">
        <x:v>evidence_excerpt_for_review</x:v>
      </x:c>
      <x:c r="L1" s="36" t="str">
        <x:v>clinical_review_required</x:v>
      </x:c>
      <x:c r="M1" s="36" t="str">
        <x:v>code_refs_valid</x:v>
      </x:c>
    </x:row>
    <x:row r="2">
      <x:c r="A2" s="31" t="str">
        <x:v>albendazole</x:v>
      </x:c>
      <x:c r="B2" s="31" t="str">
        <x:v>carbamazepine</x:v>
      </x:c>
      <x:c r="C2" s="31" t="str">
        <x:v>moderate</x:v>
      </x:c>
      <x:c r="D2" s="37" t="str">
        <x:v>โปรดสอบถามแพทย์หรือเภสัชกรก่อนใช้ร่วมกัน</x:v>
      </x:c>
      <x:c r="E2" s="37" t="str">
        <x:v>ตรวจพบว่ายาคู่นี้ต้องได้รับการตรวจสอบโดยบุคลากรทางการแพทย์ก่อนใช้ร่วมกัน</x:v>
      </x:c>
      <x:c r="F2" s="31" t="str">
        <x:v>Draft</x:v>
      </x:c>
      <x:c r="G2" s="31" t="str">
        <x:v>r0012_smpc</x:v>
      </x:c>
      <x:c r="H2" s="31" t="str">
        <x:v>SMPC</x:v>
      </x:c>
      <x:c r="I2" s="31" t="n">
        <x:v>8</x:v>
      </x:c>
      <x:c r="J2" s="37" t="str">
        <x:v>https://drug.fda.moph.go.th/media.php?id=809599347237986304&amp;name=SMPC_albendazole_tablet.pdf</x:v>
      </x:c>
      <x:c r="K2" s="37" t="str">
        <x:v>It is important to consider the contribution of excipients from all the medicines that the patient is taking. 4.5. Interaction with other medicinal products and other forms of interaction Dexamethasone, praziquantel and cimetidine may increase the plasma concentration of the active metabolite of albendazole, albendazole sulphoxide. Ritonavir, phenytoin, carbamazepine and phenobarbital may have the potential to reduce plasma concentrations of the active metabolite of albendazole. The clinical relevance of this is unknown, but may result in decreased efficacy, especially in the treatment of systemic helminth infections. Patients should be monitored for efficacy and may require alternative dose regimens or therapies. 4.6. Fertility, pregnancy and breastfeeding Women of childbearing potential Pregnancy s</x:v>
      </x:c>
      <x:c r="L2" s="31" t="str">
        <x:v>YES</x:v>
      </x:c>
      <x:c r="M2" s="31" t="str">
        <x:v>YES</x:v>
      </x:c>
    </x:row>
    <x:row r="3">
      <x:c r="A3" s="31" t="str">
        <x:v>albendazole</x:v>
      </x:c>
      <x:c r="B3" s="31" t="str">
        <x:v>cimetidine</x:v>
      </x:c>
      <x:c r="C3" s="31" t="str">
        <x:v>moderate</x:v>
      </x:c>
      <x:c r="D3" s="37" t="str">
        <x:v>โปรดสอบถามแพทย์หรือเภสัชกรก่อนใช้ร่วมกัน</x:v>
      </x:c>
      <x:c r="E3" s="37" t="str">
        <x:v>ตรวจพบว่ายาคู่นี้ต้องได้รับการตรวจสอบโดยบุคลากรทางการแพทย์ก่อนใช้ร่วมกัน</x:v>
      </x:c>
      <x:c r="F3" s="31" t="str">
        <x:v>Draft</x:v>
      </x:c>
      <x:c r="G3" s="31" t="str">
        <x:v>r0012_smpc</x:v>
      </x:c>
      <x:c r="H3" s="31" t="str">
        <x:v>SMPC</x:v>
      </x:c>
      <x:c r="I3" s="31" t="n">
        <x:v>8</x:v>
      </x:c>
      <x:c r="J3" s="37" t="str">
        <x:v>https://drug.fda.moph.go.th/media.php?id=809599347237986304&amp;name=SMPC_albendazole_tablet.pdf</x:v>
      </x:c>
      <x:c r="K3" s="37" t="str">
        <x:v>It is important to consider the contribution of excipients from all the medicines that the patient is taking. 4.5. Interaction with other medicinal products and other forms of interaction Dexamethasone, praziquantel and cimetidine may increase the plasma concentration of the active metabolite of albendazole, albendazole sulphoxide. Ritonavir, phenytoin, carbamazepine and phenobarbital may have the potential to reduce plasma concentrations of the active metabolite of albendazole. The clinical relevance of this is unknown, but may result in decreased efficacy, especially in the treatment of systemic helminth infections. Patients should be monitored for efficacy and m</x:v>
      </x:c>
      <x:c r="L3" s="31" t="str">
        <x:v>YES</x:v>
      </x:c>
      <x:c r="M3" s="31" t="str">
        <x:v>YES</x:v>
      </x:c>
    </x:row>
    <x:row r="4">
      <x:c r="A4" s="31" t="str">
        <x:v>albendazole</x:v>
      </x:c>
      <x:c r="B4" s="31" t="str">
        <x:v>dexamethasone</x:v>
      </x:c>
      <x:c r="C4" s="31" t="str">
        <x:v>moderate</x:v>
      </x:c>
      <x:c r="D4" s="37" t="str">
        <x:v>โปรดสอบถามแพทย์หรือเภสัชกรก่อนใช้ร่วมกัน</x:v>
      </x:c>
      <x:c r="E4" s="37" t="str">
        <x:v>ตรวจพบว่ายาคู่นี้ต้องได้รับการตรวจสอบโดยบุคลากรทางการแพทย์ก่อนใช้ร่วมกัน</x:v>
      </x:c>
      <x:c r="F4" s="31" t="str">
        <x:v>Draft</x:v>
      </x:c>
      <x:c r="G4" s="31" t="str">
        <x:v>r0012_smpc</x:v>
      </x:c>
      <x:c r="H4" s="31" t="str">
        <x:v>SMPC</x:v>
      </x:c>
      <x:c r="I4" s="31" t="n">
        <x:v>8</x:v>
      </x:c>
      <x:c r="J4" s="37" t="str">
        <x:v>https://drug.fda.moph.go.th/media.php?id=809599347237986304&amp;name=SMPC_albendazole_tablet.pdf</x:v>
      </x:c>
      <x:c r="K4" s="37" t="str">
        <x:v>It is important to consider the contribution of excipients from all the medicines that the patient is taking. 4.5. Interaction with other medicinal products and other forms of interaction Dexamethasone, praziquantel and cimetidine may increase the plasma concentration of the active metabolite of albendazole, albendazole sulphoxide. Ritonavir, phenytoin, carbamazepine and phenobarbital may have the potential to reduce plasma concentrations of the active metabolite of albendazole. The clinical relevance of this is unknown, but may result in decreased efficacy, especially in the treatment of systemic helminth infections. Patients should be</x:v>
      </x:c>
      <x:c r="L4" s="31" t="str">
        <x:v>YES</x:v>
      </x:c>
      <x:c r="M4" s="31" t="str">
        <x:v>YES</x:v>
      </x:c>
    </x:row>
    <x:row r="5">
      <x:c r="A5" s="31" t="str">
        <x:v>amitriptyline</x:v>
      </x:c>
      <x:c r="B5" s="31" t="str">
        <x:v>tramadol</x:v>
      </x:c>
      <x:c r="C5" s="31" t="str">
        <x:v>moderate</x:v>
      </x:c>
      <x:c r="D5" s="37" t="str">
        <x:v>โปรดสอบถามแพทย์หรือเภสัชกรก่อนใช้ร่วมกัน</x:v>
      </x:c>
      <x:c r="E5" s="37" t="str">
        <x:v>ตรวจพบว่ายาคู่นี้ต้องได้รับการตรวจสอบโดยบุคลากรทางการแพทย์ก่อนใช้ร่วมกัน</x:v>
      </x:c>
      <x:c r="F5" s="31" t="str">
        <x:v>Draft</x:v>
      </x:c>
      <x:c r="G5" s="31" t="str">
        <x:v>r0020_smpc</x:v>
      </x:c>
      <x:c r="H5" s="31" t="str">
        <x:v>SMPC</x:v>
      </x:c>
      <x:c r="I5" s="31" t="n">
        <x:v>9</x:v>
      </x:c>
      <x:c r="J5" s="37" t="str">
        <x:v>https://drug.fda.moph.go.th/media.php?id=809652580375470080&amp;name=SMPC_Amitriptyline_Tablets.pdf</x:v>
      </x:c>
      <x:c r="K5" s="37" t="str">
        <x:v>h, maturation and cognitive and behavioural development are not available (see section 4.2). Excipient information &lt;REGARDING THE APPROVAL&gt; 4.5. Interaction with other medicinal products and other forms of interaction Potential for amitriptyline to affect other medicinal products Analgesics: increased anticholinergic side -effects with nefopam; increased analgesia with morphine. Increased risk of CNS toxicity when tricyclics given with tramadol. Muscle relaxants : Tricyclics enhance muscle relaxant effect of baclofen. Nitrates: reduced effect of sublingual nitrates (owing to dry mouth). Contraindicated combinations MAOIs (non -selective as well as selective A (moclobemide) and B (selegiline)) - risk of “serotonin syndrome” (see section 4.3). Combinations that are not recommended Sympathomimetic agents: Amitriptyline may potentiate the cardiovascular effects of adrenaline, ephe</x:v>
      </x:c>
      <x:c r="L5" s="31" t="str">
        <x:v>YES</x:v>
      </x:c>
      <x:c r="M5" s="31" t="str">
        <x:v>YES</x:v>
      </x:c>
    </x:row>
    <x:row r="6">
      <x:c r="A6" s="31" t="str">
        <x:v>amoxicillin</x:v>
      </x:c>
      <x:c r="B6" s="31" t="str">
        <x:v>tetracycline</x:v>
      </x:c>
      <x:c r="C6" s="31" t="str">
        <x:v>moderate</x:v>
      </x:c>
      <x:c r="D6" s="37" t="str">
        <x:v>โปรดสอบถามแพทย์หรือเภสัชกรก่อนใช้ร่วมกัน</x:v>
      </x:c>
      <x:c r="E6" s="37" t="str">
        <x:v>ตรวจพบว่ายาคู่นี้ต้องได้รับการตรวจสอบโดยบุคลากรทางการแพทย์ก่อนใช้ร่วมกัน</x:v>
      </x:c>
      <x:c r="F6" s="31" t="str">
        <x:v>Draft</x:v>
      </x:c>
      <x:c r="G6" s="31" t="str">
        <x:v>r0022_smpc</x:v>
      </x:c>
      <x:c r="H6" s="31" t="str">
        <x:v>SMPC</x:v>
      </x:c>
      <x:c r="I6" s="31" t="n">
        <x:v>10</x:v>
      </x:c>
      <x:c r="J6" s="37" t="str">
        <x:v>https://drug.fda.moph.go.th/media.php?id=809653143766966272&amp;name=SMPC_Amoxicillin_Dry syrup.pdf</x:v>
      </x:c>
      <x:c r="K6" s="37" t="str">
        <x:v>th other medicinal products and other forms of interaction Probenecid Concomitant use of probenecid is not recommended. Probenecid decreases the renal tubular secretion of amoxicillin. Concomitant use of probenecid may result in increased and prolonged blood levels of amoxicillin. Allopurinol Concurrent administration of allopurinol during treatment with amoxicillin can increase the likelihood of allergic skin reactions. Tetracyclines Tetracycline and other bacteriostatic drugs may interfere with the bactericidal effects of amoxicillin. Oral anticoagulants Oral anticoagulants and penicillin antibiotics have been widely used in practice without reports of interaction. However, in the literature there are cases of increased international normalised ratio in patients maintained on acenocoumarol or warfarin and prescribed a course of</x:v>
      </x:c>
      <x:c r="L6" s="31" t="str">
        <x:v>YES</x:v>
      </x:c>
      <x:c r="M6" s="31" t="str">
        <x:v>YES</x:v>
      </x:c>
    </x:row>
    <x:row r="7">
      <x:c r="A7" s="31" t="str">
        <x:v>bisoprolol</x:v>
      </x:c>
      <x:c r="B7" s="31" t="str">
        <x:v>diltiazem</x:v>
      </x:c>
      <x:c r="C7" s="31" t="str">
        <x:v>moderate</x:v>
      </x:c>
      <x:c r="D7" s="37" t="str">
        <x:v>โปรดสอบถามแพทย์หรือเภสัชกรก่อนใช้ร่วมกัน</x:v>
      </x:c>
      <x:c r="E7" s="37" t="str">
        <x:v>ตรวจพบว่ายาคู่นี้ต้องได้รับการตรวจสอบโดยบุคลากรทางการแพทย์ก่อนใช้ร่วมกัน</x:v>
      </x:c>
      <x:c r="F7" s="31" t="str">
        <x:v>Draft</x:v>
      </x:c>
      <x:c r="G7" s="31" t="str">
        <x:v>r0438_smpc</x:v>
      </x:c>
      <x:c r="H7" s="31" t="str">
        <x:v>SMPC</x:v>
      </x:c>
      <x:c r="I7" s="31" t="n">
        <x:v>8</x:v>
      </x:c>
      <x:c r="J7" s="37" t="str">
        <x:v>https://drug.fda.moph.go.th/media.php?id=904966131876503552&amp;name=6. Ref SmPC_Bisoprolol.pdf</x:v>
      </x:c>
      <x:c r="K7" s="37" t="str">
        <x:v>with other medicinal products and other forms of interactions Combinations not recommended Applies only to chronic heart failure: Class-I antiarrhythmic drugs (e.g. quinidine, disopyramide, lidocaine, phenytoin, flecainide, propafenone): effect on atrio-ventricular conduction time may be potentiated and negative inotropic effect increased. Applies to all indications: Calcium antagonists of the verapamil type and to a lesser extent of the diltiazem type: negative effect on contractility and atrio-ventricular conduction. Intravenous administration of verapamil in patients on beta- blocker treatment may lead to profound hypotension and atrio-ventricular block. Centrally-acting antihypertensive drugs (e.g. clonidine, methyldopa, moxonidine, rilmenidine): concomitant use of centrally-acting antihypertensive drugs may further decrease the central sympathetic tonus and may thus lead to red</x:v>
      </x:c>
      <x:c r="L7" s="31" t="str">
        <x:v>YES</x:v>
      </x:c>
      <x:c r="M7" s="31" t="str">
        <x:v>YES</x:v>
      </x:c>
    </x:row>
    <x:row r="8">
      <x:c r="A8" s="31" t="str">
        <x:v>bisoprolol</x:v>
      </x:c>
      <x:c r="B8" s="31" t="str">
        <x:v>lidocaine</x:v>
      </x:c>
      <x:c r="C8" s="31" t="str">
        <x:v>moderate</x:v>
      </x:c>
      <x:c r="D8" s="37" t="str">
        <x:v>โปรดสอบถามแพทย์หรือเภสัชกรก่อนใช้ร่วมกัน</x:v>
      </x:c>
      <x:c r="E8" s="37" t="str">
        <x:v>ตรวจพบว่ายาคู่นี้ต้องได้รับการตรวจสอบโดยบุคลากรทางการแพทย์ก่อนใช้ร่วมกัน</x:v>
      </x:c>
      <x:c r="F8" s="31" t="str">
        <x:v>Draft</x:v>
      </x:c>
      <x:c r="G8" s="31" t="str">
        <x:v>r0438_smpc</x:v>
      </x:c>
      <x:c r="H8" s="31" t="str">
        <x:v>SMPC</x:v>
      </x:c>
      <x:c r="I8" s="31" t="n">
        <x:v>8</x:v>
      </x:c>
      <x:c r="J8" s="37" t="str">
        <x:v>https://drug.fda.moph.go.th/media.php?id=904966131876503552&amp;name=6. Ref SmPC_Bisoprolol.pdf</x:v>
      </x:c>
      <x:c r="K8" s="37" t="str">
        <x:v>seases, which may cause symptoms, concomitant bronchodilating therapy is recommended. Occasionally an increase of the airway resistance may occur in patients with asthma, therefore the dose of beta2- stimulants may have to be increased. 4.5 Interactions with other medicinal products and other forms of interactions Combinations not recommended Applies only to chronic heart failure: Class-I antiarrhythmic drugs (e.g. quinidine, disopyramide, lidocaine, phenytoin, flecainide, propafenone): effect on atrio-ventricular conduction time may be potentiated and negative inotropic effect increased. Applies to all indications: Calcium antagonists of the verapamil type and to a lesser extent of the diltiazem type: negative effect on contractility and atrio-ventricular conduction. Intravenous administration of verapamil in patients on beta- blocker treatment may lead to profound hypotension and at</x:v>
      </x:c>
      <x:c r="L8" s="31" t="str">
        <x:v>YES</x:v>
      </x:c>
      <x:c r="M8" s="31" t="str">
        <x:v>YES</x:v>
      </x:c>
    </x:row>
    <x:row r="9">
      <x:c r="A9" s="31" t="str">
        <x:v>bisoprolol</x:v>
      </x:c>
      <x:c r="B9" s="31" t="str">
        <x:v>verapamil</x:v>
      </x:c>
      <x:c r="C9" s="31" t="str">
        <x:v>moderate</x:v>
      </x:c>
      <x:c r="D9" s="37" t="str">
        <x:v>โปรดสอบถามแพทย์หรือเภสัชกรก่อนใช้ร่วมกัน</x:v>
      </x:c>
      <x:c r="E9" s="37" t="str">
        <x:v>ตรวจพบว่ายาคู่นี้ต้องได้รับการตรวจสอบโดยบุคลากรทางการแพทย์ก่อนใช้ร่วมกัน</x:v>
      </x:c>
      <x:c r="F9" s="31" t="str">
        <x:v>Draft</x:v>
      </x:c>
      <x:c r="G9" s="31" t="str">
        <x:v>r0438_smpc</x:v>
      </x:c>
      <x:c r="H9" s="31" t="str">
        <x:v>SMPC</x:v>
      </x:c>
      <x:c r="I9" s="31" t="n">
        <x:v>8</x:v>
      </x:c>
      <x:c r="J9" s="37" t="str">
        <x:v>https://drug.fda.moph.go.th/media.php?id=904966131876503552&amp;name=6. Ref SmPC_Bisoprolol.pdf</x:v>
      </x:c>
      <x:c r="K9" s="37" t="str">
        <x:v>s may have to be increased. 4.5 Interactions with other medicinal products and other forms of interactions Combinations not recommended Applies only to chronic heart failure: Class-I antiarrhythmic drugs (e.g. quinidine, disopyramide, lidocaine, phenytoin, flecainide, propafenone): effect on atrio-ventricular conduction time may be potentiated and negative inotropic effect increased. Applies to all indications: Calcium antagonists of the verapamil type and to a lesser extent of the diltiazem type: negative effect on contractility and atrio-ventricular conduction. Intravenous administration of verapamil in patients on beta- blocker treatment may lead to profound hypotension and atrio-ventricular block. Centrally-acting antihypertensive drugs (e.g. clonidine, methyldopa, moxonidine, rilmenidine): concomitant use of centrally-acting antihypertensive drugs may further decrease the centr</x:v>
      </x:c>
      <x:c r="L9" s="31" t="str">
        <x:v>YES</x:v>
      </x:c>
      <x:c r="M9" s="31" t="str">
        <x:v>YES</x:v>
      </x:c>
    </x:row>
    <x:row r="10">
      <x:c r="A10" s="31" t="str">
        <x:v>bromocriptine</x:v>
      </x:c>
      <x:c r="B10" s="31" t="str">
        <x:v>chlorpromazine</x:v>
      </x:c>
      <x:c r="C10" s="31" t="str">
        <x:v>moderate</x:v>
      </x:c>
      <x:c r="D10" s="37" t="str">
        <x:v>โปรดสอบถามแพทย์หรือเภสัชกรก่อนใช้ร่วมกัน</x:v>
      </x:c>
      <x:c r="E10" s="37" t="str">
        <x:v>ตรวจพบว่ายาคู่นี้ต้องได้รับการตรวจสอบโดยบุคลากรทางการแพทย์ก่อนใช้ร่วมกัน</x:v>
      </x:c>
      <x:c r="F10" s="31" t="str">
        <x:v>Draft</x:v>
      </x:c>
      <x:c r="G10" s="31" t="str">
        <x:v>r0066_smpc</x:v>
      </x:c>
      <x:c r="H10" s="31" t="str">
        <x:v>SMPC</x:v>
      </x:c>
      <x:c r="I10" s="31" t="n">
        <x:v>9</x:v>
      </x:c>
      <x:c r="J10" s="37" t="str">
        <x:v>https://drug.fda.moph.go.th/media.php?id=809674435173949440&amp;name=SMPC_Chlorpromazine_Capsules.pdf</x:v>
      </x:c>
      <x:c r="K10" s="37" t="str">
        <x:v>elosuppressive potential, such as carbamazepine or certain antibiotics and cytotoxics. Combinations contraindicated Dopaminergics (quinagolide, cabergoline), not including dopaminergic antiparkinsonism agents, are contraindicated (see Section 4.3): reciprocal antagonism of the dopaminergic agent and neuroleptic. Citalopram and escitalopram are contraindicated. Combinations not recommended Dopaminergic antiparkinsonism agents (amantadine, bromocriptine, cabergoline, levodopa, lisuride, pergolide, piribedil, ropinirole) are not recommended: reciprocal antagonism of the antiparkinsonism agent and neuroleptic (see Section 4.4). Neuroleptic -induced extrapyramidal syndrome should be treated with an anticholinergic rather than a dopaminergic antiparkinsonism agent (dopaminergic receptors blocked by neuroleptics). Levodopa: reciprocal antagonism of levodopa and the neuroleptic. In Parkinson'</x:v>
      </x:c>
      <x:c r="L10" s="31" t="str">
        <x:v>YES</x:v>
      </x:c>
      <x:c r="M10" s="31" t="str">
        <x:v>YES</x:v>
      </x:c>
    </x:row>
    <x:row r="11">
      <x:c r="A11" s="31" t="str">
        <x:v>captopril</x:v>
      </x:c>
      <x:c r="B11" s="31" t="str">
        <x:v>lithium</x:v>
      </x:c>
      <x:c r="C11" s="31" t="str">
        <x:v>moderate</x:v>
      </x:c>
      <x:c r="D11" s="37" t="str">
        <x:v>โปรดสอบถามแพทย์หรือเภสัชกรก่อนใช้ร่วมกัน</x:v>
      </x:c>
      <x:c r="E11" s="37" t="str">
        <x:v>ตรวจพบว่ายาคู่นี้ต้องได้รับการตรวจสอบโดยบุคลากรทางการแพทย์ก่อนใช้ร่วมกัน</x:v>
      </x:c>
      <x:c r="F11" s="31" t="str">
        <x:v>Draft</x:v>
      </x:c>
      <x:c r="G11" s="31" t="str">
        <x:v>r0044_smpc</x:v>
      </x:c>
      <x:c r="H11" s="31" t="str">
        <x:v>SMPC</x:v>
      </x:c>
      <x:c r="I11" s="31" t="n">
        <x:v>9</x:v>
      </x:c>
      <x:c r="J11" s="37" t="str">
        <x:v>https://drug.fda.moph.go.th/media.php?id=809664599430406144&amp;name=SMPC_Captopril_tablets.pdf</x:v>
      </x:c>
      <x:c r="K11" s="37" t="str">
        <x:v>tassium supplements or potassium-containing salt substitutes; or those patients taking other drugs associated with increases in serum potassium (e.g. heparin, co - trimoxazole also known as trim ethoprim/ sulfamethoxazole). If concomitant use of the above mentioned agents is deemed appropriate, regular monitoring of serum potassium is recommended (see section 4.5). Combination with Lithium: Captopril is not recommended in association with lithium due to the potentiation of lithium toxicity (see 4.5). Aortic and mitral valve stenosis/ Obstructive hypertropic cardiomyopathy: ACE inhibitors should be used with caution in patients with left ventricular valvular and outflow tract obstruction. As limited experience has been obtained in the treatment of acute</x:v>
      </x:c>
      <x:c r="L11" s="31" t="str">
        <x:v>YES</x:v>
      </x:c>
      <x:c r="M11" s="31" t="str">
        <x:v>YES</x:v>
      </x:c>
    </x:row>
    <x:row r="12">
      <x:c r="A12" s="31" t="str">
        <x:v>carbamazepine</x:v>
      </x:c>
      <x:c r="B12" s="31" t="str">
        <x:v>tramadol</x:v>
      </x:c>
      <x:c r="C12" s="31" t="str">
        <x:v>moderate</x:v>
      </x:c>
      <x:c r="D12" s="37" t="str">
        <x:v>โปรดสอบถามแพทย์หรือเภสัชกรก่อนใช้ร่วมกัน</x:v>
      </x:c>
      <x:c r="E12" s="37" t="str">
        <x:v>ตรวจพบว่ายาคู่นี้ต้องได้รับการตรวจสอบโดยบุคลากรทางการแพทย์ก่อนใช้ร่วมกัน</x:v>
      </x:c>
      <x:c r="F12" s="31" t="str">
        <x:v>Draft</x:v>
      </x:c>
      <x:c r="G12" s="31" t="str">
        <x:v>r0350_smpc</x:v>
      </x:c>
      <x:c r="H12" s="31" t="str">
        <x:v>SMPC</x:v>
      </x:c>
      <x:c r="I12" s="31" t="n">
        <x:v>8</x:v>
      </x:c>
      <x:c r="J12" s="37" t="str">
        <x:v>https://drug.fda.moph.go.th/media.php?id=810483663501402112&amp;name=SMPC_Tramadol_Capsules.pdf</x:v>
      </x:c>
      <x:c r="K12" s="37" t="str">
        <x:v>ntin and pregabalin) may result in resp iratory depression, hypotension, profound sedation, coma or death. The dose of Tramadol and the duration of the concomitant use should be limited (see section 4.4) The results of pharmacokinetic studies have so far shown that on the concomitant or previous administration of cimetidine (enzyme inhibitor) clinically relevant interactions are unlikely to occur. Simultaneous or previous administration of carbamazepine (enzyme inducer) may reduce the analgesic effect and shorten the duration of action. Tramadol can induce convulsions and increase the potential for selective serotonin re -uptake inhibitors, (SSRIs), serotonin -norepinephrine reuptake inhibitors (SNRIs), tricyclic anti -depressants, anti-psychotics</x:v>
      </x:c>
      <x:c r="L12" s="31" t="str">
        <x:v>YES</x:v>
      </x:c>
      <x:c r="M12" s="31" t="str">
        <x:v>YES</x:v>
      </x:c>
    </x:row>
    <x:row r="13">
      <x:c r="A13" s="31" t="str">
        <x:v>cefuroxime</x:v>
      </x:c>
      <x:c r="B13" s="31" t="str">
        <x:v>furosemide</x:v>
      </x:c>
      <x:c r="C13" s="31" t="str">
        <x:v>moderate</x:v>
      </x:c>
      <x:c r="D13" s="37" t="str">
        <x:v>โปรดสอบถามแพทย์หรือเภสัชกรก่อนใช้ร่วมกัน</x:v>
      </x:c>
      <x:c r="E13" s="37" t="str">
        <x:v>ตรวจพบว่ายาคู่นี้ต้องได้รับการตรวจสอบโดยบุคลากรทางการแพทย์ก่อนใช้ร่วมกัน</x:v>
      </x:c>
      <x:c r="F13" s="31" t="str">
        <x:v>Draft</x:v>
      </x:c>
      <x:c r="G13" s="31" t="str">
        <x:v>r0051_smpc</x:v>
      </x:c>
      <x:c r="H13" s="31" t="str">
        <x:v>SMPC</x:v>
      </x:c>
      <x:c r="I13" s="31" t="n">
        <x:v>8</x:v>
      </x:c>
      <x:c r="J13" s="37" t="str">
        <x:v>https://drug.fda.moph.go.th/media.php?id=808219138211323904&amp;name=smpc_Cefuroxime (POWDER FOR SOLUTION FOR INJECTIONINFUSION) (1).pdf</x:v>
      </x:c>
      <x:c r="K13" s="37" t="str">
        <x:v>aceptives. Cefuroxime is excreted by glomerular filtration and tubular secretion. Concomitant use of probenicid is not recommended. Concurrent administration of probenecid prolongs the excretion of the antibiotic and produces an elevated peak serum level. Potential nephrotoxic drugs and loop diuretics High-dosage treatments with cephalosporins should be carried out with caution on patients who are taking strong -acting diuretics (such as furosemide) or potential nephrotoxic preparations (such as aminoglycoside antibiotics), since impairment of renal function through such combinations cannot be ruled out.</x:v>
      </x:c>
      <x:c r="L13" s="31" t="str">
        <x:v>YES</x:v>
      </x:c>
      <x:c r="M13" s="31" t="str">
        <x:v>YES</x:v>
      </x:c>
    </x:row>
    <x:row r="14">
      <x:c r="A14" s="31" t="str">
        <x:v>chlorpromazine</x:v>
      </x:c>
      <x:c r="B14" s="31" t="str">
        <x:v>disulfiram</x:v>
      </x:c>
      <x:c r="C14" s="31" t="str">
        <x:v>moderate</x:v>
      </x:c>
      <x:c r="D14" s="37" t="str">
        <x:v>โปรดสอบถามแพทย์หรือเภสัชกรก่อนใช้ร่วมกัน</x:v>
      </x:c>
      <x:c r="E14" s="37" t="str">
        <x:v>ตรวจพบว่ายาคู่นี้ต้องได้รับการตรวจสอบโดยบุคลากรทางการแพทย์ก่อนใช้ร่วมกัน</x:v>
      </x:c>
      <x:c r="F14" s="31" t="str">
        <x:v>Draft</x:v>
      </x:c>
      <x:c r="G14" s="31" t="str">
        <x:v>r0114_smpc</x:v>
      </x:c>
      <x:c r="H14" s="31" t="str">
        <x:v>SMPC</x:v>
      </x:c>
      <x:c r="I14" s="31" t="n">
        <x:v>4</x:v>
      </x:c>
      <x:c r="J14" s="37" t="str">
        <x:v>https://drug.fda.moph.go.th/media.php?id=810072772666597376&amp;name=SMPC_Disulfiram_Tablets.pdf</x:v>
      </x:c>
      <x:c r="K14" s="37" t="str">
        <x:v>injury associated with jaundice occur. Excipient information &lt;REGARDING THE APPROVAL&gt; 4.5. Interaction with other medicinal products and other forms of interaction Disulfiram blocks the metabolism of alcohol and leads to an accumulation of acetaldehyde in the blood stream. For full details of the disulfiram-alcohol reaction please refer to section 4.8. The intensity of the Disulfiram -alcohol reaction may be increased by amitriptyline. Chlorpromazine while decreasing certain components of the Disulfiram-alcohol reaction may increase the overall intensity of the reaction. Disulfiram inhibits the metabolism of certain benzodiazepines such as chlordiazepoxide and diazepam enhancing their sedative effect. The interaction is not indicated for oxazepam. Benzodiazepines may reduce the disulfiram-alcohol reaction. Disulfiram inhibits the metabolism of many drugs which are converted in the li</x:v>
      </x:c>
      <x:c r="L14" s="31" t="str">
        <x:v>YES</x:v>
      </x:c>
      <x:c r="M14" s="31" t="str">
        <x:v>YES</x:v>
      </x:c>
    </x:row>
    <x:row r="15">
      <x:c r="A15" s="31" t="str">
        <x:v>cimetidine</x:v>
      </x:c>
      <x:c r="B15" s="31" t="str">
        <x:v>colchicine</x:v>
      </x:c>
      <x:c r="C15" s="31" t="str">
        <x:v>moderate</x:v>
      </x:c>
      <x:c r="D15" s="37" t="str">
        <x:v>โปรดสอบถามแพทย์หรือเภสัชกรก่อนใช้ร่วมกัน</x:v>
      </x:c>
      <x:c r="E15" s="37" t="str">
        <x:v>ตรวจพบว่ายาคู่นี้ต้องได้รับการตรวจสอบโดยบุคลากรทางการแพทย์ก่อนใช้ร่วมกัน</x:v>
      </x:c>
      <x:c r="F15" s="31" t="str">
        <x:v>Draft</x:v>
      </x:c>
      <x:c r="G15" s="31" t="str">
        <x:v>r0087_smpc</x:v>
      </x:c>
      <x:c r="H15" s="31" t="str">
        <x:v>SMPC</x:v>
      </x:c>
      <x:c r="I15" s="31" t="n">
        <x:v>5</x:v>
      </x:c>
      <x:c r="J15" s="37" t="str">
        <x:v>https://drug.fda.moph.go.th/media.php?id=809692129914920960&amp;name=SMPC_Colchicine_Tablets.pdf</x:v>
      </x:c>
      <x:c r="K15" s="37" t="str">
        <x:v>ailable in paediatric patients. Excipient information &lt;REGARDING THE APPROVAL&gt; 4.5. Interaction with other medicinal products and other forms of interaction Interactions with other drugs are not or scarcely documented. Given the nature of the side effects, caution is advised with concomitant administration of drugs that can affect the blood count or have a negative effect on hepatic and/or renal function. In addition, substances such as cimetidine and tolbutamide may reduce metabolism of colchicine and thus increase plasma levels of colchicine. Colchicine is a substrate for both CYP3A4 and the transport protein P - gp. In the presence of CYP3A4 or P-gp inhibitors, the concentrations of colchicine in the blood may increase. Toxicity, including fatal cases, have been reported during concurrent use of inhibitors such as macrolides (clarithromycin and erythromycin), ciclosporin, ketocon</x:v>
      </x:c>
      <x:c r="L15" s="31" t="str">
        <x:v>YES</x:v>
      </x:c>
      <x:c r="M15" s="31" t="str">
        <x:v>YES</x:v>
      </x:c>
    </x:row>
    <x:row r="16">
      <x:c r="A16" s="31" t="str">
        <x:v>cimetidine</x:v>
      </x:c>
      <x:c r="B16" s="31" t="str">
        <x:v>piroxicam</x:v>
      </x:c>
      <x:c r="C16" s="31" t="str">
        <x:v>moderate</x:v>
      </x:c>
      <x:c r="D16" s="37" t="str">
        <x:v>โปรดสอบถามแพทย์หรือเภสัชกรก่อนใช้ร่วมกัน</x:v>
      </x:c>
      <x:c r="E16" s="37" t="str">
        <x:v>ตรวจพบว่ายาคู่นี้ต้องได้รับการตรวจสอบโดยบุคลากรทางการแพทย์ก่อนใช้ร่วมกัน</x:v>
      </x:c>
      <x:c r="F16" s="31" t="str">
        <x:v>Draft</x:v>
      </x:c>
      <x:c r="G16" s="31" t="str">
        <x:v>r0279_smpc</x:v>
      </x:c>
      <x:c r="H16" s="31" t="str">
        <x:v>SMPC</x:v>
      </x:c>
      <x:c r="I16" s="31" t="n">
        <x:v>7</x:v>
      </x:c>
      <x:c r="J16" s="37" t="str">
        <x:v>https://drug.fda.moph.go.th/media.php?id=810433390829510656&amp;name=SMPC_Piroxicam_Capsules.pdf</x:v>
      </x:c>
      <x:c r="K16" s="37" t="str">
        <x:v>adverse reactions is enhanced (see section 4.4). Human studies have shown that concomitant use of piroxicam and acetylsalicylic acid reduces the plasma piroxicam concentration to about 80% o f the usual value. Cardiac glycosides: NSAIDs may exacerbate cardiac failure, reduce GFR and increase plasma glycoside levels. Ciclosporin, Tacrolimus : possible increased risk of nephrotoxicity when NSAIDs are given with ciclosporin or tacrolimus. Cimetidine: Results of two separate studies indicate a slight but significant increase in absorption of piroxicam following cimetidine administration but no significant changes in elimination rate constants or half-life. The small increase in absorption is unlikely to be clinically significant.</x:v>
      </x:c>
      <x:c r="L16" s="31" t="str">
        <x:v>YES</x:v>
      </x:c>
      <x:c r="M16" s="31" t="str">
        <x:v>YES</x:v>
      </x:c>
    </x:row>
    <x:row r="17">
      <x:c r="A17" s="31" t="str">
        <x:v>cimetidine</x:v>
      </x:c>
      <x:c r="B17" s="31" t="str">
        <x:v>quinine</x:v>
      </x:c>
      <x:c r="C17" s="31" t="str">
        <x:v>moderate</x:v>
      </x:c>
      <x:c r="D17" s="37" t="str">
        <x:v>โปรดสอบถามแพทย์หรือเภสัชกรก่อนใช้ร่วมกัน</x:v>
      </x:c>
      <x:c r="E17" s="37" t="str">
        <x:v>ตรวจพบว่ายาคู่นี้ต้องได้รับการตรวจสอบโดยบุคลากรทางการแพทย์ก่อนใช้ร่วมกัน</x:v>
      </x:c>
      <x:c r="F17" s="31" t="str">
        <x:v>Draft</x:v>
      </x:c>
      <x:c r="G17" s="31" t="str">
        <x:v>r0300_smpc</x:v>
      </x:c>
      <x:c r="H17" s="31" t="str">
        <x:v>SMPC</x:v>
      </x:c>
      <x:c r="I17" s="31" t="n">
        <x:v>4</x:v>
      </x:c>
      <x:c r="J17" s="37" t="str">
        <x:v>https://drug.fda.moph.go.th/media.php?id=810445665753767936&amp;name=SMPC_Quinine dihydrochloride_solutions for injections or infusions.pdf</x:v>
      </x:c>
      <x:c r="K17" s="37" t="str">
        <x:v>information &lt;REGARDING THE APPROVAL&gt; 4.5. Interaction with other medicinal products and other forms of interaction Urinary alkalinisers such as acetazolamide and sodium bicarbonate increases blood quinine levels by decreasing renal clearance of quinine. Urinary acidifiers such as ammonium chloride and some other drugs, decrease the pH of the urine and therefore increase the excretion of quinine, resulting in lower quinine blood levels. Cimetidine: If used concurrently, it may reduce the clearance of quinine.</x:v>
      </x:c>
      <x:c r="L17" s="31" t="str">
        <x:v>YES</x:v>
      </x:c>
      <x:c r="M17" s="31" t="str">
        <x:v>YES</x:v>
      </x:c>
    </x:row>
    <x:row r="18">
      <x:c r="A18" s="31" t="str">
        <x:v>ciprofloxacin</x:v>
      </x:c>
      <x:c r="B18" s="31" t="str">
        <x:v>magnesium_trisilicate</x:v>
      </x:c>
      <x:c r="C18" s="31" t="str">
        <x:v>moderate</x:v>
      </x:c>
      <x:c r="D18" s="37" t="str">
        <x:v>โปรดสอบถามแพทย์หรือเภสัชกรก่อนใช้ร่วมกัน</x:v>
      </x:c>
      <x:c r="E18" s="37" t="str">
        <x:v>ตรวจพบว่ายาคู่นี้ต้องได้รับการตรวจสอบโดยบุคลากรทางการแพทย์ก่อนใช้ร่วมกัน</x:v>
      </x:c>
      <x:c r="F18" s="31" t="str">
        <x:v>Draft</x:v>
      </x:c>
      <x:c r="G18" s="31" t="str">
        <x:v>r0218_smpc</x:v>
      </x:c>
      <x:c r="H18" s="31" t="str">
        <x:v>SMPC</x:v>
      </x:c>
      <x:c r="I18" s="31" t="n">
        <x:v>2</x:v>
      </x:c>
      <x:c r="J18" s="37" t="str">
        <x:v>https://drug.fda.moph.go.th/media.php?id=810407998043332608&amp;name=SMPC_Magnesium trisilicate_Tablets.pdf</x:v>
      </x:c>
      <x:c r="K18" s="37" t="str">
        <x:v>d cardiac arrest. If symptoms persist for longer than 7 days, consult your doctor. Patients with rare hereditary problems of fructose or galactose intolerance, the LAPP lactase deficiency, glucose-galactose malabsorption or sucrase-isomaltase insufficiency should not take this medicine. 4.5. Interaction with other medicinal products and other forms of interaction Concurrent administration of antacids reduces the absorption of ciprofloxacin, pivampicillin, rifampicin, most tetracyclines, itraconazole, ketoconazole, chloroquine, hydroxychloroquine, phenothiazines, phenytoin, oral iron, penicillamine and diflunisal. Concurrent use of antacids reduces the effectiveness of the ulcer healing drug sucralfate.</x:v>
      </x:c>
      <x:c r="L18" s="31" t="str">
        <x:v>YES</x:v>
      </x:c>
      <x:c r="M18" s="31" t="str">
        <x:v>YES</x:v>
      </x:c>
    </x:row>
    <x:row r="19">
      <x:c r="A19" s="31" t="str">
        <x:v>clarithromycin</x:v>
      </x:c>
      <x:c r="B19" s="31" t="str">
        <x:v>colchicine</x:v>
      </x:c>
      <x:c r="C19" s="31" t="str">
        <x:v>severe</x:v>
      </x:c>
      <x:c r="D19" s="37" t="str">
        <x:v>ห้ามรับประทานยานี้ร่วมกัน</x:v>
      </x:c>
      <x:c r="E19" s="37" t="str">
        <x:v>ตรวจพบว่ายาคู่นี้อยู่ในกลุ่มห้ามใช้ร่วมกันตามแหล่งอ้างอิง</x:v>
      </x:c>
      <x:c r="F19" s="31" t="str">
        <x:v>Draft</x:v>
      </x:c>
      <x:c r="G19" s="31" t="str">
        <x:v>r0075_smpc</x:v>
      </x:c>
      <x:c r="H19" s="31" t="str">
        <x:v>SMPC</x:v>
      </x:c>
      <x:c r="I19" s="31" t="n">
        <x:v>8</x:v>
      </x:c>
      <x:c r="J19" s="37" t="str">
        <x:v>https://drug.fda.moph.go.th/media.php?id=809678715939332096&amp;name=SMPC_Clarithromycin_Film-coated tablets.pdf</x:v>
      </x:c>
      <x:c r="K19" s="37" t="str">
        <x:v>Microbial testing should be performed and adequate treatment initiated. Drugs inhibiting peristalsis should be avoided. There have been post -marketing reports of colchicine toxicity with concomitant use of clarithromycin and colchicine, especially in the elderly, some of which occurred in patients with renal insufficiency. Deaths have been reported in some such patients (se e section 4.5). Concomitant administration of clarithromycin and colchicine is contraindicated (see section 4.3).</x:v>
      </x:c>
      <x:c r="L19" s="31" t="str">
        <x:v>YES</x:v>
      </x:c>
      <x:c r="M19" s="31" t="str">
        <x:v>YES</x:v>
      </x:c>
    </x:row>
    <x:row r="20">
      <x:c r="A20" s="31" t="str">
        <x:v>clarithromycin</x:v>
      </x:c>
      <x:c r="B20" s="31" t="str">
        <x:v>domperidone</x:v>
      </x:c>
      <x:c r="C20" s="31" t="str">
        <x:v>severe</x:v>
      </x:c>
      <x:c r="D20" s="37" t="str">
        <x:v>ห้ามรับประทานยานี้ร่วมกัน</x:v>
      </x:c>
      <x:c r="E20" s="37" t="str">
        <x:v>ตรวจพบว่ายาคู่นี้อยู่ในกลุ่มห้ามใช้ร่วมกันตามแหล่งอ้างอิง</x:v>
      </x:c>
      <x:c r="F20" s="31" t="str">
        <x:v>Draft</x:v>
      </x:c>
      <x:c r="G20" s="31" t="str">
        <x:v>r0075_smpc</x:v>
      </x:c>
      <x:c r="H20" s="31" t="str">
        <x:v>SMPC</x:v>
      </x:c>
      <x:c r="I20" s="31" t="n">
        <x:v>6</x:v>
      </x:c>
      <x:c r="J20" s="37" t="str">
        <x:v>https://drug.fda.moph.go.th/media.php?id=809678715939332096&amp;name=SMPC_Clarithromycin_Film-coated tablets.pdf</x:v>
      </x:c>
      <x:c r="K20" s="37" t="str">
        <x:v>rgotamine or dihydroergotamine) is contraindicated, as this may result in ergot toxicity (see sections 4.4 and 4.5). • Concomitant administration of clarithromycin and oral midazolam is contraindicated (see section 4.5). • Concomitant administration of clarithromycin and lomitapide is contraindicated (see section 4.5). • Concomitant administration of clarithromycin and any of the following drugs is contraindicated: astemizole, cisapride, domperidone, pimozide and terfenadine as this may result in QT prolongation and cardiac arrhythmias, including ventricular tachycardia, v entricular fibrillation, and torsades de pointes (see section 4.4 and 4.5). • Clarithromycin should not be given to patients with history of QT prolongation (congenital or documented acquired QT prolongation) or ventricular cardiac arrhythmia, including torsades de pointes (see sections 4.4 and 4.5). Concomitant ad</x:v>
      </x:c>
      <x:c r="L20" s="31" t="str">
        <x:v>YES</x:v>
      </x:c>
      <x:c r="M20" s="31" t="str">
        <x:v>YES</x:v>
      </x:c>
    </x:row>
    <x:row r="21">
      <x:c r="A21" s="31" t="str">
        <x:v>clarithromycin</x:v>
      </x:c>
      <x:c r="B21" s="31" t="str">
        <x:v>pimozide</x:v>
      </x:c>
      <x:c r="C21" s="31" t="str">
        <x:v>severe</x:v>
      </x:c>
      <x:c r="D21" s="37" t="str">
        <x:v>ห้ามรับประทานยานี้ร่วมกัน</x:v>
      </x:c>
      <x:c r="E21" s="37" t="str">
        <x:v>ตรวจพบว่ายาคู่นี้อยู่ในกลุ่มห้ามใช้ร่วมกันตามแหล่งอ้างอิง</x:v>
      </x:c>
      <x:c r="F21" s="31" t="str">
        <x:v>Draft</x:v>
      </x:c>
      <x:c r="G21" s="31" t="str">
        <x:v>r0075_smpc</x:v>
      </x:c>
      <x:c r="H21" s="31" t="str">
        <x:v>SMPC</x:v>
      </x:c>
      <x:c r="I21" s="31" t="n">
        <x:v>6</x:v>
      </x:c>
      <x:c r="J21" s="37" t="str">
        <x:v>https://drug.fda.moph.go.th/media.php?id=809678715939332096&amp;name=SMPC_Clarithromycin_Film-coated tablets.pdf</x:v>
      </x:c>
      <x:c r="K21" s="37" t="str">
        <x:v>dihydroergotamine) is contraindicated, as this may result in ergot toxicity (see sections 4.4 and 4.5). • Concomitant administration of clarithromycin and oral midazolam is contraindicated (see section 4.5). • Concomitant administration of clarithromycin and lomitapide is contraindicated (see section 4.5). • Concomitant administration of clarithromycin and any of the following drugs is contraindicated: astemizole, cisapride, domperidone, pimozide and terfenadine as this may result in QT prolongation and cardiac arrhythmias, including ventricular tachycardia, v entricular fibrillation, and torsades de pointes (see section 4.4 and 4.5). • Clarithromycin should not be given to patients with history of QT prolongation (congenital or documented acquired QT prolongation) or ventricular cardiac arrhythmia, including torsades de pointes (see sections 4.4 and 4.5). Concomitant administrati</x:v>
      </x:c>
      <x:c r="L21" s="31" t="str">
        <x:v>YES</x:v>
      </x:c>
      <x:c r="M21" s="31" t="str">
        <x:v>YES</x:v>
      </x:c>
    </x:row>
    <x:row r="22">
      <x:c r="A22" s="31" t="str">
        <x:v>clarithromycin</x:v>
      </x:c>
      <x:c r="B22" s="31" t="str">
        <x:v>simvastatin</x:v>
      </x:c>
      <x:c r="C22" s="31" t="str">
        <x:v>severe</x:v>
      </x:c>
      <x:c r="D22" s="37" t="str">
        <x:v>ห้ามรับประทานยานี้ร่วมกัน</x:v>
      </x:c>
      <x:c r="E22" s="37" t="str">
        <x:v>ตรวจพบว่ายาคู่นี้อยู่ในกลุ่มห้ามใช้ร่วมกันตามแหล่งอ้างอิง</x:v>
      </x:c>
      <x:c r="F22" s="31" t="str">
        <x:v>Draft</x:v>
      </x:c>
      <x:c r="G22" s="31" t="str">
        <x:v>r0075_smpc</x:v>
      </x:c>
      <x:c r="H22" s="31" t="str">
        <x:v>SMPC</x:v>
      </x:c>
      <x:c r="I22" s="31" t="n">
        <x:v>6</x:v>
      </x:c>
      <x:c r="J22" s="37" t="str">
        <x:v>https://drug.fda.moph.go.th/media.php?id=809678715939332096&amp;name=SMPC_Clarithromycin_Film-coated tablets.pdf</x:v>
      </x:c>
      <x:c r="K22" s="37" t="str">
        <x:v>in should not be given to patients with history of QT prolongation (congenital or documented acquired QT prolongation) or ventricular cardiac arrhythmia, including torsades de pointes (see sections 4.4 and 4.5). Concomitant administration with ticagrelor or ranolazine is contraindicated. • Clarithromycin should not be used concomitantly with HMG -CoA reductase inhibitors (statins) that are extensively metabolized by CYP3A4, (lovastatin or simvastatin), due to the increased risk of myopathy, including rhabdomyolysis (see section 4.5). • As with other strong CYP3A4 inhibitors, Clarithromycin should not be used in patients taking colchicine (see sections 4.4 and 4.5).</x:v>
      </x:c>
      <x:c r="L22" s="31" t="str">
        <x:v>YES</x:v>
      </x:c>
      <x:c r="M22" s="31" t="str">
        <x:v>YES</x:v>
      </x:c>
    </x:row>
    <x:row r="23">
      <x:c r="A23" s="31" t="str">
        <x:v>colchicine</x:v>
      </x:c>
      <x:c r="B23" s="31" t="str">
        <x:v>erythromycin</x:v>
      </x:c>
      <x:c r="C23" s="31" t="str">
        <x:v>moderate</x:v>
      </x:c>
      <x:c r="D23" s="37" t="str">
        <x:v>โปรดสอบถามแพทย์หรือเภสัชกรก่อนใช้ร่วมกัน</x:v>
      </x:c>
      <x:c r="E23" s="37" t="str">
        <x:v>ตรวจพบว่ายาคู่นี้ต้องได้รับการตรวจสอบโดยบุคลากรทางการแพทย์ก่อนใช้ร่วมกัน</x:v>
      </x:c>
      <x:c r="F23" s="31" t="str">
        <x:v>Draft</x:v>
      </x:c>
      <x:c r="G23" s="31" t="str">
        <x:v>r0087_smpc</x:v>
      </x:c>
      <x:c r="H23" s="31" t="str">
        <x:v>SMPC</x:v>
      </x:c>
      <x:c r="I23" s="31" t="n">
        <x:v>5</x:v>
      </x:c>
      <x:c r="J23" s="37" t="str">
        <x:v>https://drug.fda.moph.go.th/media.php?id=809692129914920960&amp;name=SMPC_Colchicine_Tablets.pdf</x:v>
      </x:c>
      <x:c r="K23" s="37" t="str">
        <x:v>ition, substances such as cimetidine and tolbutamide may reduce metabolism of colchicine and thus increase plasma levels of colchicine. Colchicine is a substrate for both CYP3A4 and the transport protein P - gp. In the presence of CYP3A4 or P-gp inhibitors, the concentrations of colchicine in the blood may increase. Toxicity, including fatal cases, have been reported during concurrent use of inhibitors such as macrolides (clarithromycin and erythromycin), ciclosporin, ketoconazole, itraconazole, voriconazole, HIV protease inhibitors, calcium channel antagonists such as verapamil and diltiazem (see section 4.4).</x:v>
      </x:c>
      <x:c r="L23" s="31" t="str">
        <x:v>YES</x:v>
      </x:c>
      <x:c r="M23" s="31" t="str">
        <x:v>YES</x:v>
      </x:c>
    </x:row>
    <x:row r="24">
      <x:c r="A24" s="31" t="str">
        <x:v>colchicine</x:v>
      </x:c>
      <x:c r="B24" s="31" t="str">
        <x:v>itraconazole</x:v>
      </x:c>
      <x:c r="C24" s="31" t="str">
        <x:v>moderate</x:v>
      </x:c>
      <x:c r="D24" s="37" t="str">
        <x:v>โปรดสอบถามแพทย์หรือเภสัชกรก่อนใช้ร่วมกัน</x:v>
      </x:c>
      <x:c r="E24" s="37" t="str">
        <x:v>ตรวจพบว่ายาคู่นี้ต้องได้รับการตรวจสอบโดยบุคลากรทางการแพทย์ก่อนใช้ร่วมกัน</x:v>
      </x:c>
      <x:c r="F24" s="31" t="str">
        <x:v>Draft</x:v>
      </x:c>
      <x:c r="G24" s="31" t="str">
        <x:v>r0087_smpc</x:v>
      </x:c>
      <x:c r="H24" s="31" t="str">
        <x:v>SMPC</x:v>
      </x:c>
      <x:c r="I24" s="31" t="n">
        <x:v>5</x:v>
      </x:c>
      <x:c r="J24" s="37" t="str">
        <x:v>https://drug.fda.moph.go.th/media.php?id=809692129914920960&amp;name=SMPC_Colchicine_Tablets.pdf</x:v>
      </x:c>
      <x:c r="K24" s="37" t="str">
        <x:v>lbutamide may reduce metabolism of colchicine and thus increase plasma levels of colchicine. Colchicine is a substrate for both CYP3A4 and the transport protein P - gp. In the presence of CYP3A4 or P-gp inhibitors, the concentrations of colchicine in the blood may increase. Toxicity, including fatal cases, have been reported during concurrent use of inhibitors such as macrolides (clarithromycin and erythromycin), ciclosporin, ketoconazole, itraconazole, voriconazole, HIV protease inhibitors, calcium channel antagonists such as verapamil and diltiazem (see section 4.4).</x:v>
      </x:c>
      <x:c r="L24" s="31" t="str">
        <x:v>YES</x:v>
      </x:c>
      <x:c r="M24" s="31" t="str">
        <x:v>YES</x:v>
      </x:c>
    </x:row>
    <x:row r="25">
      <x:c r="A25" s="31" t="str">
        <x:v>colchicine</x:v>
      </x:c>
      <x:c r="B25" s="31" t="str">
        <x:v>ketoconazole</x:v>
      </x:c>
      <x:c r="C25" s="31" t="str">
        <x:v>moderate</x:v>
      </x:c>
      <x:c r="D25" s="37" t="str">
        <x:v>โปรดสอบถามแพทย์หรือเภสัชกรก่อนใช้ร่วมกัน</x:v>
      </x:c>
      <x:c r="E25" s="37" t="str">
        <x:v>ตรวจพบว่ายาคู่นี้ต้องได้รับการตรวจสอบโดยบุคลากรทางการแพทย์ก่อนใช้ร่วมกัน</x:v>
      </x:c>
      <x:c r="F25" s="31" t="str">
        <x:v>Draft</x:v>
      </x:c>
      <x:c r="G25" s="31" t="str">
        <x:v>r0087_smpc</x:v>
      </x:c>
      <x:c r="H25" s="31" t="str">
        <x:v>SMPC</x:v>
      </x:c>
      <x:c r="I25" s="31" t="n">
        <x:v>5</x:v>
      </x:c>
      <x:c r="J25" s="37" t="str">
        <x:v>https://drug.fda.moph.go.th/media.php?id=809692129914920960&amp;name=SMPC_Colchicine_Tablets.pdf</x:v>
      </x:c>
      <x:c r="K25" s="37" t="str">
        <x:v>etidine and tolbutamide may reduce metabolism of colchicine and thus increase plasma levels of colchicine. Colchicine is a substrate for both CYP3A4 and the transport protein P - gp. In the presence of CYP3A4 or P-gp inhibitors, the concentrations of colchicine in the blood may increase. Toxicity, including fatal cases, have been reported during concurrent use of inhibitors such as macrolides (clarithromycin and erythromycin), ciclosporin, ketoconazole, itraconazole, voriconazole, HIV protease inhibitors, calcium channel antagonists such as verapamil and diltiazem (see section 4.4).</x:v>
      </x:c>
      <x:c r="L25" s="31" t="str">
        <x:v>YES</x:v>
      </x:c>
      <x:c r="M25" s="31" t="str">
        <x:v>YES</x:v>
      </x:c>
    </x:row>
    <x:row r="26">
      <x:c r="A26" s="31" t="str">
        <x:v>cyanocobalamin</x:v>
      </x:c>
      <x:c r="B26" s="31" t="str">
        <x:v>omeprazole</x:v>
      </x:c>
      <x:c r="C26" s="31" t="str">
        <x:v>moderate</x:v>
      </x:c>
      <x:c r="D26" s="37" t="str">
        <x:v>โปรดสอบถามแพทย์หรือเภสัชกรก่อนใช้ร่วมกัน</x:v>
      </x:c>
      <x:c r="E26" s="37" t="str">
        <x:v>ตรวจพบว่ายาคู่นี้ต้องได้รับการตรวจสอบโดยบุคลากรทางการแพทย์ก่อนใช้ร่วมกัน</x:v>
      </x:c>
      <x:c r="F26" s="31" t="str">
        <x:v>Draft</x:v>
      </x:c>
      <x:c r="G26" s="31" t="str">
        <x:v>r0435_smpc</x:v>
      </x:c>
      <x:c r="H26" s="31" t="str">
        <x:v>SMPC</x:v>
      </x:c>
      <x:c r="I26" s="31" t="n">
        <x:v>3</x:v>
      </x:c>
      <x:c r="J26" s="37" t="str">
        <x:v>https://drug.fda.moph.go.th/media.php?id=904966130538520576&amp;name=3. Ref SmPC_Omeprazole.pdf</x:v>
      </x:c>
      <x:c r="K26" s="37" t="str">
        <x:v>atazanavir with proton pump inhibitors is not recommended (see section 4.5). If the combination of atazanavir with a proton pump inhibitor is judged unavoidable, close clinical monitoring (e.g virus load) is recommended in combination with an increase in the dose of atazanavir to 400 mg with 100 mg of ritonavir; omeprazole 20 mg should not be exceeded. Omeprazole, as all acid-blocking medicines, may reduce the absorption of vitamin B12 (cyanocobalamin) due to hypo- or achlorhydria. This should be considered in patients with reduced body stores or risk factors for reduced vitamin B12absorption on long-term therapy.</x:v>
      </x:c>
      <x:c r="L26" s="31" t="str">
        <x:v>YES</x:v>
      </x:c>
      <x:c r="M26" s="31" t="str">
        <x:v>YES</x:v>
      </x:c>
    </x:row>
    <x:row r="27">
      <x:c r="A27" s="31" t="str">
        <x:v>dexamethasone</x:v>
      </x:c>
      <x:c r="B27" s="31" t="str">
        <x:v>ketoconazole</x:v>
      </x:c>
      <x:c r="C27" s="31" t="str">
        <x:v>moderate</x:v>
      </x:c>
      <x:c r="D27" s="37" t="str">
        <x:v>โปรดสอบถามแพทย์หรือเภสัชกรก่อนใช้ร่วมกัน</x:v>
      </x:c>
      <x:c r="E27" s="37" t="str">
        <x:v>ตรวจพบว่ายาคู่นี้ต้องได้รับการตรวจสอบโดยบุคลากรทางการแพทย์ก่อนใช้ร่วมกัน</x:v>
      </x:c>
      <x:c r="F27" s="31" t="str">
        <x:v>Draft</x:v>
      </x:c>
      <x:c r="G27" s="31" t="str">
        <x:v>r0098_smpc</x:v>
      </x:c>
      <x:c r="H27" s="31" t="str">
        <x:v>SMPC</x:v>
      </x:c>
      <x:c r="I27" s="31" t="n">
        <x:v>11</x:v>
      </x:c>
      <x:c r="J27" s="37" t="str">
        <x:v>https://drug.fda.moph.go.th/media.php?id=810066436012777472&amp;name=SMPC_Dexamethasone_syrup.pdf</x:v>
      </x:c>
      <x:c r="K27" s="37" t="str">
        <x:v>systemic side -effects. The combination should be avoided unless the benefit outweighs the increased risk of systemic corticosteroid side -effects, in which case patients should be monitored for systemic corticosteroid side-effects. These interactions may also interfere with dexamethasone suppression tests which, therefore, should be interpreted with caution during administration of substances that affect the metabolism of dexamethasone. Ketoconazole may increase plasma concentrations of dexamethasone by inhibition of CYP3A4, but may also suppress corticosteroid synthesis in the adrenal and thereby cause adrenal insufficiency at withdrawal of corticosteroid treatment. Ephedrine may increase the metabolic clearance of corticosteroids, resulting in decreased plasma levels. An increase of the corticosteroid dose might be necessary.</x:v>
      </x:c>
      <x:c r="L27" s="31" t="str">
        <x:v>YES</x:v>
      </x:c>
      <x:c r="M27" s="31" t="str">
        <x:v>YES</x:v>
      </x:c>
    </x:row>
    <x:row r="28">
      <x:c r="A28" s="31" t="str">
        <x:v>diclofenac</x:v>
      </x:c>
      <x:c r="B28" s="31" t="str">
        <x:v>lithium</x:v>
      </x:c>
      <x:c r="C28" s="31" t="str">
        <x:v>moderate</x:v>
      </x:c>
      <x:c r="D28" s="37" t="str">
        <x:v>โปรดสอบถามแพทย์หรือเภสัชกรก่อนใช้ร่วมกัน</x:v>
      </x:c>
      <x:c r="E28" s="37" t="str">
        <x:v>ตรวจพบว่ายาคู่นี้ต้องได้รับการตรวจสอบโดยบุคลากรทางการแพทย์ก่อนใช้ร่วมกัน</x:v>
      </x:c>
      <x:c r="F28" s="31" t="str">
        <x:v>Draft</x:v>
      </x:c>
      <x:c r="G28" s="31" t="str">
        <x:v>r0103_smpc</x:v>
      </x:c>
      <x:c r="H28" s="31" t="str">
        <x:v>SMPC</x:v>
      </x:c>
      <x:c r="I28" s="31" t="n">
        <x:v>8</x:v>
      </x:c>
      <x:c r="J28" s="37" t="str">
        <x:v>https://drug.fda.moph.go.th/media.php?id=810068711242342400&amp;name=SMPC_Diclofenac_enteric-coated tables.pdf</x:v>
      </x:c>
      <x:c r="K28" s="37" t="str">
        <x:v>her signs of hypersensitivity. Female fertility: The use of diclofenac sodium may impair female fertility and is not recommended in women attempting to conceive. In women who may have difficulties conceiving or who are undergoing investigation of infertility, withdrawal of diclofenac so dium should be considered. Excipient information &lt;REGARDING THE APPROVAL&gt; 4.5. Interaction with other medicinal products and other forms of interaction Lithium: Diclofenac sodium may increase plasma concentrations of lithium. Anticoagulants and anti-platelet agents: Caution is recommended since concomitant administration could increase the risk of bleeding. Although clinical investigations do not appear to indicate that diclofenac affects the action of anticoagulants, there are reports of an increased risk of haemorrhage in patients receiving diclofenac and anticoagulants concomitantly. Close mo</x:v>
      </x:c>
      <x:c r="L28" s="31" t="str">
        <x:v>YES</x:v>
      </x:c>
      <x:c r="M28" s="31" t="str">
        <x:v>YES</x:v>
      </x:c>
    </x:row>
    <x:row r="29">
      <x:c r="A29" s="31" t="str">
        <x:v>digoxin</x:v>
      </x:c>
      <x:c r="B29" s="31" t="str">
        <x:v>mannitol</x:v>
      </x:c>
      <x:c r="C29" s="31" t="str">
        <x:v>moderate</x:v>
      </x:c>
      <x:c r="D29" s="37" t="str">
        <x:v>โปรดสอบถามแพทย์หรือเภสัชกรก่อนใช้ร่วมกัน</x:v>
      </x:c>
      <x:c r="E29" s="37" t="str">
        <x:v>ตรวจพบว่ายาคู่นี้ต้องได้รับการตรวจสอบโดยบุคลากรทางการแพทย์ก่อนใช้ร่วมกัน</x:v>
      </x:c>
      <x:c r="F29" s="31" t="str">
        <x:v>Draft</x:v>
      </x:c>
      <x:c r="G29" s="31" t="str">
        <x:v>r0220_smpc</x:v>
      </x:c>
      <x:c r="H29" s="31" t="str">
        <x:v>SMPC</x:v>
      </x:c>
      <x:c r="I29" s="31" t="n">
        <x:v>10</x:v>
      </x:c>
      <x:c r="J29" s="37" t="str">
        <x:v>https://drug.fda.moph.go.th/media.php?id=810409159391584256&amp;name=SMPC_Mannitol_Solution for Infusion.pdf</x:v>
      </x:c>
      <x:c r="K29" s="37" t="str">
        <x:v>ation may alter the effects of agents that are sensitive to such imbalances (e.g., digoxin, agents that may cause QT prolongation, neuromuscular blocking agents). Other potential interactions are with tubocurarine and depolarising neuromuscular blocking drugs (enhancement of their effects by mannitol), oral anticoagulants (mannitol may reduce their effects by increasing the concentration of clotting factors secondar y to dehydration) and digoxin (if hypokalaemia follows mannitol treatment</x:v>
      </x:c>
      <x:c r="L29" s="31" t="str">
        <x:v>YES</x:v>
      </x:c>
      <x:c r="M29" s="31" t="str">
        <x:v>YES</x:v>
      </x:c>
    </x:row>
    <x:row r="30">
      <x:c r="A30" s="31" t="str">
        <x:v>digoxin</x:v>
      </x:c>
      <x:c r="B30" s="31" t="str">
        <x:v>tenoxicam</x:v>
      </x:c>
      <x:c r="C30" s="31" t="str">
        <x:v>moderate</x:v>
      </x:c>
      <x:c r="D30" s="37" t="str">
        <x:v>โปรดสอบถามแพทย์หรือเภสัชกรก่อนใช้ร่วมกัน</x:v>
      </x:c>
      <x:c r="E30" s="37" t="str">
        <x:v>ตรวจพบว่ายาคู่นี้ต้องได้รับการตรวจสอบโดยบุคลากรทางการแพทย์ก่อนใช้ร่วมกัน</x:v>
      </x:c>
      <x:c r="F30" s="31" t="str">
        <x:v>Draft</x:v>
      </x:c>
      <x:c r="G30" s="31" t="str">
        <x:v>r0333_smpc</x:v>
      </x:c>
      <x:c r="H30" s="31" t="str">
        <x:v>SMPC</x:v>
      </x:c>
      <x:c r="I30" s="31" t="n">
        <x:v>8</x:v>
      </x:c>
      <x:c r="J30" s="37" t="str">
        <x:v>https://drug.fda.moph.go.th/media.php?id=810466026549551104&amp;name=SMPC_Tenoxicam_Tablets.pdf</x:v>
      </x:c>
      <x:c r="K30" s="37" t="str">
        <x:v>to be of clinical significance. No interaction has been found with concomitantly administered cimetidine. Anticoagulants Tenoxicam is highly bound to serum albumin, and can, as with all NSAIDs, enhance the effects of anticoagulants such as warfarin (see section 4.4). Close monitoring of the effects of anticoagulants and oral glycaemic agents is advised, especially during the initial stages of treatment with Tenoxicam. No interaction with digoxin has been observed. In healthy subjects no clinically relevant interaction between Tenoxicam and low molecular weight heparin has been observed. Cardiac glycosides NSAIDs may exacerbate cardiac failure, reduce GFR and increase plasma cardiac glycoside levels when co -administered with cardiac glycosides. During clinical trials no interaction was reported for patients</x:v>
      </x:c>
      <x:c r="L30" s="31" t="str">
        <x:v>YES</x:v>
      </x:c>
      <x:c r="M30" s="31" t="str">
        <x:v>YES</x:v>
      </x:c>
    </x:row>
    <x:row r="31">
      <x:c r="A31" s="31" t="str">
        <x:v>disulfiram</x:v>
      </x:c>
      <x:c r="B31" s="31" t="str">
        <x:v>metronidazole</x:v>
      </x:c>
      <x:c r="C31" s="31" t="str">
        <x:v>moderate</x:v>
      </x:c>
      <x:c r="D31" s="37" t="str">
        <x:v>โปรดสอบถามแพทย์หรือเภสัชกรก่อนใช้ร่วมกัน</x:v>
      </x:c>
      <x:c r="E31" s="37" t="str">
        <x:v>ตรวจพบว่ายาคู่นี้ต้องได้รับการตรวจสอบโดยบุคลากรทางการแพทย์ก่อนใช้ร่วมกัน</x:v>
      </x:c>
      <x:c r="F31" s="31" t="str">
        <x:v>Draft</x:v>
      </x:c>
      <x:c r="G31" s="31" t="str">
        <x:v>r0240_smpc</x:v>
      </x:c>
      <x:c r="H31" s="31" t="str">
        <x:v>SMPC</x:v>
      </x:c>
      <x:c r="I31" s="31" t="n">
        <x:v>8</x:v>
      </x:c>
      <x:c r="J31" s="37" t="str">
        <x:v>https://drug.fda.moph.go.th/media.php?id=810416973254107136&amp;name=SMPC_Metronidazole_Solutions for injections or infusions.pdf</x:v>
      </x:c>
      <x:c r="K31" s="37" t="str">
        <x:v>1 Ref: Metronidazole, EMC, 13/12/2023 8 Patients should be warned that Metronidazole may darken urine (due to Metronidazole metabolite). Excipient information &lt;REGARDING THE APPROVAL&gt; 4.5. Interaction with other medicinal products and other forms of interaction Not recommended concomitant therapy: Disulfiram: Concurrent use of metronidazole and disulfiram may result in psychotic reactions and confusion. Metronidazole should not be given to patients who have taken disulfiram within the last two weeks. Alcohol: Disulfiram -like effect (warmth, redness, vomiting, tachycardia). Alcohol beverage and drugs containing alcohol should be avoided. Patients should be advised not to take alcohol during Metronidazole therapy and at least 72 hours afterwar</x:v>
      </x:c>
      <x:c r="L31" s="31" t="str">
        <x:v>YES</x:v>
      </x:c>
      <x:c r="M31" s="31" t="str">
        <x:v>YES</x:v>
      </x:c>
    </x:row>
    <x:row r="32">
      <x:c r="A32" s="31" t="str">
        <x:v>domperidone</x:v>
      </x:c>
      <x:c r="B32" s="31" t="str">
        <x:v>roxithromycin</x:v>
      </x:c>
      <x:c r="C32" s="31" t="str">
        <x:v>moderate</x:v>
      </x:c>
      <x:c r="D32" s="37" t="str">
        <x:v>โปรดสอบถามแพทย์หรือเภสัชกรก่อนใช้ร่วมกัน</x:v>
      </x:c>
      <x:c r="E32" s="37" t="str">
        <x:v>ตรวจพบว่ายาคู่นี้ต้องได้รับการตรวจสอบโดยบุคลากรทางการแพทย์ก่อนใช้ร่วมกัน</x:v>
      </x:c>
      <x:c r="F32" s="31" t="str">
        <x:v>Draft</x:v>
      </x:c>
      <x:c r="G32" s="31" t="str">
        <x:v>r0118_smpc</x:v>
      </x:c>
      <x:c r="H32" s="31" t="str">
        <x:v>SMPC</x:v>
      </x:c>
      <x:c r="I32" s="31" t="n">
        <x:v>6</x:v>
      </x:c>
      <x:c r="J32" s="37" t="str">
        <x:v>https://drug.fda.moph.go.th/media.php?id=810074487256129536&amp;name=SMPC_Domperidone_Tablets.pdf</x:v>
      </x:c>
      <x:c r="K32" s="37" t="str">
        <x:v>des (erythromycin, clarithromycin and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hypokalaemia-inducing drugs, as well as with the following macrolides involved in QT -prolongation: azithromycin and roxithromycin (clarithromycin is contraindicated as it is a potent CYP3A4 inhibitor). The above list of substances is representative and not exhaustive. There is a theoretical potential that domperidone may antagonise the hypoprolactinaemia effect of drugs such as bromocriptine. Opioid analgesics and antimuscarinics may antagonise the prokinetic effects of domperidone.</x:v>
      </x:c>
      <x:c r="L32" s="31" t="str">
        <x:v>YES</x:v>
      </x:c>
      <x:c r="M32" s="31" t="str">
        <x:v>YES</x:v>
      </x:c>
    </x:row>
    <x:row r="33">
      <x:c r="A33" s="31" t="str">
        <x:v>furosemide</x:v>
      </x:c>
      <x:c r="B33" s="31" t="str">
        <x:v>thiamine</x:v>
      </x:c>
      <x:c r="C33" s="31" t="str">
        <x:v>moderate</x:v>
      </x:c>
      <x:c r="D33" s="37" t="str">
        <x:v>โปรดสอบถามแพทย์หรือเภสัชกรก่อนใช้ร่วมกัน</x:v>
      </x:c>
      <x:c r="E33" s="37" t="str">
        <x:v>ตรวจพบว่ายาคู่นี้ต้องได้รับการตรวจสอบโดยบุคลากรทางการแพทย์ก่อนใช้ร่วมกัน</x:v>
      </x:c>
      <x:c r="F33" s="31" t="str">
        <x:v>Draft</x:v>
      </x:c>
      <x:c r="G33" s="31" t="str">
        <x:v>r0340_smpc</x:v>
      </x:c>
      <x:c r="H33" s="31" t="str">
        <x:v>SMPC</x:v>
      </x:c>
      <x:c r="I33" s="31" t="n">
        <x:v>2</x:v>
      </x:c>
      <x:c r="J33" s="37" t="str">
        <x:v>https://drug.fda.moph.go.th/media.php?id=810477458427092992&amp;name=SMPC_Thiamine hydrochloride_Tablets.pdf</x:v>
      </x:c>
      <x:c r="K33" s="37" t="str">
        <x:v>her medicinal products and other forms of interaction The thiamine antagonists thiosemicarbazone and 5 -fluorouracil can neutralise the effect of thiamine. Patients using any of these treatments may need their thiamine dose adjusted. Thiamine could give false positive results for urobilinogen determination by the Ehrlich's reaction. High doses of thiamine may interfere with spectrophotometric assays of theophylline plasma concentration. Furosemide may increase urinary loss of thiamine and prolonged use of furosemide therapy may induce thiamine deficiency. Excessive alcohol intake induces thiamine deficiency.</x:v>
      </x:c>
      <x:c r="L33" s="31" t="str">
        <x:v>YES</x:v>
      </x:c>
      <x:c r="M33" s="31" t="str">
        <x:v>YES</x:v>
      </x:c>
    </x:row>
    <x:row r="34">
      <x:c r="A34" s="31" t="str">
        <x:v>gemfibrozil</x:v>
      </x:c>
      <x:c r="B34" s="31" t="str">
        <x:v>simvastatin</x:v>
      </x:c>
      <x:c r="C34" s="31" t="str">
        <x:v>severe</x:v>
      </x:c>
      <x:c r="D34" s="37" t="str">
        <x:v>ห้ามรับประทานยานี้ร่วมกัน</x:v>
      </x:c>
      <x:c r="E34" s="37" t="str">
        <x:v>ตรวจพบว่ายาคู่นี้อยู่ในกลุ่มห้ามใช้ร่วมกันตามแหล่งอ้างอิง</x:v>
      </x:c>
      <x:c r="F34" s="31" t="str">
        <x:v>Draft</x:v>
      </x:c>
      <x:c r="G34" s="31" t="str">
        <x:v>r0153_smpc</x:v>
      </x:c>
      <x:c r="H34" s="31" t="str">
        <x:v>SMPC</x:v>
      </x:c>
      <x:c r="I34" s="31" t="n">
        <x:v>4</x:v>
      </x:c>
      <x:c r="J34" s="37" t="str">
        <x:v>https://drug.fda.moph.go.th/media.php?id=810174072020410368&amp;name=SMPC_Gemfibrozil_hard capsule.pdf</x:v>
      </x:c>
      <x:c r="K34" s="37" t="str">
        <x:v>f myositis, myopathy and markedly elevated creatine phosphokinase associated with gemfibrozil. Rhabdomyolysis has also been reported rarely. Muscle damage must be considered in any patient presenting with diffuse myalgia, muscle tenderness and/or marked increase in muscle CPK levels (&gt;5x ULN); under these conditions treatment must be discontinued. Concomitant HMG CoA reductase inhibitors The concomitant administration of gemfibrozil with simvastatin, as well as with rosuvastatin at 40 mg is contraindicated. Concomitant therapy of gemfibrozil with lower doses of rosuvastatin should be used only when the benefit outweighs the risks. There ha ve been reports of severe myositis with markedly elevated creatine kinase and myoglobinuria (rhabdomyolysis) when gemfibrozil and HMG CoA reductase inhibitors were used concomitantly (see sections 4.3 and 4.5). Pharmacokinetic interactions may also</x:v>
      </x:c>
      <x:c r="L34" s="31" t="str">
        <x:v>YES</x:v>
      </x:c>
      <x:c r="M34" s="31" t="str">
        <x:v>YES</x:v>
      </x:c>
    </x:row>
    <x:row r="35">
      <x:c r="A35" s="31" t="str">
        <x:v>gliclazide</x:v>
      </x:c>
      <x:c r="B35" s="31" t="str">
        <x:v>miconazole</x:v>
      </x:c>
      <x:c r="C35" s="31" t="str">
        <x:v>moderate</x:v>
      </x:c>
      <x:c r="D35" s="37" t="str">
        <x:v>โปรดสอบถามแพทย์หรือเภสัชกรก่อนใช้ร่วมกัน</x:v>
      </x:c>
      <x:c r="E35" s="37" t="str">
        <x:v>ตรวจพบว่ายาคู่นี้ต้องได้รับการตรวจสอบโดยบุคลากรทางการแพทย์ก่อนใช้ร่วมกัน</x:v>
      </x:c>
      <x:c r="F35" s="31" t="str">
        <x:v>Draft</x:v>
      </x:c>
      <x:c r="G35" s="31" t="str">
        <x:v>r0159_smpc</x:v>
      </x:c>
      <x:c r="H35" s="31" t="str">
        <x:v>SMPC</x:v>
      </x:c>
      <x:c r="I35" s="31" t="n">
        <x:v>6</x:v>
      </x:c>
      <x:c r="J35" s="37" t="str">
        <x:v>https://drug.fda.moph.go.th/media.php?id=810175347420176384&amp;name=SMPC_Gliclazide_Modified-release Tablets.pdf</x:v>
      </x:c>
      <x:c r="K35" s="37" t="str">
        <x:v>ea drugs, caution should be used in patients with G6PD-deficiency and a non -sulfonylurea alterna tive should be considered. Porphyric patients: Cases of acute porphyria have been described with some other sulfonylurea drugs, in patients who have porphyria . 4.5. Interaction with other medicinal products and other forms of interaction The following products are likely to increase the risk of hypoglycaemia Contra-indicated combination • Miconazole (systemic route, oromucosal gel): increases the hypoglycaemic effect with possible onset of hypoglycaemic symptoms, or even coma. Combinations which are not recommended • Phenylbutazone (systemic route): increases the hypoglycaemic effect of sulfonylureas (displaces their binding to plasma proteins and/or reduces their elimination).</x:v>
      </x:c>
      <x:c r="L35" s="31" t="str">
        <x:v>YES</x:v>
      </x:c>
      <x:c r="M35" s="31" t="str">
        <x:v>YES</x:v>
      </x:c>
    </x:row>
    <x:row r="36">
      <x:c r="A36" s="31" t="str">
        <x:v>glipizide</x:v>
      </x:c>
      <x:c r="B36" s="31" t="str">
        <x:v>miconazole</x:v>
      </x:c>
      <x:c r="C36" s="31" t="str">
        <x:v>severe</x:v>
      </x:c>
      <x:c r="D36" s="37" t="str">
        <x:v>ห้ามรับประทานยานี้ร่วมกัน</x:v>
      </x:c>
      <x:c r="E36" s="37" t="str">
        <x:v>ตรวจพบว่ายาคู่นี้อยู่ในกลุ่มห้ามใช้ร่วมกันตามแหล่งอ้างอิง</x:v>
      </x:c>
      <x:c r="F36" s="31" t="str">
        <x:v>Draft</x:v>
      </x:c>
      <x:c r="G36" s="31" t="str">
        <x:v>r0161_smpc</x:v>
      </x:c>
      <x:c r="H36" s="31" t="str">
        <x:v>SMPC</x:v>
      </x:c>
      <x:c r="I36" s="31" t="n">
        <x:v>5</x:v>
      </x:c>
      <x:c r="J36" s="37" t="str">
        <x:v>https://drug.fda.moph.go.th/media.php?id=810176024078852096&amp;name=SMPC_Glipizide_Tablets.pdf</x:v>
      </x:c>
      <x:c r="K36" s="37" t="str">
        <x:v>ents and responsible family members. Primary and secondary failure should also be explained. Laboratory Tests Blood and urine glucose should be monitored periodically. Measurement of glycosylated haemoglobin may be useful. &lt;Regarding the approval&gt; 4.5. Interaction with other medicinal products and other forms of interaction The following products are likely to increase the hypoglycaemic effect: Contraindicated combinations Miconazole: Increase in hypoglycaemic effect, possibly leading to symptoms of hypoglycaemia or even coma. Inadvisable combinations Nonsteroidal Anti-inflammatory Drugs (e.g. phenylbutazone): Increase in hypoglycaemic effect of sulfonylureas (displacement of sulfonylurea binding to plasma proteins and/or decrease in sulfonylurea elimination). Alcohol: Increase in hypoglycaemic reaction, which can lead to hypoglycaemic coma.</x:v>
      </x:c>
      <x:c r="L36" s="31" t="str">
        <x:v>YES</x:v>
      </x:c>
      <x:c r="M36" s="31" t="str">
        <x:v>YES</x:v>
      </x:c>
    </x:row>
    <x:row r="37">
      <x:c r="A37" s="31" t="str">
        <x:v>indapamide</x:v>
      </x:c>
      <x:c r="B37" s="31" t="str">
        <x:v>lithium</x:v>
      </x:c>
      <x:c r="C37" s="31" t="str">
        <x:v>moderate</x:v>
      </x:c>
      <x:c r="D37" s="37" t="str">
        <x:v>โปรดสอบถามแพทย์หรือเภสัชกรก่อนใช้ร่วมกัน</x:v>
      </x:c>
      <x:c r="E37" s="37" t="str">
        <x:v>ตรวจพบว่ายาคู่นี้ต้องได้รับการตรวจสอบโดยบุคลากรทางการแพทย์ก่อนใช้ร่วมกัน</x:v>
      </x:c>
      <x:c r="F37" s="31" t="str">
        <x:v>Draft</x:v>
      </x:c>
      <x:c r="G37" s="31" t="str">
        <x:v>r0186_smpc</x:v>
      </x:c>
      <x:c r="H37" s="31" t="str">
        <x:v>SMPC</x:v>
      </x:c>
      <x:c r="I37" s="31" t="n">
        <x:v>6</x:v>
      </x:c>
      <x:c r="J37" s="37" t="str">
        <x:v>https://drug.fda.moph.go.th/media.php?id=810384338393899008&amp;name=SMPC_Indapamide_Tablets.pdf</x:v>
      </x:c>
      <x:c r="K37" s="37" t="str">
        <x:v>1 Ref:Indapamide 2.5 mg Tablets, MHRA, 16/05/2022 6 The attention of athletes is drawn to the fact that this drug contains an active ingredient which may give a positive reaction in doping tests. . 4.5. Interaction with other medicinal products and other forms of interaction Combinations that are not recommended: Lithium: Increased plasma Lithium with signs of overdose, as with a salt-free diet (decreased urinaryLithium secretion). However, if the use of diuretics is necessary, careful monitoring of plasma Lithium and dose adjustment are required. Combinations requiring precautions for use: Torsades de pointes-inducing drugs: Class Ia antiarrhythmic drugs (Quinidine, Hydroquinidine, Disopyramide), Class III antiarrhythmics (Amiodarone, Bretylium, Sotalo</x:v>
      </x:c>
      <x:c r="L37" s="31" t="str">
        <x:v>YES</x:v>
      </x:c>
      <x:c r="M37" s="31" t="str">
        <x:v>YES</x:v>
      </x:c>
    </x:row>
    <x:row r="38">
      <x:c r="A38" s="31" t="str">
        <x:v>itraconazole</x:v>
      </x:c>
      <x:c r="B38" s="31" t="str">
        <x:v>magnesium_trisilicate</x:v>
      </x:c>
      <x:c r="C38" s="31" t="str">
        <x:v>moderate</x:v>
      </x:c>
      <x:c r="D38" s="37" t="str">
        <x:v>โปรดสอบถามแพทย์หรือเภสัชกรก่อนใช้ร่วมกัน</x:v>
      </x:c>
      <x:c r="E38" s="37" t="str">
        <x:v>ตรวจพบว่ายาคู่นี้ต้องได้รับการตรวจสอบโดยบุคลากรทางการแพทย์ก่อนใช้ร่วมกัน</x:v>
      </x:c>
      <x:c r="F38" s="31" t="str">
        <x:v>Draft</x:v>
      </x:c>
      <x:c r="G38" s="31" t="str">
        <x:v>r0218_smpc</x:v>
      </x:c>
      <x:c r="H38" s="31" t="str">
        <x:v>SMPC</x:v>
      </x:c>
      <x:c r="I38" s="31" t="n">
        <x:v>2</x:v>
      </x:c>
      <x:c r="J38" s="37" t="str">
        <x:v>https://drug.fda.moph.go.th/media.php?id=810407998043332608&amp;name=SMPC_Magnesium trisilicate_Tablets.pdf</x:v>
      </x:c>
      <x:c r="K38" s="37" t="str">
        <x:v>, consult your doctor. Patients with rare hereditary problems of fructose or galactose intolerance, the LAPP lactase deficiency, glucose-galactose malabsorption or sucrase-isomaltase insufficiency should not take this medicine. 4.5. Interaction with other medicinal products and other forms of interaction Concurrent administration of antacids reduces the absorption of ciprofloxacin, pivampicillin, rifampicin, most tetracyclines, itraconazole, ketoconazole, chloroquine, hydroxychloroquine, phenothiazines, phenytoin, oral iron, penicillamine and diflunisal. Concurrent use of antacids reduces the effectiveness of the ulcer healing drug sucralfate.</x:v>
      </x:c>
      <x:c r="L38" s="31" t="str">
        <x:v>YES</x:v>
      </x:c>
      <x:c r="M38" s="31" t="str">
        <x:v>YES</x:v>
      </x:c>
    </x:row>
    <x:row r="39">
      <x:c r="A39" s="31" t="str">
        <x:v>ketoconazole</x:v>
      </x:c>
      <x:c r="B39" s="31" t="str">
        <x:v>magnesium_trisilicate</x:v>
      </x:c>
      <x:c r="C39" s="31" t="str">
        <x:v>moderate</x:v>
      </x:c>
      <x:c r="D39" s="37" t="str">
        <x:v>โปรดสอบถามแพทย์หรือเภสัชกรก่อนใช้ร่วมกัน</x:v>
      </x:c>
      <x:c r="E39" s="37" t="str">
        <x:v>ตรวจพบว่ายาคู่นี้ต้องได้รับการตรวจสอบโดยบุคลากรทางการแพทย์ก่อนใช้ร่วมกัน</x:v>
      </x:c>
      <x:c r="F39" s="31" t="str">
        <x:v>Draft</x:v>
      </x:c>
      <x:c r="G39" s="31" t="str">
        <x:v>r0218_smpc</x:v>
      </x:c>
      <x:c r="H39" s="31" t="str">
        <x:v>SMPC</x:v>
      </x:c>
      <x:c r="I39" s="31" t="n">
        <x:v>2</x:v>
      </x:c>
      <x:c r="J39" s="37" t="str">
        <x:v>https://drug.fda.moph.go.th/media.php?id=810407998043332608&amp;name=SMPC_Magnesium trisilicate_Tablets.pdf</x:v>
      </x:c>
      <x:c r="K39" s="37" t="str">
        <x:v>doctor. Patients with rare hereditary problems of fructose or galactose intolerance, the LAPP lactase deficiency, glucose-galactose malabsorption or sucrase-isomaltase insufficiency should not take this medicine. 4.5. Interaction with other medicinal products and other forms of interaction Concurrent administration of antacids reduces the absorption of ciprofloxacin, pivampicillin, rifampicin, most tetracyclines, itraconazole, ketoconazole, chloroquine, hydroxychloroquine, phenothiazines, phenytoin, oral iron, penicillamine and diflunisal. Concurrent use of antacids reduces the effectiveness of the ulcer healing drug sucralfate.</x:v>
      </x:c>
      <x:c r="L39" s="31" t="str">
        <x:v>YES</x:v>
      </x:c>
      <x:c r="M39" s="31" t="str">
        <x:v>YES</x:v>
      </x:c>
    </x:row>
    <x:row r="40">
      <x:c r="A40" s="31" t="str">
        <x:v>lithium</x:v>
      </x:c>
      <x:c r="B40" s="31" t="str">
        <x:v>sodium_dihydrogen</x:v>
      </x:c>
      <x:c r="C40" s="31" t="str">
        <x:v>moderate</x:v>
      </x:c>
      <x:c r="D40" s="37" t="str">
        <x:v>โปรดสอบถามแพทย์หรือเภสัชกรก่อนใช้ร่วมกัน</x:v>
      </x:c>
      <x:c r="E40" s="37" t="str">
        <x:v>ตรวจพบว่ายาคู่นี้ต้องได้รับการตรวจสอบโดยบุคลากรทางการแพทย์ก่อนใช้ร่วมกัน</x:v>
      </x:c>
      <x:c r="F40" s="31" t="str">
        <x:v>Draft</x:v>
      </x:c>
      <x:c r="G40" s="31" t="str">
        <x:v>r0321_smpc</x:v>
      </x:c>
      <x:c r="H40" s="31" t="str">
        <x:v>SMPC</x:v>
      </x:c>
      <x:c r="I40" s="31" t="n">
        <x:v>6</x:v>
      </x:c>
      <x:c r="J40" s="37" t="str">
        <x:v>https://drug.fda.moph.go.th/media.php?id=810461583477186560&amp;name=SMPC_Sodium dihydrogen phosphate_enema.pdf</x:v>
      </x:c>
      <x:c r="K40" s="37" t="str">
        <x:v>cian who will decide if laboratory tests should be completed in order to detect possible electrolyte abnormalities and to minimize the risk of severe hyperphosphatemia (see sections 4.8 and 4.9). &lt;Regarding the approval&gt; Keep all medicines out of the sight and reach of children. 4.5. Interaction with other medicinal products and other forms of interaction Use with caution in patients taking calcium channel blockers, diuretics, lithium treatment or other medications that might affect electrolyte levels as hyperphosphataemia, hypocalcaemia, hypokalaemia, hypernatraemic dehydration and acidosis may occur (see section 4.4). No other sodium phosphate preparations including sodium phosphate oral solution or tablets should be given concomitantly (see section 4.3). As hypernatraemia is associated with lower lithium levels, concomitant use of sodium phosphate and sodiu</x:v>
      </x:c>
      <x:c r="L40" s="31" t="str">
        <x:v>YES</x:v>
      </x:c>
      <x:c r="M40" s="31" t="str">
        <x:v>YES</x:v>
      </x:c>
    </x:row>
    <x:row r="41">
      <x:c r="A41" s="31" t="str">
        <x:v>lithium</x:v>
      </x:c>
      <x:c r="B41" s="31" t="str">
        <x:v>sodium_phosphate</x:v>
      </x:c>
      <x:c r="C41" s="31" t="str">
        <x:v>moderate</x:v>
      </x:c>
      <x:c r="D41" s="37" t="str">
        <x:v>โปรดสอบถามแพทย์หรือเภสัชกรก่อนใช้ร่วมกัน</x:v>
      </x:c>
      <x:c r="E41" s="37" t="str">
        <x:v>ตรวจพบว่ายาคู่นี้ต้องได้รับการตรวจสอบโดยบุคลากรทางการแพทย์ก่อนใช้ร่วมกัน</x:v>
      </x:c>
      <x:c r="F41" s="31" t="str">
        <x:v>Draft</x:v>
      </x:c>
      <x:c r="G41" s="31" t="str">
        <x:v>r0322_smpc</x:v>
      </x:c>
      <x:c r="H41" s="31" t="str">
        <x:v>SMPC</x:v>
      </x:c>
      <x:c r="I41" s="31" t="n">
        <x:v>6</x:v>
      </x:c>
      <x:c r="J41" s="37" t="str">
        <x:v>https://drug.fda.moph.go.th/media.php?id=810462163935305728&amp;name=SMPC_Sodium phosphate_enema.pdf</x:v>
      </x:c>
      <x:c r="K41" s="37" t="str">
        <x:v>cian who will decide if laboratory tests should be completed in order to detect possible electrolyte abnormalities and to minimize the risk of severe hyperphosphatemia (see sections 4.8 and 4.9). &lt;Regarding the approval&gt; Keep all medicines out of the sight and reach of children. 4.5. Interaction with other medicinal products and other forms of interaction Use with caution in patients taking calcium channel blockers, diuretics, lithium treatment or other medications that might affect electrolyte levels as hyperphosphataemia, hypocalcaemia, hypokalaemia, hypernatraemic dehydration and acidosis may occur (see section 4.4). No other sodium phosphate preparations including sodium phosphate oral solution or tablets should be given concomitantly (see section 4.3). As hypernatraemia is associated with lower lithium levels, concomitant use of sodium phosphate and sodiu</x:v>
      </x:c>
      <x:c r="L41" s="31" t="str">
        <x:v>YES</x:v>
      </x:c>
      <x:c r="M41" s="31" t="str">
        <x:v>YES</x:v>
      </x:c>
    </x:row>
    <x:row r="42">
      <x:c r="A42" s="31" t="str">
        <x:v>magnesium</x:v>
      </x:c>
      <x:c r="B42" s="31" t="str">
        <x:v>ofloxacin</x:v>
      </x:c>
      <x:c r="C42" s="31" t="str">
        <x:v>moderate</x:v>
      </x:c>
      <x:c r="D42" s="37" t="str">
        <x:v>โปรดสอบถามแพทย์หรือเภสัชกรก่อนใช้ร่วมกัน</x:v>
      </x:c>
      <x:c r="E42" s="37" t="str">
        <x:v>ตรวจพบว่ายาคู่นี้ต้องได้รับการตรวจสอบโดยบุคลากรทางการแพทย์ก่อนใช้ร่วมกัน</x:v>
      </x:c>
      <x:c r="F42" s="31" t="str">
        <x:v>Draft</x:v>
      </x:c>
      <x:c r="G42" s="31" t="str">
        <x:v>r0260_smpc</x:v>
      </x:c>
      <x:c r="H42" s="31" t="str">
        <x:v>SMPC</x:v>
      </x:c>
      <x:c r="I42" s="31" t="n">
        <x:v>19</x:v>
      </x:c>
      <x:c r="J42" s="37" t="str">
        <x:v>https://drug.fda.moph.go.th/media.php?id=810425338315284480&amp;name=SMPC_Ofloxacin_Film-coated Tablet.pdf</x:v>
      </x:c>
      <x:c r="K42" s="37" t="str">
        <x:v>rs If vision becomes impaired or any effects on the eyes are experienced, an ophthalmologist should be consulted immediately. Excipient with known effect &lt;REGARDING THE APPROV AL&gt; 4.5. Interaction with other medicinal products and other forms of interaction Antacids, Sucralfate, Metal Cations As with other antibiotics, ofloxacin resorption may decrease if taken concomitantly with antacids containing aluminium (including sucralfate) and magnesium hydroxides, aluminium phosphate, zinc, iron and didanosine chewable/buffered tablets. Therefore, ofloxacin should be taken 2 hours before such preparations.</x:v>
      </x:c>
      <x:c r="L42" s="31" t="str">
        <x:v>YES</x:v>
      </x:c>
      <x:c r="M42" s="31" t="str">
        <x:v>YES</x:v>
      </x:c>
    </x:row>
    <x:row r="43">
      <x:c r="A43" s="31" t="str">
        <x:v>magnesium_trisilicate</x:v>
      </x:c>
      <x:c r="B43" s="31" t="str">
        <x:v>rifampicin</x:v>
      </x:c>
      <x:c r="C43" s="31" t="str">
        <x:v>moderate</x:v>
      </x:c>
      <x:c r="D43" s="37" t="str">
        <x:v>โปรดสอบถามแพทย์หรือเภสัชกรก่อนใช้ร่วมกัน</x:v>
      </x:c>
      <x:c r="E43" s="37" t="str">
        <x:v>ตรวจพบว่ายาคู่นี้ต้องได้รับการตรวจสอบโดยบุคลากรทางการแพทย์ก่อนใช้ร่วมกัน</x:v>
      </x:c>
      <x:c r="F43" s="31" t="str">
        <x:v>Draft</x:v>
      </x:c>
      <x:c r="G43" s="31" t="str">
        <x:v>r0218_smpc</x:v>
      </x:c>
      <x:c r="H43" s="31" t="str">
        <x:v>SMPC</x:v>
      </x:c>
      <x:c r="I43" s="31" t="n">
        <x:v>2</x:v>
      </x:c>
      <x:c r="J43" s="37" t="str">
        <x:v>https://drug.fda.moph.go.th/media.php?id=810407998043332608&amp;name=SMPC_Magnesium trisilicate_Tablets.pdf</x:v>
      </x:c>
      <x:c r="K43" s="37" t="str">
        <x:v>oms persist for longer than 7 days, consult your doctor. Patients with rare hereditary problems of fructose or galactose intolerance, the LAPP lactase deficiency, glucose-galactose malabsorption or sucrase-isomaltase insufficiency should not take this medicine. 4.5. Interaction with other medicinal products and other forms of interaction Concurrent administration of antacids reduces the absorption of ciprofloxacin, pivampicillin, rifampicin, most tetracyclines, itraconazole, ketoconazole, chloroquine, hydroxychloroquine, phenothiazines, phenytoin, oral iron, penicillamine and diflunisal. Concurrent use of antacids reduces the effectiveness of the ulcer healing drug sucralfate.</x:v>
      </x:c>
      <x:c r="L43" s="31" t="str">
        <x:v>YES</x:v>
      </x:c>
      <x:c r="M43" s="31" t="str">
        <x:v>YES</x:v>
      </x:c>
    </x:row>
    <x:row r="44">
      <x:c r="A44" s="31" t="str">
        <x:v>ofloxacin</x:v>
      </x:c>
      <x:c r="B44" s="31" t="str">
        <x:v>sucralfate</x:v>
      </x:c>
      <x:c r="C44" s="31" t="str">
        <x:v>moderate</x:v>
      </x:c>
      <x:c r="D44" s="37" t="str">
        <x:v>โปรดสอบถามแพทย์หรือเภสัชกรก่อนใช้ร่วมกัน</x:v>
      </x:c>
      <x:c r="E44" s="37" t="str">
        <x:v>ตรวจพบว่ายาคู่นี้ต้องได้รับการตรวจสอบโดยบุคลากรทางการแพทย์ก่อนใช้ร่วมกัน</x:v>
      </x:c>
      <x:c r="F44" s="31" t="str">
        <x:v>Draft</x:v>
      </x:c>
      <x:c r="G44" s="31" t="str">
        <x:v>r0260_smpc</x:v>
      </x:c>
      <x:c r="H44" s="31" t="str">
        <x:v>SMPC</x:v>
      </x:c>
      <x:c r="I44" s="31" t="n">
        <x:v>19</x:v>
      </x:c>
      <x:c r="J44" s="37" t="str">
        <x:v>https://drug.fda.moph.go.th/media.php?id=810425338315284480&amp;name=SMPC_Ofloxacin_Film-coated Tablet.pdf</x:v>
      </x:c>
      <x:c r="K44" s="37" t="str">
        <x:v>ults. It may be necessary to confirm positive opiate or porphyrin screens by more specific methods. Cross-resistance with various quinolones has been shown. Vision disorders If vision becomes impaired or any effects on the eyes are experienced, an ophthalmologist should be consulted immediately. Excipient with known effect &lt;REGARDING THE APPROV AL&gt; 4.5. Interaction with other medicinal products and other forms of interaction Antacids, Sucralfate, Metal Cations As with other antibiotics, ofloxacin resorption may decrease if taken concomitantly with antacids containing aluminium (including sucralfate) and magnesium hydroxides, aluminium phosphate, zinc, iron and didanosine chewable/buffered tablets. Therefore, ofloxacin should be taken 2 hours before such preparations.</x:v>
      </x:c>
      <x:c r="L44" s="31" t="str">
        <x:v>YES</x:v>
      </x:c>
      <x:c r="M44" s="31" t="str">
        <x:v>YES</x:v>
      </x:c>
    </x:row>
    <x:row r="45">
      <x:c r="A45" s="31" t="str">
        <x:v>ofloxacin</x:v>
      </x:c>
      <x:c r="B45" s="31" t="str">
        <x:v>zinc</x:v>
      </x:c>
      <x:c r="C45" s="31" t="str">
        <x:v>moderate</x:v>
      </x:c>
      <x:c r="D45" s="37" t="str">
        <x:v>โปรดสอบถามแพทย์หรือเภสัชกรก่อนใช้ร่วมกัน</x:v>
      </x:c>
      <x:c r="E45" s="37" t="str">
        <x:v>ตรวจพบว่ายาคู่นี้ต้องได้รับการตรวจสอบโดยบุคลากรทางการแพทย์ก่อนใช้ร่วมกัน</x:v>
      </x:c>
      <x:c r="F45" s="31" t="str">
        <x:v>Draft</x:v>
      </x:c>
      <x:c r="G45" s="31" t="str">
        <x:v>r0260_smpc</x:v>
      </x:c>
      <x:c r="H45" s="31" t="str">
        <x:v>SMPC</x:v>
      </x:c>
      <x:c r="I45" s="31" t="n">
        <x:v>19</x:v>
      </x:c>
      <x:c r="J45" s="37" t="str">
        <x:v>https://drug.fda.moph.go.th/media.php?id=810425338315284480&amp;name=SMPC_Ofloxacin_Film-coated Tablet.pdf</x:v>
      </x:c>
      <x:c r="K45" s="37" t="str">
        <x:v>ts on the eyes are experienced, an ophthalmologist should be consulted immediately. Excipient with known effect &lt;REGARDING THE APPROV AL&gt; 4.5. Interaction with other medicinal products and other forms of interaction Antacids, Sucralfate, Metal Cations As with other antibiotics, ofloxacin resorption may decrease if taken concomitantly with antacids containing aluminium (including sucralfate) and magnesium hydroxides, aluminium phosphate, zinc, iron and didanosine chewable/buffered tablets. Therefore, ofloxacin should be taken 2 hours before such preparations.</x:v>
      </x:c>
      <x:c r="L45" s="31" t="str">
        <x:v>YES</x:v>
      </x:c>
      <x:c r="M45" s="31" t="str">
        <x:v>YES</x:v>
      </x:c>
    </x:row>
    <x:row r="46">
      <x:c r="A46" s="31" t="str">
        <x:v>rifampicin</x:v>
      </x:c>
      <x:c r="B46" s="31" t="str">
        <x:v>zidovudine</x:v>
      </x:c>
      <x:c r="C46" s="31" t="str">
        <x:v>moderate</x:v>
      </x:c>
      <x:c r="D46" s="37" t="str">
        <x:v>โปรดสอบถามแพทย์หรือเภสัชกรก่อนใช้ร่วมกัน</x:v>
      </x:c>
      <x:c r="E46" s="37" t="str">
        <x:v>ตรวจพบว่ายาคู่นี้ต้องได้รับการตรวจสอบโดยบุคลากรทางการแพทย์ก่อนใช้ร่วมกัน</x:v>
      </x:c>
      <x:c r="F46" s="31" t="str">
        <x:v>Draft</x:v>
      </x:c>
      <x:c r="G46" s="31" t="str">
        <x:v>r0364_smpc</x:v>
      </x:c>
      <x:c r="H46" s="31" t="str">
        <x:v>SMPC</x:v>
      </x:c>
      <x:c r="I46" s="31" t="n">
        <x:v>8</x:v>
      </x:c>
      <x:c r="J46" s="37" t="str">
        <x:v>https://drug.fda.moph.go.th/media.php?id=810494978483691520&amp;name=SMPC_Zidovudine_Capsules.pdf</x:v>
      </x:c>
      <x:c r="K46" s="37" t="str">
        <x:v>hey experience joint aches and pain, joint stiffness or difficulty in movement. Patients co -infected with hepatitis C virus: The concomitant use of ribavirin with zidovudine is not recommended due to an increased risk of anaemia (see section 4.5). Excipient information &lt;REGARDING THE APPROVAL&gt; 4.5. Interaction with other medicinal products and other forms of interaction Limited data suggests that co -administration of zidovudine with rifampicin decreases the AUC (area under the plasma concentration curve) of zidovudine by 48% ± 34%. This may result in a partial loss or total loss of efficacy of zidovudine. The concomitant use of rifampicin with zidovudine should be avoided (see section 4.4). Zidovudine in combination with stavudine is antagonistic in vitro. The concomitant use of stavudine with zidovudine should be avoided (see section 4.4). Probenecid increases the AUC of zidov</x:v>
      </x:c>
      <x:c r="L46" s="31" t="str">
        <x:v>YES</x:v>
      </x:c>
      <x:c r="M46" s="31" t="str">
        <x:v>YES</x:v>
      </x:c>
    </x:row>
    <x:row r="47">
      <x:c r="A47" s="31" t="str">
        <x:v>tetracycline</x:v>
      </x:c>
      <x:c r="B47" s="31" t="str">
        <x:v>tretinoin</x:v>
      </x:c>
      <x:c r="C47" s="31" t="str">
        <x:v>moderate</x:v>
      </x:c>
      <x:c r="D47" s="37" t="str">
        <x:v>โปรดสอบถามแพทย์หรือเภสัชกรก่อนใช้ร่วมกัน</x:v>
      </x:c>
      <x:c r="E47" s="37" t="str">
        <x:v>ตรวจพบว่ายาคู่นี้ต้องได้รับการตรวจสอบโดยบุคลากรทางการแพทย์ก่อนใช้ร่วมกัน</x:v>
      </x:c>
      <x:c r="F47" s="31" t="str">
        <x:v>Draft</x:v>
      </x:c>
      <x:c r="G47" s="31" t="str">
        <x:v>r0338_smpc</x:v>
      </x:c>
      <x:c r="H47" s="31" t="str">
        <x:v>SMPC</x:v>
      </x:c>
      <x:c r="I47" s="31" t="n">
        <x:v>6</x:v>
      </x:c>
      <x:c r="J47" s="37" t="str">
        <x:v>https://drug.fda.moph.go.th/media.php?id=810476861875429376&amp;name=SMPC_Tetracycline_Tablets.pdf</x:v>
      </x:c>
      <x:c r="K47" s="37" t="str">
        <x:v>roducts. Since tetracycline has been shown to depress plasma prothrombin activity, patients who are on anticoagulant therapy may require a downward adjustment of their anticoagulant dosage. Tetracycline may prolong the action of coumarin anticoagulants. Plasma-atovaquone concentration is reduced by tetracycline There is a possible increased risk of benign intracranial hypertension with tetracyclines and retinoids (acitretin, isotretinoin, tretinoin). Concomitant use should be avoided. Antidiarrhoeal preparations such as kaolin -pectin and bismuth subsalicylate hinder absorption of tetracyclines. Combination of tetracyclines with diuretics may be detrimental to renal function and may aggravate nephrotoxicity by volume depletion. Since bacteriostatic drugs may interfere with the bactericidal action of penicillin, it is advisable to avoid giving tetracycline in conjunction with penici</x:v>
      </x:c>
      <x:c r="L47" s="31" t="str">
        <x:v>YES</x:v>
      </x:c>
      <x:c r="M47" s="31" t="str">
        <x:v>YES</x:v>
      </x:c>
    </x:row>
    <x:row r="48">
      <x:c r="A48" s="31" t="str">
        <x:v>trimethoprim_sulfamethoxazole</x:v>
      </x:c>
      <x:c r="B48" s="31" t="str">
        <x:v>zidovudine</x:v>
      </x:c>
      <x:c r="C48" s="31" t="str">
        <x:v>moderate</x:v>
      </x:c>
      <x:c r="D48" s="37" t="str">
        <x:v>โปรดสอบถามแพทย์หรือเภสัชกรก่อนใช้ร่วมกัน</x:v>
      </x:c>
      <x:c r="E48" s="37" t="str">
        <x:v>ตรวจพบว่ายาคู่นี้ต้องได้รับการตรวจสอบโดยบุคลากรทางการแพทย์ก่อนใช้ร่วมกัน</x:v>
      </x:c>
      <x:c r="F48" s="31" t="str">
        <x:v>Draft</x:v>
      </x:c>
      <x:c r="G48" s="31" t="str">
        <x:v>r0358_smpc</x:v>
      </x:c>
      <x:c r="H48" s="31" t="str">
        <x:v>SMPC</x:v>
      </x:c>
      <x:c r="I48" s="31" t="n">
        <x:v>9</x:v>
      </x:c>
      <x:c r="J48" s="37" t="str">
        <x:v>https://drug.fda.moph.go.th/media.php?id=810494133834752000&amp;name=SMPC_Trimethoprim + Sulfamethoxazole_Solution for Infusion.pdf</x:v>
      </x:c>
      <x:c r="K48" s="37" t="str">
        <x:v>dicinal products and other forms of interaction Interaction with laboratory tests: Trimethoprim may interfere with the estimation of serum/plasma creatinine when the alkaline picrate reaction is used. This may result in overestimation of serum/plasma creatinine of the order of 10%. The creatinine clearance is reduced: the renal tubular secretion of creatinine is decreased from 23% to 9% whilst the glomerular filtration remains unchanged. Zidovudine: in some situations, concomitant treatment with zidovudine may increase the risk of haematological adverse reactions to co - trimoxazole. If concomitant treatment is necessary, consideration should be given to monitoring of haematological parameters. Cyclosporin: reversible deterioration in renal function has been observed in patients treated with co -trimoxazole and ciclosporin following renal transplantation. Rifampicin: concurrent use o</x:v>
      </x:c>
      <x:c r="L48" s="31" t="str">
        <x:v>YES</x:v>
      </x:c>
      <x:c r="M48" s="31" t="str">
        <x:v>YES</x:v>
      </x:c>
    </x:row>
  </x:sheetData>
  <x:pageMargins left="0.7" right="0.7" top="0.75" bottom="0.75" header="0.3" footer="0.3"/>
  <x:tableParts count="1">
    <x:tablePart xmlns:r="http://schemas.openxmlformats.org/officeDocument/2006/relationships" r:id="Rbd0a5c865aa6417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2" hidden="0" customWidth="1"/>
    <x:col min="4" max="4" width="42" hidden="0" customWidth="1"/>
    <x:col min="5" max="5" width="62" hidden="0" customWidth="1"/>
    <x:col min="6" max="6" width="58" hidden="0" customWidth="1"/>
    <x:col min="7" max="7" width="12" hidden="0" customWidth="1"/>
    <x:col min="8" max="8" width="62" hidden="0" customWidth="1"/>
    <x:col min="9" max="9" width="55" hidden="0" customWidth="1"/>
    <x:col min="10" max="10" width="20" hidden="0" customWidth="1"/>
    <x:col min="11" max="11" width="12" hidden="0" customWidth="1"/>
    <x:col min="12" max="12" width="58" hidden="0" customWidth="1"/>
  </x:cols>
  <x:sheetData>
    <x:row r="1" ht="30" customHeight="1">
      <x:c r="A1" s="36" t="str">
        <x:v>drug_1</x:v>
      </x:c>
      <x:c r="B1" s="36" t="str">
        <x:v>drug_2</x:v>
      </x:c>
      <x:c r="C1" s="36" t="str">
        <x:v>severity</x:v>
      </x:c>
      <x:c r="D1" s="36" t="str">
        <x:v>title_th</x:v>
      </x:c>
      <x:c r="E1" s="36" t="str">
        <x:v>description_th</x:v>
      </x:c>
      <x:c r="F1" s="36" t="str">
        <x:v>advice_th</x:v>
      </x:c>
      <x:c r="G1" s="36" t="str">
        <x:v>status</x:v>
      </x:c>
      <x:c r="H1" s="36" t="str">
        <x:v>source_references</x:v>
      </x:c>
      <x:c r="I1" s="36" t="str">
        <x:v>review_notes</x:v>
      </x:c>
      <x:c r="J1" s="36" t="str">
        <x:v>source_document_id</x:v>
      </x:c>
      <x:c r="K1" s="36" t="str">
        <x:v>source_page</x:v>
      </x:c>
      <x:c r="L1" s="36" t="str">
        <x:v>source_url</x:v>
      </x:c>
    </x:row>
    <x:row r="2">
      <x:c r="A2" s="31" t="str">
        <x:v>albendazole</x:v>
      </x:c>
      <x:c r="B2" s="31" t="str">
        <x:v>carbamazepine</x:v>
      </x:c>
      <x:c r="C2" s="39" t="str">
        <x:v>moderate</x:v>
      </x:c>
      <x:c r="D2" s="37" t="str">
        <x:v>โปรดสอบถามแพทย์หรือเภสัชกรก่อนใช้ร่วมกัน</x:v>
      </x:c>
      <x:c r="E2" s="37" t="str">
        <x:v>ตรวจพบว่ายาคู่นี้ต้องได้รับการตรวจสอบก่อนใช้ร่วมกัน ระบบไม่แสดงรายละเอียดผลกระทบเพื่อความปลอดภัย</x:v>
      </x:c>
      <x:c r="F2" s="37" t="str">
        <x:v>อย่ารับประทานยาคู่นี้ร่วมกันจนกว่าจะได้รับคำแนะนำจากแพทย์หรือเภสัชกร</x:v>
      </x:c>
      <x:c r="G2" s="31" t="str">
        <x:v>draft</x:v>
      </x:c>
      <x:c r="H2" s="37" t="str">
        <x:v>["Thai FDA SMPC r0012_smpc page 8 | https://drug.fda.moph.go.th/media.php?id=809599347237986304&amp;name=SMPC_albendazole_tablet.pdf"]</x:v>
      </x:c>
      <x:c r="I2" s="38" t="str">
        <x:v>Import batch thai_fda_20260718_v1: ต้องให้ Clinical reviewer ตรวจหลักฐานใน Clinical_Evidence ก่อนเผยแพร่</x:v>
      </x:c>
      <x:c r="J2" s="31" t="str">
        <x:v>r0012_smpc</x:v>
      </x:c>
      <x:c r="K2" s="31" t="n">
        <x:v>8</x:v>
      </x:c>
      <x:c r="L2" s="37" t="str">
        <x:v>https://drug.fda.moph.go.th/media.php?id=809599347237986304&amp;name=SMPC_albendazole_tablet.pdf</x:v>
      </x:c>
    </x:row>
    <x:row r="3">
      <x:c r="A3" s="31" t="str">
        <x:v>albendazole</x:v>
      </x:c>
      <x:c r="B3" s="31" t="str">
        <x:v>cimetidine</x:v>
      </x:c>
      <x:c r="C3" s="39" t="str">
        <x:v>moderate</x:v>
      </x:c>
      <x:c r="D3" s="37" t="str">
        <x:v>โปรดสอบถามแพทย์หรือเภสัชกรก่อนใช้ร่วมกัน</x:v>
      </x:c>
      <x:c r="E3" s="37" t="str">
        <x:v>ตรวจพบว่ายาคู่นี้ต้องได้รับการตรวจสอบก่อนใช้ร่วมกัน ระบบไม่แสดงรายละเอียดผลกระทบเพื่อความปลอดภัย</x:v>
      </x:c>
      <x:c r="F3" s="37" t="str">
        <x:v>อย่ารับประทานยาคู่นี้ร่วมกันจนกว่าจะได้รับคำแนะนำจากแพทย์หรือเภสัชกร</x:v>
      </x:c>
      <x:c r="G3" s="31" t="str">
        <x:v>draft</x:v>
      </x:c>
      <x:c r="H3" s="37" t="str">
        <x:v>["Thai FDA SMPC r0012_smpc page 8 | https://drug.fda.moph.go.th/media.php?id=809599347237986304&amp;name=SMPC_albendazole_tablet.pdf"]</x:v>
      </x:c>
      <x:c r="I3" s="38" t="str">
        <x:v>Import batch thai_fda_20260718_v1: ต้องให้ Clinical reviewer ตรวจหลักฐานใน Clinical_Evidence ก่อนเผยแพร่</x:v>
      </x:c>
      <x:c r="J3" s="31" t="str">
        <x:v>r0012_smpc</x:v>
      </x:c>
      <x:c r="K3" s="31" t="n">
        <x:v>8</x:v>
      </x:c>
      <x:c r="L3" s="37" t="str">
        <x:v>https://drug.fda.moph.go.th/media.php?id=809599347237986304&amp;name=SMPC_albendazole_tablet.pdf</x:v>
      </x:c>
    </x:row>
    <x:row r="4">
      <x:c r="A4" s="31" t="str">
        <x:v>albendazole</x:v>
      </x:c>
      <x:c r="B4" s="31" t="str">
        <x:v>dexamethasone</x:v>
      </x:c>
      <x:c r="C4" s="39" t="str">
        <x:v>moderate</x:v>
      </x:c>
      <x:c r="D4" s="37" t="str">
        <x:v>โปรดสอบถามแพทย์หรือเภสัชกรก่อนใช้ร่วมกัน</x:v>
      </x:c>
      <x:c r="E4" s="37" t="str">
        <x:v>ตรวจพบว่ายาคู่นี้ต้องได้รับการตรวจสอบก่อนใช้ร่วมกัน ระบบไม่แสดงรายละเอียดผลกระทบเพื่อความปลอดภัย</x:v>
      </x:c>
      <x:c r="F4" s="37" t="str">
        <x:v>อย่ารับประทานยาคู่นี้ร่วมกันจนกว่าจะได้รับคำแนะนำจากแพทย์หรือเภสัชกร</x:v>
      </x:c>
      <x:c r="G4" s="31" t="str">
        <x:v>draft</x:v>
      </x:c>
      <x:c r="H4" s="37" t="str">
        <x:v>["Thai FDA SMPC r0012_smpc page 8 | https://drug.fda.moph.go.th/media.php?id=809599347237986304&amp;name=SMPC_albendazole_tablet.pdf"]</x:v>
      </x:c>
      <x:c r="I4" s="38" t="str">
        <x:v>Import batch thai_fda_20260718_v1: ต้องให้ Clinical reviewer ตรวจหลักฐานใน Clinical_Evidence ก่อนเผยแพร่</x:v>
      </x:c>
      <x:c r="J4" s="31" t="str">
        <x:v>r0012_smpc</x:v>
      </x:c>
      <x:c r="K4" s="31" t="n">
        <x:v>8</x:v>
      </x:c>
      <x:c r="L4" s="37" t="str">
        <x:v>https://drug.fda.moph.go.th/media.php?id=809599347237986304&amp;name=SMPC_albendazole_tablet.pdf</x:v>
      </x:c>
    </x:row>
    <x:row r="5">
      <x:c r="A5" s="31" t="str">
        <x:v>amitriptyline</x:v>
      </x:c>
      <x:c r="B5" s="31" t="str">
        <x:v>tramadol</x:v>
      </x:c>
      <x:c r="C5" s="39" t="str">
        <x:v>moderate</x:v>
      </x:c>
      <x:c r="D5" s="37" t="str">
        <x:v>โปรดสอบถามแพทย์หรือเภสัชกรก่อนใช้ร่วมกัน</x:v>
      </x:c>
      <x:c r="E5" s="37" t="str">
        <x:v>ตรวจพบว่ายาคู่นี้ต้องได้รับการตรวจสอบก่อนใช้ร่วมกัน ระบบไม่แสดงรายละเอียดผลกระทบเพื่อความปลอดภัย</x:v>
      </x:c>
      <x:c r="F5" s="37" t="str">
        <x:v>อย่ารับประทานยาคู่นี้ร่วมกันจนกว่าจะได้รับคำแนะนำจากแพทย์หรือเภสัชกร</x:v>
      </x:c>
      <x:c r="G5" s="31" t="str">
        <x:v>draft</x:v>
      </x:c>
      <x:c r="H5" s="37" t="str">
        <x:v>["Thai FDA SMPC r0020_smpc page 9 | https://drug.fda.moph.go.th/media.php?id=809652580375470080&amp;name=SMPC_Amitriptyline_Tablets.pdf"]</x:v>
      </x:c>
      <x:c r="I5" s="38" t="str">
        <x:v>Import batch thai_fda_20260718_v1: ต้องให้ Clinical reviewer ตรวจหลักฐานใน Clinical_Evidence ก่อนเผยแพร่</x:v>
      </x:c>
      <x:c r="J5" s="31" t="str">
        <x:v>r0020_smpc</x:v>
      </x:c>
      <x:c r="K5" s="31" t="n">
        <x:v>9</x:v>
      </x:c>
      <x:c r="L5" s="37" t="str">
        <x:v>https://drug.fda.moph.go.th/media.php?id=809652580375470080&amp;name=SMPC_Amitriptyline_Tablets.pdf</x:v>
      </x:c>
    </x:row>
    <x:row r="6">
      <x:c r="A6" s="31" t="str">
        <x:v>amoxicillin</x:v>
      </x:c>
      <x:c r="B6" s="31" t="str">
        <x:v>tetracycline</x:v>
      </x:c>
      <x:c r="C6" s="39" t="str">
        <x:v>moderate</x:v>
      </x:c>
      <x:c r="D6" s="37" t="str">
        <x:v>โปรดสอบถามแพทย์หรือเภสัชกรก่อนใช้ร่วมกัน</x:v>
      </x:c>
      <x:c r="E6" s="37" t="str">
        <x:v>ตรวจพบว่ายาคู่นี้ต้องได้รับการตรวจสอบก่อนใช้ร่วมกัน ระบบไม่แสดงรายละเอียดผลกระทบเพื่อความปลอดภัย</x:v>
      </x:c>
      <x:c r="F6" s="37" t="str">
        <x:v>อย่ารับประทานยาคู่นี้ร่วมกันจนกว่าจะได้รับคำแนะนำจากแพทย์หรือเภสัชกร</x:v>
      </x:c>
      <x:c r="G6" s="31" t="str">
        <x:v>draft</x:v>
      </x:c>
      <x:c r="H6" s="37" t="str">
        <x:v>["Thai FDA SMPC r0022_smpc page 10 | https://drug.fda.moph.go.th/media.php?id=809653143766966272&amp;name=SMPC_Amoxicillin_Dry syrup.pdf"]</x:v>
      </x:c>
      <x:c r="I6" s="38" t="str">
        <x:v>Import batch thai_fda_20260718_v1: ต้องให้ Clinical reviewer ตรวจหลักฐานใน Clinical_Evidence ก่อนเผยแพร่</x:v>
      </x:c>
      <x:c r="J6" s="31" t="str">
        <x:v>r0022_smpc</x:v>
      </x:c>
      <x:c r="K6" s="31" t="n">
        <x:v>10</x:v>
      </x:c>
      <x:c r="L6" s="37" t="str">
        <x:v>https://drug.fda.moph.go.th/media.php?id=809653143766966272&amp;name=SMPC_Amoxicillin_Dry syrup.pdf</x:v>
      </x:c>
    </x:row>
    <x:row r="7">
      <x:c r="A7" s="31" t="str">
        <x:v>bisoprolol</x:v>
      </x:c>
      <x:c r="B7" s="31" t="str">
        <x:v>diltiazem</x:v>
      </x:c>
      <x:c r="C7" s="39" t="str">
        <x:v>moderate</x:v>
      </x:c>
      <x:c r="D7" s="37" t="str">
        <x:v>โปรดสอบถามแพทย์หรือเภสัชกรก่อนใช้ร่วมกัน</x:v>
      </x:c>
      <x:c r="E7" s="37" t="str">
        <x:v>ตรวจพบว่ายาคู่นี้ต้องได้รับการตรวจสอบก่อนใช้ร่วมกัน ระบบไม่แสดงรายละเอียดผลกระทบเพื่อความปลอดภัย</x:v>
      </x:c>
      <x:c r="F7" s="37" t="str">
        <x:v>อย่ารับประทานยาคู่นี้ร่วมกันจนกว่าจะได้รับคำแนะนำจากแพทย์หรือเภสัชกร</x:v>
      </x:c>
      <x:c r="G7" s="31" t="str">
        <x:v>draft</x:v>
      </x:c>
      <x:c r="H7" s="37" t="str">
        <x:v>["Thai FDA SMPC r0438_smpc page 8 | https://drug.fda.moph.go.th/media.php?id=904966131876503552&amp;name=6. Ref SmPC_Bisoprolol.pdf"]</x:v>
      </x:c>
      <x:c r="I7" s="38" t="str">
        <x:v>Import batch thai_fda_20260718_v1: ต้องให้ Clinical reviewer ตรวจหลักฐานใน Clinical_Evidence ก่อนเผยแพร่</x:v>
      </x:c>
      <x:c r="J7" s="31" t="str">
        <x:v>r0438_smpc</x:v>
      </x:c>
      <x:c r="K7" s="31" t="n">
        <x:v>8</x:v>
      </x:c>
      <x:c r="L7" s="37" t="str">
        <x:v>https://drug.fda.moph.go.th/media.php?id=904966131876503552&amp;name=6. Ref SmPC_Bisoprolol.pdf</x:v>
      </x:c>
    </x:row>
    <x:row r="8">
      <x:c r="A8" s="31" t="str">
        <x:v>bisoprolol</x:v>
      </x:c>
      <x:c r="B8" s="31" t="str">
        <x:v>lidocaine</x:v>
      </x:c>
      <x:c r="C8" s="39" t="str">
        <x:v>moderate</x:v>
      </x:c>
      <x:c r="D8" s="37" t="str">
        <x:v>โปรดสอบถามแพทย์หรือเภสัชกรก่อนใช้ร่วมกัน</x:v>
      </x:c>
      <x:c r="E8" s="37" t="str">
        <x:v>ตรวจพบว่ายาคู่นี้ต้องได้รับการตรวจสอบก่อนใช้ร่วมกัน ระบบไม่แสดงรายละเอียดผลกระทบเพื่อความปลอดภัย</x:v>
      </x:c>
      <x:c r="F8" s="37" t="str">
        <x:v>อย่ารับประทานยาคู่นี้ร่วมกันจนกว่าจะได้รับคำแนะนำจากแพทย์หรือเภสัชกร</x:v>
      </x:c>
      <x:c r="G8" s="31" t="str">
        <x:v>draft</x:v>
      </x:c>
      <x:c r="H8" s="37" t="str">
        <x:v>["Thai FDA SMPC r0438_smpc page 8 | https://drug.fda.moph.go.th/media.php?id=904966131876503552&amp;name=6. Ref SmPC_Bisoprolol.pdf"]</x:v>
      </x:c>
      <x:c r="I8" s="38" t="str">
        <x:v>Import batch thai_fda_20260718_v1: ต้องให้ Clinical reviewer ตรวจหลักฐานใน Clinical_Evidence ก่อนเผยแพร่</x:v>
      </x:c>
      <x:c r="J8" s="31" t="str">
        <x:v>r0438_smpc</x:v>
      </x:c>
      <x:c r="K8" s="31" t="n">
        <x:v>8</x:v>
      </x:c>
      <x:c r="L8" s="37" t="str">
        <x:v>https://drug.fda.moph.go.th/media.php?id=904966131876503552&amp;name=6. Ref SmPC_Bisoprolol.pdf</x:v>
      </x:c>
    </x:row>
    <x:row r="9">
      <x:c r="A9" s="31" t="str">
        <x:v>bisoprolol</x:v>
      </x:c>
      <x:c r="B9" s="31" t="str">
        <x:v>verapamil</x:v>
      </x:c>
      <x:c r="C9" s="39" t="str">
        <x:v>moderate</x:v>
      </x:c>
      <x:c r="D9" s="37" t="str">
        <x:v>โปรดสอบถามแพทย์หรือเภสัชกรก่อนใช้ร่วมกัน</x:v>
      </x:c>
      <x:c r="E9" s="37" t="str">
        <x:v>ตรวจพบว่ายาคู่นี้ต้องได้รับการตรวจสอบก่อนใช้ร่วมกัน ระบบไม่แสดงรายละเอียดผลกระทบเพื่อความปลอดภัย</x:v>
      </x:c>
      <x:c r="F9" s="37" t="str">
        <x:v>อย่ารับประทานยาคู่นี้ร่วมกันจนกว่าจะได้รับคำแนะนำจากแพทย์หรือเภสัชกร</x:v>
      </x:c>
      <x:c r="G9" s="31" t="str">
        <x:v>draft</x:v>
      </x:c>
      <x:c r="H9" s="37" t="str">
        <x:v>["Thai FDA SMPC r0438_smpc page 8 | https://drug.fda.moph.go.th/media.php?id=904966131876503552&amp;name=6. Ref SmPC_Bisoprolol.pdf"]</x:v>
      </x:c>
      <x:c r="I9" s="38" t="str">
        <x:v>Import batch thai_fda_20260718_v1: ต้องให้ Clinical reviewer ตรวจหลักฐานใน Clinical_Evidence ก่อนเผยแพร่</x:v>
      </x:c>
      <x:c r="J9" s="31" t="str">
        <x:v>r0438_smpc</x:v>
      </x:c>
      <x:c r="K9" s="31" t="n">
        <x:v>8</x:v>
      </x:c>
      <x:c r="L9" s="37" t="str">
        <x:v>https://drug.fda.moph.go.th/media.php?id=904966131876503552&amp;name=6. Ref SmPC_Bisoprolol.pdf</x:v>
      </x:c>
    </x:row>
    <x:row r="10">
      <x:c r="A10" s="31" t="str">
        <x:v>bromocriptine</x:v>
      </x:c>
      <x:c r="B10" s="31" t="str">
        <x:v>chlorpromazine</x:v>
      </x:c>
      <x:c r="C10" s="39" t="str">
        <x:v>moderate</x:v>
      </x:c>
      <x:c r="D10" s="37" t="str">
        <x:v>โปรดสอบถามแพทย์หรือเภสัชกรก่อนใช้ร่วมกัน</x:v>
      </x:c>
      <x:c r="E10" s="37" t="str">
        <x:v>ตรวจพบว่ายาคู่นี้ต้องได้รับการตรวจสอบก่อนใช้ร่วมกัน ระบบไม่แสดงรายละเอียดผลกระทบเพื่อความปลอดภัย</x:v>
      </x:c>
      <x:c r="F10" s="37" t="str">
        <x:v>อย่ารับประทานยาคู่นี้ร่วมกันจนกว่าจะได้รับคำแนะนำจากแพทย์หรือเภสัชกร</x:v>
      </x:c>
      <x:c r="G10" s="31" t="str">
        <x:v>draft</x:v>
      </x:c>
      <x:c r="H10" s="37" t="str">
        <x:v>["Thai FDA SMPC r0066_smpc page 9 | https://drug.fda.moph.go.th/media.php?id=809674435173949440&amp;name=SMPC_Chlorpromazine_Capsules.pdf"]</x:v>
      </x:c>
      <x:c r="I10" s="38" t="str">
        <x:v>Import batch thai_fda_20260718_v1: ต้องให้ Clinical reviewer ตรวจหลักฐานใน Clinical_Evidence ก่อนเผยแพร่</x:v>
      </x:c>
      <x:c r="J10" s="31" t="str">
        <x:v>r0066_smpc</x:v>
      </x:c>
      <x:c r="K10" s="31" t="n">
        <x:v>9</x:v>
      </x:c>
      <x:c r="L10" s="37" t="str">
        <x:v>https://drug.fda.moph.go.th/media.php?id=809674435173949440&amp;name=SMPC_Chlorpromazine_Capsules.pdf</x:v>
      </x:c>
    </x:row>
    <x:row r="11">
      <x:c r="A11" s="31" t="str">
        <x:v>captopril</x:v>
      </x:c>
      <x:c r="B11" s="31" t="str">
        <x:v>lithium</x:v>
      </x:c>
      <x:c r="C11" s="39" t="str">
        <x:v>moderate</x:v>
      </x:c>
      <x:c r="D11" s="37" t="str">
        <x:v>โปรดสอบถามแพทย์หรือเภสัชกรก่อนใช้ร่วมกัน</x:v>
      </x:c>
      <x:c r="E11" s="37" t="str">
        <x:v>ตรวจพบว่ายาคู่นี้ต้องได้รับการตรวจสอบก่อนใช้ร่วมกัน ระบบไม่แสดงรายละเอียดผลกระทบเพื่อความปลอดภัย</x:v>
      </x:c>
      <x:c r="F11" s="37" t="str">
        <x:v>อย่ารับประทานยาคู่นี้ร่วมกันจนกว่าจะได้รับคำแนะนำจากแพทย์หรือเภสัชกร</x:v>
      </x:c>
      <x:c r="G11" s="31" t="str">
        <x:v>draft</x:v>
      </x:c>
      <x:c r="H11" s="37" t="str">
        <x:v>["Thai FDA SMPC r0044_smpc page 9 | https://drug.fda.moph.go.th/media.php?id=809664599430406144&amp;name=SMPC_Captopril_tablets.pdf"]</x:v>
      </x:c>
      <x:c r="I11" s="38" t="str">
        <x:v>Import batch thai_fda_20260718_v1: ต้องให้ Clinical reviewer ตรวจหลักฐานใน Clinical_Evidence ก่อนเผยแพร่</x:v>
      </x:c>
      <x:c r="J11" s="31" t="str">
        <x:v>r0044_smpc</x:v>
      </x:c>
      <x:c r="K11" s="31" t="n">
        <x:v>9</x:v>
      </x:c>
      <x:c r="L11" s="37" t="str">
        <x:v>https://drug.fda.moph.go.th/media.php?id=809664599430406144&amp;name=SMPC_Captopril_tablets.pdf</x:v>
      </x:c>
    </x:row>
    <x:row r="12">
      <x:c r="A12" s="31" t="str">
        <x:v>carbamazepine</x:v>
      </x:c>
      <x:c r="B12" s="31" t="str">
        <x:v>tramadol</x:v>
      </x:c>
      <x:c r="C12" s="39" t="str">
        <x:v>moderate</x:v>
      </x:c>
      <x:c r="D12" s="37" t="str">
        <x:v>โปรดสอบถามแพทย์หรือเภสัชกรก่อนใช้ร่วมกัน</x:v>
      </x:c>
      <x:c r="E12" s="37" t="str">
        <x:v>ตรวจพบว่ายาคู่นี้ต้องได้รับการตรวจสอบก่อนใช้ร่วมกัน ระบบไม่แสดงรายละเอียดผลกระทบเพื่อความปลอดภัย</x:v>
      </x:c>
      <x:c r="F12" s="37" t="str">
        <x:v>อย่ารับประทานยาคู่นี้ร่วมกันจนกว่าจะได้รับคำแนะนำจากแพทย์หรือเภสัชกร</x:v>
      </x:c>
      <x:c r="G12" s="31" t="str">
        <x:v>draft</x:v>
      </x:c>
      <x:c r="H12" s="37" t="str">
        <x:v>["Thai FDA SMPC r0350_smpc page 8 | https://drug.fda.moph.go.th/media.php?id=810483663501402112&amp;name=SMPC_Tramadol_Capsules.pdf"]</x:v>
      </x:c>
      <x:c r="I12" s="38" t="str">
        <x:v>Import batch thai_fda_20260718_v1: ต้องให้ Clinical reviewer ตรวจหลักฐานใน Clinical_Evidence ก่อนเผยแพร่</x:v>
      </x:c>
      <x:c r="J12" s="31" t="str">
        <x:v>r0350_smpc</x:v>
      </x:c>
      <x:c r="K12" s="31" t="n">
        <x:v>8</x:v>
      </x:c>
      <x:c r="L12" s="37" t="str">
        <x:v>https://drug.fda.moph.go.th/media.php?id=810483663501402112&amp;name=SMPC_Tramadol_Capsules.pdf</x:v>
      </x:c>
    </x:row>
    <x:row r="13">
      <x:c r="A13" s="31" t="str">
        <x:v>cefuroxime</x:v>
      </x:c>
      <x:c r="B13" s="31" t="str">
        <x:v>furosemide</x:v>
      </x:c>
      <x:c r="C13" s="39" t="str">
        <x:v>moderate</x:v>
      </x:c>
      <x:c r="D13" s="37" t="str">
        <x:v>โปรดสอบถามแพทย์หรือเภสัชกรก่อนใช้ร่วมกัน</x:v>
      </x:c>
      <x:c r="E13" s="37" t="str">
        <x:v>ตรวจพบว่ายาคู่นี้ต้องได้รับการตรวจสอบก่อนใช้ร่วมกัน ระบบไม่แสดงรายละเอียดผลกระทบเพื่อความปลอดภัย</x:v>
      </x:c>
      <x:c r="F13" s="37" t="str">
        <x:v>อย่ารับประทานยาคู่นี้ร่วมกันจนกว่าจะได้รับคำแนะนำจากแพทย์หรือเภสัชกร</x:v>
      </x:c>
      <x:c r="G13" s="31" t="str">
        <x:v>draft</x:v>
      </x:c>
      <x:c r="H13" s="37" t="str">
        <x:v>["Thai FDA SMPC r0051_smpc page 8 | https://drug.fda.moph.go.th/media.php?id=808219138211323904&amp;name=smpc_Cefuroxime (POWDER FOR SOLUTION FOR INJECTIONINFUSION) (1).pdf"]</x:v>
      </x:c>
      <x:c r="I13" s="38" t="str">
        <x:v>Import batch thai_fda_20260718_v1: ต้องให้ Clinical reviewer ตรวจหลักฐานใน Clinical_Evidence ก่อนเผยแพร่</x:v>
      </x:c>
      <x:c r="J13" s="31" t="str">
        <x:v>r0051_smpc</x:v>
      </x:c>
      <x:c r="K13" s="31" t="n">
        <x:v>8</x:v>
      </x:c>
      <x:c r="L13" s="37" t="str">
        <x:v>https://drug.fda.moph.go.th/media.php?id=808219138211323904&amp;name=smpc_Cefuroxime (POWDER FOR SOLUTION FOR INJECTIONINFUSION) (1).pdf</x:v>
      </x:c>
    </x:row>
    <x:row r="14">
      <x:c r="A14" s="31" t="str">
        <x:v>chlorpromazine</x:v>
      </x:c>
      <x:c r="B14" s="31" t="str">
        <x:v>disulfiram</x:v>
      </x:c>
      <x:c r="C14" s="39" t="str">
        <x:v>moderate</x:v>
      </x:c>
      <x:c r="D14" s="37" t="str">
        <x:v>โปรดสอบถามแพทย์หรือเภสัชกรก่อนใช้ร่วมกัน</x:v>
      </x:c>
      <x:c r="E14" s="37" t="str">
        <x:v>ตรวจพบว่ายาคู่นี้ต้องได้รับการตรวจสอบก่อนใช้ร่วมกัน ระบบไม่แสดงรายละเอียดผลกระทบเพื่อความปลอดภัย</x:v>
      </x:c>
      <x:c r="F14" s="37" t="str">
        <x:v>อย่ารับประทานยาคู่นี้ร่วมกันจนกว่าจะได้รับคำแนะนำจากแพทย์หรือเภสัชกร</x:v>
      </x:c>
      <x:c r="G14" s="31" t="str">
        <x:v>draft</x:v>
      </x:c>
      <x:c r="H14" s="37" t="str">
        <x:v>["Thai FDA SMPC r0114_smpc page 4 | https://drug.fda.moph.go.th/media.php?id=810072772666597376&amp;name=SMPC_Disulfiram_Tablets.pdf"]</x:v>
      </x:c>
      <x:c r="I14" s="38" t="str">
        <x:v>Import batch thai_fda_20260718_v1: ต้องให้ Clinical reviewer ตรวจหลักฐานใน Clinical_Evidence ก่อนเผยแพร่</x:v>
      </x:c>
      <x:c r="J14" s="31" t="str">
        <x:v>r0114_smpc</x:v>
      </x:c>
      <x:c r="K14" s="31" t="n">
        <x:v>4</x:v>
      </x:c>
      <x:c r="L14" s="37" t="str">
        <x:v>https://drug.fda.moph.go.th/media.php?id=810072772666597376&amp;name=SMPC_Disulfiram_Tablets.pdf</x:v>
      </x:c>
    </x:row>
    <x:row r="15">
      <x:c r="A15" s="31" t="str">
        <x:v>cimetidine</x:v>
      </x:c>
      <x:c r="B15" s="31" t="str">
        <x:v>colchicine</x:v>
      </x:c>
      <x:c r="C15" s="39" t="str">
        <x:v>moderate</x:v>
      </x:c>
      <x:c r="D15" s="37" t="str">
        <x:v>โปรดสอบถามแพทย์หรือเภสัชกรก่อนใช้ร่วมกัน</x:v>
      </x:c>
      <x:c r="E15" s="37" t="str">
        <x:v>ตรวจพบว่ายาคู่นี้ต้องได้รับการตรวจสอบก่อนใช้ร่วมกัน ระบบไม่แสดงรายละเอียดผลกระทบเพื่อความปลอดภัย</x:v>
      </x:c>
      <x:c r="F15" s="37" t="str">
        <x:v>อย่ารับประทานยาคู่นี้ร่วมกันจนกว่าจะได้รับคำแนะนำจากแพทย์หรือเภสัชกร</x:v>
      </x:c>
      <x:c r="G15" s="31" t="str">
        <x:v>draft</x:v>
      </x:c>
      <x:c r="H15" s="37" t="str">
        <x:v>["Thai FDA SMPC r0087_smpc page 5 | https://drug.fda.moph.go.th/media.php?id=809692129914920960&amp;name=SMPC_Colchicine_Tablets.pdf"]</x:v>
      </x:c>
      <x:c r="I15" s="38" t="str">
        <x:v>Import batch thai_fda_20260718_v1: ต้องให้ Clinical reviewer ตรวจหลักฐานใน Clinical_Evidence ก่อนเผยแพร่</x:v>
      </x:c>
      <x:c r="J15" s="31" t="str">
        <x:v>r0087_smpc</x:v>
      </x:c>
      <x:c r="K15" s="31" t="n">
        <x:v>5</x:v>
      </x:c>
      <x:c r="L15" s="37" t="str">
        <x:v>https://drug.fda.moph.go.th/media.php?id=809692129914920960&amp;name=SMPC_Colchicine_Tablets.pdf</x:v>
      </x:c>
    </x:row>
    <x:row r="16">
      <x:c r="A16" s="31" t="str">
        <x:v>cimetidine</x:v>
      </x:c>
      <x:c r="B16" s="31" t="str">
        <x:v>piroxicam</x:v>
      </x:c>
      <x:c r="C16" s="39" t="str">
        <x:v>moderate</x:v>
      </x:c>
      <x:c r="D16" s="37" t="str">
        <x:v>โปรดสอบถามแพทย์หรือเภสัชกรก่อนใช้ร่วมกัน</x:v>
      </x:c>
      <x:c r="E16" s="37" t="str">
        <x:v>ตรวจพบว่ายาคู่นี้ต้องได้รับการตรวจสอบก่อนใช้ร่วมกัน ระบบไม่แสดงรายละเอียดผลกระทบเพื่อความปลอดภัย</x:v>
      </x:c>
      <x:c r="F16" s="37" t="str">
        <x:v>อย่ารับประทานยาคู่นี้ร่วมกันจนกว่าจะได้รับคำแนะนำจากแพทย์หรือเภสัชกร</x:v>
      </x:c>
      <x:c r="G16" s="31" t="str">
        <x:v>draft</x:v>
      </x:c>
      <x:c r="H16" s="37" t="str">
        <x:v>["Thai FDA SMPC r0279_smpc page 7 | https://drug.fda.moph.go.th/media.php?id=810433390829510656&amp;name=SMPC_Piroxicam_Capsules.pdf"]</x:v>
      </x:c>
      <x:c r="I16" s="38" t="str">
        <x:v>Import batch thai_fda_20260718_v1: ต้องให้ Clinical reviewer ตรวจหลักฐานใน Clinical_Evidence ก่อนเผยแพร่</x:v>
      </x:c>
      <x:c r="J16" s="31" t="str">
        <x:v>r0279_smpc</x:v>
      </x:c>
      <x:c r="K16" s="31" t="n">
        <x:v>7</x:v>
      </x:c>
      <x:c r="L16" s="37" t="str">
        <x:v>https://drug.fda.moph.go.th/media.php?id=810433390829510656&amp;name=SMPC_Piroxicam_Capsules.pdf</x:v>
      </x:c>
    </x:row>
    <x:row r="17">
      <x:c r="A17" s="31" t="str">
        <x:v>cimetidine</x:v>
      </x:c>
      <x:c r="B17" s="31" t="str">
        <x:v>quinine</x:v>
      </x:c>
      <x:c r="C17" s="39" t="str">
        <x:v>moderate</x:v>
      </x:c>
      <x:c r="D17" s="37" t="str">
        <x:v>โปรดสอบถามแพทย์หรือเภสัชกรก่อนใช้ร่วมกัน</x:v>
      </x:c>
      <x:c r="E17" s="37" t="str">
        <x:v>ตรวจพบว่ายาคู่นี้ต้องได้รับการตรวจสอบก่อนใช้ร่วมกัน ระบบไม่แสดงรายละเอียดผลกระทบเพื่อความปลอดภัย</x:v>
      </x:c>
      <x:c r="F17" s="37" t="str">
        <x:v>อย่ารับประทานยาคู่นี้ร่วมกันจนกว่าจะได้รับคำแนะนำจากแพทย์หรือเภสัชกร</x:v>
      </x:c>
      <x:c r="G17" s="31" t="str">
        <x:v>draft</x:v>
      </x:c>
      <x:c r="H17" s="37" t="str">
        <x:v>["Thai FDA SMPC r0300_smpc page 4 | https://drug.fda.moph.go.th/media.php?id=810445665753767936&amp;name=SMPC_Quinine dihydrochloride_solutions for injections or infusions.pdf"]</x:v>
      </x:c>
      <x:c r="I17" s="38" t="str">
        <x:v>Import batch thai_fda_20260718_v1: ต้องให้ Clinical reviewer ตรวจหลักฐานใน Clinical_Evidence ก่อนเผยแพร่</x:v>
      </x:c>
      <x:c r="J17" s="31" t="str">
        <x:v>r0300_smpc</x:v>
      </x:c>
      <x:c r="K17" s="31" t="n">
        <x:v>4</x:v>
      </x:c>
      <x:c r="L17" s="37" t="str">
        <x:v>https://drug.fda.moph.go.th/media.php?id=810445665753767936&amp;name=SMPC_Quinine dihydrochloride_solutions for injections or infusions.pdf</x:v>
      </x:c>
    </x:row>
    <x:row r="18">
      <x:c r="A18" s="31" t="str">
        <x:v>ciprofloxacin</x:v>
      </x:c>
      <x:c r="B18" s="31" t="str">
        <x:v>magnesium_trisilicate</x:v>
      </x:c>
      <x:c r="C18" s="39" t="str">
        <x:v>moderate</x:v>
      </x:c>
      <x:c r="D18" s="37" t="str">
        <x:v>โปรดสอบถามแพทย์หรือเภสัชกรก่อนใช้ร่วมกัน</x:v>
      </x:c>
      <x:c r="E18" s="37" t="str">
        <x:v>ตรวจพบว่ายาคู่นี้ต้องได้รับการตรวจสอบก่อนใช้ร่วมกัน ระบบไม่แสดงรายละเอียดผลกระทบเพื่อความปลอดภัย</x:v>
      </x:c>
      <x:c r="F18" s="37" t="str">
        <x:v>อย่ารับประทานยาคู่นี้ร่วมกันจนกว่าจะได้รับคำแนะนำจากแพทย์หรือเภสัชกร</x:v>
      </x:c>
      <x:c r="G18" s="31" t="str">
        <x:v>draft</x:v>
      </x:c>
      <x:c r="H18" s="37" t="str">
        <x:v>["Thai FDA SMPC r0218_smpc page 2 | https://drug.fda.moph.go.th/media.php?id=810407998043332608&amp;name=SMPC_Magnesium trisilicate_Tablets.pdf"]</x:v>
      </x:c>
      <x:c r="I18" s="38" t="str">
        <x:v>Import batch thai_fda_20260718_v1: ต้องให้ Clinical reviewer ตรวจหลักฐานใน Clinical_Evidence ก่อนเผยแพร่</x:v>
      </x:c>
      <x:c r="J18" s="31" t="str">
        <x:v>r0218_smpc</x:v>
      </x:c>
      <x:c r="K18" s="31" t="n">
        <x:v>2</x:v>
      </x:c>
      <x:c r="L18" s="37" t="str">
        <x:v>https://drug.fda.moph.go.th/media.php?id=810407998043332608&amp;name=SMPC_Magnesium trisilicate_Tablets.pdf</x:v>
      </x:c>
    </x:row>
    <x:row r="19">
      <x:c r="A19" s="31" t="str">
        <x:v>clarithromycin</x:v>
      </x:c>
      <x:c r="B19" s="31" t="str">
        <x:v>colchicine</x:v>
      </x:c>
      <x:c r="C19" s="39" t="str">
        <x:v>severe</x:v>
      </x:c>
      <x:c r="D19" s="37" t="str">
        <x:v>ห้ามรับประทานยาคู่นี้ร่วมกัน</x:v>
      </x:c>
      <x:c r="E19" s="37" t="str">
        <x:v>ตรวจพบว่ายาคู่นี้อยู่ในกลุ่มห้ามใช้ร่วมกัน ระบบไม่แสดงรายละเอียดผลกระทบเพื่อความปลอดภัย</x:v>
      </x:c>
      <x:c r="F19" s="37" t="str">
        <x:v>อย่าปรับหรือหยุดยาที่ใช้อยู่เอง ให้ติดต่อแพทย์หรือเภสัชกรทันที</x:v>
      </x:c>
      <x:c r="G19" s="31" t="str">
        <x:v>draft</x:v>
      </x:c>
      <x:c r="H19" s="37" t="str">
        <x:v>["Thai FDA SMPC r0075_smpc page 8 | https://drug.fda.moph.go.th/media.php?id=809678715939332096&amp;name=SMPC_Clarithromycin_Film-coated tablets.pdf"]</x:v>
      </x:c>
      <x:c r="I19" s="38" t="str">
        <x:v>Import batch thai_fda_20260718_v1: ต้องให้ Clinical reviewer ตรวจหลักฐานใน Clinical_Evidence ก่อนเผยแพร่</x:v>
      </x:c>
      <x:c r="J19" s="31" t="str">
        <x:v>r0075_smpc</x:v>
      </x:c>
      <x:c r="K19" s="31" t="n">
        <x:v>8</x:v>
      </x:c>
      <x:c r="L19" s="37" t="str">
        <x:v>https://drug.fda.moph.go.th/media.php?id=809678715939332096&amp;name=SMPC_Clarithromycin_Film-coated tablets.pdf</x:v>
      </x:c>
    </x:row>
    <x:row r="20">
      <x:c r="A20" s="31" t="str">
        <x:v>clarithromycin</x:v>
      </x:c>
      <x:c r="B20" s="31" t="str">
        <x:v>domperidone</x:v>
      </x:c>
      <x:c r="C20" s="39" t="str">
        <x:v>severe</x:v>
      </x:c>
      <x:c r="D20" s="37" t="str">
        <x:v>ห้ามรับประทานยาคู่นี้ร่วมกัน</x:v>
      </x:c>
      <x:c r="E20" s="37" t="str">
        <x:v>ตรวจพบว่ายาคู่นี้อยู่ในกลุ่มห้ามใช้ร่วมกัน ระบบไม่แสดงรายละเอียดผลกระทบเพื่อความปลอดภัย</x:v>
      </x:c>
      <x:c r="F20" s="37" t="str">
        <x:v>อย่าปรับหรือหยุดยาที่ใช้อยู่เอง ให้ติดต่อแพทย์หรือเภสัชกรทันที</x:v>
      </x:c>
      <x:c r="G20" s="31" t="str">
        <x:v>draft</x:v>
      </x:c>
      <x:c r="H20" s="37" t="str">
        <x:v>["Thai FDA SMPC r0075_smpc page 6 | https://drug.fda.moph.go.th/media.php?id=809678715939332096&amp;name=SMPC_Clarithromycin_Film-coated tablets.pdf"]</x:v>
      </x:c>
      <x:c r="I20" s="38" t="str">
        <x:v>Import batch thai_fda_20260718_v1: ต้องให้ Clinical reviewer ตรวจหลักฐานใน Clinical_Evidence ก่อนเผยแพร่</x:v>
      </x:c>
      <x:c r="J20" s="31" t="str">
        <x:v>r0075_smpc</x:v>
      </x:c>
      <x:c r="K20" s="31" t="n">
        <x:v>6</x:v>
      </x:c>
      <x:c r="L20" s="37" t="str">
        <x:v>https://drug.fda.moph.go.th/media.php?id=809678715939332096&amp;name=SMPC_Clarithromycin_Film-coated tablets.pdf</x:v>
      </x:c>
    </x:row>
    <x:row r="21">
      <x:c r="A21" s="31" t="str">
        <x:v>clarithromycin</x:v>
      </x:c>
      <x:c r="B21" s="31" t="str">
        <x:v>pimozide</x:v>
      </x:c>
      <x:c r="C21" s="39" t="str">
        <x:v>severe</x:v>
      </x:c>
      <x:c r="D21" s="37" t="str">
        <x:v>ห้ามรับประทานยาคู่นี้ร่วมกัน</x:v>
      </x:c>
      <x:c r="E21" s="37" t="str">
        <x:v>ตรวจพบว่ายาคู่นี้อยู่ในกลุ่มห้ามใช้ร่วมกัน ระบบไม่แสดงรายละเอียดผลกระทบเพื่อความปลอดภัย</x:v>
      </x:c>
      <x:c r="F21" s="37" t="str">
        <x:v>อย่าปรับหรือหยุดยาที่ใช้อยู่เอง ให้ติดต่อแพทย์หรือเภสัชกรทันที</x:v>
      </x:c>
      <x:c r="G21" s="31" t="str">
        <x:v>draft</x:v>
      </x:c>
      <x:c r="H21" s="37" t="str">
        <x:v>["Thai FDA SMPC r0075_smpc page 6 | https://drug.fda.moph.go.th/media.php?id=809678715939332096&amp;name=SMPC_Clarithromycin_Film-coated tablets.pdf"]</x:v>
      </x:c>
      <x:c r="I21" s="38" t="str">
        <x:v>Import batch thai_fda_20260718_v1: ต้องให้ Clinical reviewer ตรวจหลักฐานใน Clinical_Evidence ก่อนเผยแพร่</x:v>
      </x:c>
      <x:c r="J21" s="31" t="str">
        <x:v>r0075_smpc</x:v>
      </x:c>
      <x:c r="K21" s="31" t="n">
        <x:v>6</x:v>
      </x:c>
      <x:c r="L21" s="37" t="str">
        <x:v>https://drug.fda.moph.go.th/media.php?id=809678715939332096&amp;name=SMPC_Clarithromycin_Film-coated tablets.pdf</x:v>
      </x:c>
    </x:row>
    <x:row r="22">
      <x:c r="A22" s="31" t="str">
        <x:v>clarithromycin</x:v>
      </x:c>
      <x:c r="B22" s="31" t="str">
        <x:v>simvastatin</x:v>
      </x:c>
      <x:c r="C22" s="39" t="str">
        <x:v>severe</x:v>
      </x:c>
      <x:c r="D22" s="37" t="str">
        <x:v>ห้ามรับประทานยาคู่นี้ร่วมกัน</x:v>
      </x:c>
      <x:c r="E22" s="37" t="str">
        <x:v>ตรวจพบว่ายาคู่นี้อยู่ในกลุ่มห้ามใช้ร่วมกัน ระบบไม่แสดงรายละเอียดผลกระทบเพื่อความปลอดภัย</x:v>
      </x:c>
      <x:c r="F22" s="37" t="str">
        <x:v>อย่าปรับหรือหยุดยาที่ใช้อยู่เอง ให้ติดต่อแพทย์หรือเภสัชกรทันที</x:v>
      </x:c>
      <x:c r="G22" s="31" t="str">
        <x:v>draft</x:v>
      </x:c>
      <x:c r="H22" s="37" t="str">
        <x:v>["Thai FDA SMPC r0075_smpc page 6 | https://drug.fda.moph.go.th/media.php?id=809678715939332096&amp;name=SMPC_Clarithromycin_Film-coated tablets.pdf"]</x:v>
      </x:c>
      <x:c r="I22" s="38" t="str">
        <x:v>Import batch thai_fda_20260718_v1: ต้องให้ Clinical reviewer ตรวจหลักฐานใน Clinical_Evidence ก่อนเผยแพร่</x:v>
      </x:c>
      <x:c r="J22" s="31" t="str">
        <x:v>r0075_smpc</x:v>
      </x:c>
      <x:c r="K22" s="31" t="n">
        <x:v>6</x:v>
      </x:c>
      <x:c r="L22" s="37" t="str">
        <x:v>https://drug.fda.moph.go.th/media.php?id=809678715939332096&amp;name=SMPC_Clarithromycin_Film-coated tablets.pdf</x:v>
      </x:c>
    </x:row>
    <x:row r="23">
      <x:c r="A23" s="31" t="str">
        <x:v>colchicine</x:v>
      </x:c>
      <x:c r="B23" s="31" t="str">
        <x:v>erythromycin</x:v>
      </x:c>
      <x:c r="C23" s="39" t="str">
        <x:v>moderate</x:v>
      </x:c>
      <x:c r="D23" s="37" t="str">
        <x:v>โปรดสอบถามแพทย์หรือเภสัชกรก่อนใช้ร่วมกัน</x:v>
      </x:c>
      <x:c r="E23" s="37" t="str">
        <x:v>ตรวจพบว่ายาคู่นี้ต้องได้รับการตรวจสอบก่อนใช้ร่วมกัน ระบบไม่แสดงรายละเอียดผลกระทบเพื่อความปลอดภัย</x:v>
      </x:c>
      <x:c r="F23" s="37" t="str">
        <x:v>อย่ารับประทานยาคู่นี้ร่วมกันจนกว่าจะได้รับคำแนะนำจากแพทย์หรือเภสัชกร</x:v>
      </x:c>
      <x:c r="G23" s="31" t="str">
        <x:v>draft</x:v>
      </x:c>
      <x:c r="H23" s="37" t="str">
        <x:v>["Thai FDA SMPC r0087_smpc page 5 | https://drug.fda.moph.go.th/media.php?id=809692129914920960&amp;name=SMPC_Colchicine_Tablets.pdf"]</x:v>
      </x:c>
      <x:c r="I23" s="38" t="str">
        <x:v>Import batch thai_fda_20260718_v1: ต้องให้ Clinical reviewer ตรวจหลักฐานใน Clinical_Evidence ก่อนเผยแพร่</x:v>
      </x:c>
      <x:c r="J23" s="31" t="str">
        <x:v>r0087_smpc</x:v>
      </x:c>
      <x:c r="K23" s="31" t="n">
        <x:v>5</x:v>
      </x:c>
      <x:c r="L23" s="37" t="str">
        <x:v>https://drug.fda.moph.go.th/media.php?id=809692129914920960&amp;name=SMPC_Colchicine_Tablets.pdf</x:v>
      </x:c>
    </x:row>
    <x:row r="24">
      <x:c r="A24" s="31" t="str">
        <x:v>colchicine</x:v>
      </x:c>
      <x:c r="B24" s="31" t="str">
        <x:v>itraconazole</x:v>
      </x:c>
      <x:c r="C24" s="39" t="str">
        <x:v>moderate</x:v>
      </x:c>
      <x:c r="D24" s="37" t="str">
        <x:v>โปรดสอบถามแพทย์หรือเภสัชกรก่อนใช้ร่วมกัน</x:v>
      </x:c>
      <x:c r="E24" s="37" t="str">
        <x:v>ตรวจพบว่ายาคู่นี้ต้องได้รับการตรวจสอบก่อนใช้ร่วมกัน ระบบไม่แสดงรายละเอียดผลกระทบเพื่อความปลอดภัย</x:v>
      </x:c>
      <x:c r="F24" s="37" t="str">
        <x:v>อย่ารับประทานยาคู่นี้ร่วมกันจนกว่าจะได้รับคำแนะนำจากแพทย์หรือเภสัชกร</x:v>
      </x:c>
      <x:c r="G24" s="31" t="str">
        <x:v>draft</x:v>
      </x:c>
      <x:c r="H24" s="37" t="str">
        <x:v>["Thai FDA SMPC r0087_smpc page 5 | https://drug.fda.moph.go.th/media.php?id=809692129914920960&amp;name=SMPC_Colchicine_Tablets.pdf"]</x:v>
      </x:c>
      <x:c r="I24" s="38" t="str">
        <x:v>Import batch thai_fda_20260718_v1: ต้องให้ Clinical reviewer ตรวจหลักฐานใน Clinical_Evidence ก่อนเผยแพร่</x:v>
      </x:c>
      <x:c r="J24" s="31" t="str">
        <x:v>r0087_smpc</x:v>
      </x:c>
      <x:c r="K24" s="31" t="n">
        <x:v>5</x:v>
      </x:c>
      <x:c r="L24" s="37" t="str">
        <x:v>https://drug.fda.moph.go.th/media.php?id=809692129914920960&amp;name=SMPC_Colchicine_Tablets.pdf</x:v>
      </x:c>
    </x:row>
    <x:row r="25">
      <x:c r="A25" s="31" t="str">
        <x:v>colchicine</x:v>
      </x:c>
      <x:c r="B25" s="31" t="str">
        <x:v>ketoconazole</x:v>
      </x:c>
      <x:c r="C25" s="39" t="str">
        <x:v>moderate</x:v>
      </x:c>
      <x:c r="D25" s="37" t="str">
        <x:v>โปรดสอบถามแพทย์หรือเภสัชกรก่อนใช้ร่วมกัน</x:v>
      </x:c>
      <x:c r="E25" s="37" t="str">
        <x:v>ตรวจพบว่ายาคู่นี้ต้องได้รับการตรวจสอบก่อนใช้ร่วมกัน ระบบไม่แสดงรายละเอียดผลกระทบเพื่อความปลอดภัย</x:v>
      </x:c>
      <x:c r="F25" s="37" t="str">
        <x:v>อย่ารับประทานยาคู่นี้ร่วมกันจนกว่าจะได้รับคำแนะนำจากแพทย์หรือเภสัชกร</x:v>
      </x:c>
      <x:c r="G25" s="31" t="str">
        <x:v>draft</x:v>
      </x:c>
      <x:c r="H25" s="37" t="str">
        <x:v>["Thai FDA SMPC r0087_smpc page 5 | https://drug.fda.moph.go.th/media.php?id=809692129914920960&amp;name=SMPC_Colchicine_Tablets.pdf"]</x:v>
      </x:c>
      <x:c r="I25" s="38" t="str">
        <x:v>Import batch thai_fda_20260718_v1: ต้องให้ Clinical reviewer ตรวจหลักฐานใน Clinical_Evidence ก่อนเผยแพร่</x:v>
      </x:c>
      <x:c r="J25" s="31" t="str">
        <x:v>r0087_smpc</x:v>
      </x:c>
      <x:c r="K25" s="31" t="n">
        <x:v>5</x:v>
      </x:c>
      <x:c r="L25" s="37" t="str">
        <x:v>https://drug.fda.moph.go.th/media.php?id=809692129914920960&amp;name=SMPC_Colchicine_Tablets.pdf</x:v>
      </x:c>
    </x:row>
    <x:row r="26">
      <x:c r="A26" s="31" t="str">
        <x:v>cyanocobalamin</x:v>
      </x:c>
      <x:c r="B26" s="31" t="str">
        <x:v>omeprazole</x:v>
      </x:c>
      <x:c r="C26" s="39" t="str">
        <x:v>moderate</x:v>
      </x:c>
      <x:c r="D26" s="37" t="str">
        <x:v>โปรดสอบถามแพทย์หรือเภสัชกรก่อนใช้ร่วมกัน</x:v>
      </x:c>
      <x:c r="E26" s="37" t="str">
        <x:v>ตรวจพบว่ายาคู่นี้ต้องได้รับการตรวจสอบก่อนใช้ร่วมกัน ระบบไม่แสดงรายละเอียดผลกระทบเพื่อความปลอดภัย</x:v>
      </x:c>
      <x:c r="F26" s="37" t="str">
        <x:v>อย่ารับประทานยาคู่นี้ร่วมกันจนกว่าจะได้รับคำแนะนำจากแพทย์หรือเภสัชกร</x:v>
      </x:c>
      <x:c r="G26" s="31" t="str">
        <x:v>draft</x:v>
      </x:c>
      <x:c r="H26" s="37" t="str">
        <x:v>["Thai FDA SMPC r0435_smpc page 3 | https://drug.fda.moph.go.th/media.php?id=904966130538520576&amp;name=3. Ref SmPC_Omeprazole.pdf"]</x:v>
      </x:c>
      <x:c r="I26" s="38" t="str">
        <x:v>Import batch thai_fda_20260718_v1: ต้องให้ Clinical reviewer ตรวจหลักฐานใน Clinical_Evidence ก่อนเผยแพร่</x:v>
      </x:c>
      <x:c r="J26" s="31" t="str">
        <x:v>r0435_smpc</x:v>
      </x:c>
      <x:c r="K26" s="31" t="n">
        <x:v>3</x:v>
      </x:c>
      <x:c r="L26" s="37" t="str">
        <x:v>https://drug.fda.moph.go.th/media.php?id=904966130538520576&amp;name=3. Ref SmPC_Omeprazole.pdf</x:v>
      </x:c>
    </x:row>
    <x:row r="27">
      <x:c r="A27" s="31" t="str">
        <x:v>dexamethasone</x:v>
      </x:c>
      <x:c r="B27" s="31" t="str">
        <x:v>ketoconazole</x:v>
      </x:c>
      <x:c r="C27" s="39" t="str">
        <x:v>moderate</x:v>
      </x:c>
      <x:c r="D27" s="37" t="str">
        <x:v>โปรดสอบถามแพทย์หรือเภสัชกรก่อนใช้ร่วมกัน</x:v>
      </x:c>
      <x:c r="E27" s="37" t="str">
        <x:v>ตรวจพบว่ายาคู่นี้ต้องได้รับการตรวจสอบก่อนใช้ร่วมกัน ระบบไม่แสดงรายละเอียดผลกระทบเพื่อความปลอดภัย</x:v>
      </x:c>
      <x:c r="F27" s="37" t="str">
        <x:v>อย่ารับประทานยาคู่นี้ร่วมกันจนกว่าจะได้รับคำแนะนำจากแพทย์หรือเภสัชกร</x:v>
      </x:c>
      <x:c r="G27" s="31" t="str">
        <x:v>draft</x:v>
      </x:c>
      <x:c r="H27" s="37" t="str">
        <x:v>["Thai FDA SMPC r0098_smpc page 11 | https://drug.fda.moph.go.th/media.php?id=810066436012777472&amp;name=SMPC_Dexamethasone_syrup.pdf"]</x:v>
      </x:c>
      <x:c r="I27" s="38" t="str">
        <x:v>Import batch thai_fda_20260718_v1: ต้องให้ Clinical reviewer ตรวจหลักฐานใน Clinical_Evidence ก่อนเผยแพร่</x:v>
      </x:c>
      <x:c r="J27" s="31" t="str">
        <x:v>r0098_smpc</x:v>
      </x:c>
      <x:c r="K27" s="31" t="n">
        <x:v>11</x:v>
      </x:c>
      <x:c r="L27" s="37" t="str">
        <x:v>https://drug.fda.moph.go.th/media.php?id=810066436012777472&amp;name=SMPC_Dexamethasone_syrup.pdf</x:v>
      </x:c>
    </x:row>
    <x:row r="28">
      <x:c r="A28" s="31" t="str">
        <x:v>diclofenac</x:v>
      </x:c>
      <x:c r="B28" s="31" t="str">
        <x:v>lithium</x:v>
      </x:c>
      <x:c r="C28" s="39" t="str">
        <x:v>moderate</x:v>
      </x:c>
      <x:c r="D28" s="37" t="str">
        <x:v>โปรดสอบถามแพทย์หรือเภสัชกรก่อนใช้ร่วมกัน</x:v>
      </x:c>
      <x:c r="E28" s="37" t="str">
        <x:v>ตรวจพบว่ายาคู่นี้ต้องได้รับการตรวจสอบก่อนใช้ร่วมกัน ระบบไม่แสดงรายละเอียดผลกระทบเพื่อความปลอดภัย</x:v>
      </x:c>
      <x:c r="F28" s="37" t="str">
        <x:v>อย่ารับประทานยาคู่นี้ร่วมกันจนกว่าจะได้รับคำแนะนำจากแพทย์หรือเภสัชกร</x:v>
      </x:c>
      <x:c r="G28" s="31" t="str">
        <x:v>draft</x:v>
      </x:c>
      <x:c r="H28" s="37" t="str">
        <x:v>["Thai FDA SMPC r0103_smpc page 8 | https://drug.fda.moph.go.th/media.php?id=810068711242342400&amp;name=SMPC_Diclofenac_enteric-coated tables.pdf"]</x:v>
      </x:c>
      <x:c r="I28" s="38" t="str">
        <x:v>Import batch thai_fda_20260718_v1: ต้องให้ Clinical reviewer ตรวจหลักฐานใน Clinical_Evidence ก่อนเผยแพร่</x:v>
      </x:c>
      <x:c r="J28" s="31" t="str">
        <x:v>r0103_smpc</x:v>
      </x:c>
      <x:c r="K28" s="31" t="n">
        <x:v>8</x:v>
      </x:c>
      <x:c r="L28" s="37" t="str">
        <x:v>https://drug.fda.moph.go.th/media.php?id=810068711242342400&amp;name=SMPC_Diclofenac_enteric-coated tables.pdf</x:v>
      </x:c>
    </x:row>
    <x:row r="29">
      <x:c r="A29" s="31" t="str">
        <x:v>digoxin</x:v>
      </x:c>
      <x:c r="B29" s="31" t="str">
        <x:v>mannitol</x:v>
      </x:c>
      <x:c r="C29" s="39" t="str">
        <x:v>moderate</x:v>
      </x:c>
      <x:c r="D29" s="37" t="str">
        <x:v>โปรดสอบถามแพทย์หรือเภสัชกรก่อนใช้ร่วมกัน</x:v>
      </x:c>
      <x:c r="E29" s="37" t="str">
        <x:v>ตรวจพบว่ายาคู่นี้ต้องได้รับการตรวจสอบก่อนใช้ร่วมกัน ระบบไม่แสดงรายละเอียดผลกระทบเพื่อความปลอดภัย</x:v>
      </x:c>
      <x:c r="F29" s="37" t="str">
        <x:v>อย่ารับประทานยาคู่นี้ร่วมกันจนกว่าจะได้รับคำแนะนำจากแพทย์หรือเภสัชกร</x:v>
      </x:c>
      <x:c r="G29" s="31" t="str">
        <x:v>draft</x:v>
      </x:c>
      <x:c r="H29" s="37" t="str">
        <x:v>["Thai FDA SMPC r0220_smpc page 10 | https://drug.fda.moph.go.th/media.php?id=810409159391584256&amp;name=SMPC_Mannitol_Solution for Infusion.pdf"]</x:v>
      </x:c>
      <x:c r="I29" s="38" t="str">
        <x:v>Import batch thai_fda_20260718_v1: ต้องให้ Clinical reviewer ตรวจหลักฐานใน Clinical_Evidence ก่อนเผยแพร่</x:v>
      </x:c>
      <x:c r="J29" s="31" t="str">
        <x:v>r0220_smpc</x:v>
      </x:c>
      <x:c r="K29" s="31" t="n">
        <x:v>10</x:v>
      </x:c>
      <x:c r="L29" s="37" t="str">
        <x:v>https://drug.fda.moph.go.th/media.php?id=810409159391584256&amp;name=SMPC_Mannitol_Solution for Infusion.pdf</x:v>
      </x:c>
    </x:row>
    <x:row r="30">
      <x:c r="A30" s="31" t="str">
        <x:v>digoxin</x:v>
      </x:c>
      <x:c r="B30" s="31" t="str">
        <x:v>tenoxicam</x:v>
      </x:c>
      <x:c r="C30" s="39" t="str">
        <x:v>moderate</x:v>
      </x:c>
      <x:c r="D30" s="37" t="str">
        <x:v>โปรดสอบถามแพทย์หรือเภสัชกรก่อนใช้ร่วมกัน</x:v>
      </x:c>
      <x:c r="E30" s="37" t="str">
        <x:v>ตรวจพบว่ายาคู่นี้ต้องได้รับการตรวจสอบก่อนใช้ร่วมกัน ระบบไม่แสดงรายละเอียดผลกระทบเพื่อความปลอดภัย</x:v>
      </x:c>
      <x:c r="F30" s="37" t="str">
        <x:v>อย่ารับประทานยาคู่นี้ร่วมกันจนกว่าจะได้รับคำแนะนำจากแพทย์หรือเภสัชกร</x:v>
      </x:c>
      <x:c r="G30" s="31" t="str">
        <x:v>draft</x:v>
      </x:c>
      <x:c r="H30" s="37" t="str">
        <x:v>["Thai FDA SMPC r0333_smpc page 8 | https://drug.fda.moph.go.th/media.php?id=810466026549551104&amp;name=SMPC_Tenoxicam_Tablets.pdf"]</x:v>
      </x:c>
      <x:c r="I30" s="38" t="str">
        <x:v>Import batch thai_fda_20260718_v1: ต้องให้ Clinical reviewer ตรวจหลักฐานใน Clinical_Evidence ก่อนเผยแพร่</x:v>
      </x:c>
      <x:c r="J30" s="31" t="str">
        <x:v>r0333_smpc</x:v>
      </x:c>
      <x:c r="K30" s="31" t="n">
        <x:v>8</x:v>
      </x:c>
      <x:c r="L30" s="37" t="str">
        <x:v>https://drug.fda.moph.go.th/media.php?id=810466026549551104&amp;name=SMPC_Tenoxicam_Tablets.pdf</x:v>
      </x:c>
    </x:row>
    <x:row r="31">
      <x:c r="A31" s="31" t="str">
        <x:v>disulfiram</x:v>
      </x:c>
      <x:c r="B31" s="31" t="str">
        <x:v>metronidazole</x:v>
      </x:c>
      <x:c r="C31" s="39" t="str">
        <x:v>moderate</x:v>
      </x:c>
      <x:c r="D31" s="37" t="str">
        <x:v>โปรดสอบถามแพทย์หรือเภสัชกรก่อนใช้ร่วมกัน</x:v>
      </x:c>
      <x:c r="E31" s="37" t="str">
        <x:v>ตรวจพบว่ายาคู่นี้ต้องได้รับการตรวจสอบก่อนใช้ร่วมกัน ระบบไม่แสดงรายละเอียดผลกระทบเพื่อความปลอดภัย</x:v>
      </x:c>
      <x:c r="F31" s="37" t="str">
        <x:v>อย่ารับประทานยาคู่นี้ร่วมกันจนกว่าจะได้รับคำแนะนำจากแพทย์หรือเภสัชกร</x:v>
      </x:c>
      <x:c r="G31" s="31" t="str">
        <x:v>draft</x:v>
      </x:c>
      <x:c r="H31" s="37" t="str">
        <x:v>["Thai FDA SMPC r0240_smpc page 8 | https://drug.fda.moph.go.th/media.php?id=810416973254107136&amp;name=SMPC_Metronidazole_Solutions for injections or infusions.pdf"]</x:v>
      </x:c>
      <x:c r="I31" s="38" t="str">
        <x:v>Import batch thai_fda_20260718_v1: ต้องให้ Clinical reviewer ตรวจหลักฐานใน Clinical_Evidence ก่อนเผยแพร่</x:v>
      </x:c>
      <x:c r="J31" s="31" t="str">
        <x:v>r0240_smpc</x:v>
      </x:c>
      <x:c r="K31" s="31" t="n">
        <x:v>8</x:v>
      </x:c>
      <x:c r="L31" s="37" t="str">
        <x:v>https://drug.fda.moph.go.th/media.php?id=810416973254107136&amp;name=SMPC_Metronidazole_Solutions for injections or infusions.pdf</x:v>
      </x:c>
    </x:row>
    <x:row r="32">
      <x:c r="A32" s="31" t="str">
        <x:v>domperidone</x:v>
      </x:c>
      <x:c r="B32" s="31" t="str">
        <x:v>roxithromycin</x:v>
      </x:c>
      <x:c r="C32" s="39" t="str">
        <x:v>moderate</x:v>
      </x:c>
      <x:c r="D32" s="37" t="str">
        <x:v>โปรดสอบถามแพทย์หรือเภสัชกรก่อนใช้ร่วมกัน</x:v>
      </x:c>
      <x:c r="E32" s="37" t="str">
        <x:v>ตรวจพบว่ายาคู่นี้ต้องได้รับการตรวจสอบก่อนใช้ร่วมกัน ระบบไม่แสดงรายละเอียดผลกระทบเพื่อความปลอดภัย</x:v>
      </x:c>
      <x:c r="F32" s="37" t="str">
        <x:v>อย่ารับประทานยาคู่นี้ร่วมกันจนกว่าจะได้รับคำแนะนำจากแพทย์หรือเภสัชกร</x:v>
      </x:c>
      <x:c r="G32" s="31" t="str">
        <x:v>draft</x:v>
      </x:c>
      <x:c r="H32" s="37" t="str">
        <x:v>["Thai FDA SMPC r0118_smpc page 6 | https://drug.fda.moph.go.th/media.php?id=810074487256129536&amp;name=SMPC_Domperidone_Tablets.pdf"]</x:v>
      </x:c>
      <x:c r="I32" s="38" t="str">
        <x:v>Import batch thai_fda_20260718_v1: ต้องให้ Clinical reviewer ตรวจหลักฐานใน Clinical_Evidence ก่อนเผยแพร่</x:v>
      </x:c>
      <x:c r="J32" s="31" t="str">
        <x:v>r0118_smpc</x:v>
      </x:c>
      <x:c r="K32" s="31" t="n">
        <x:v>6</x:v>
      </x:c>
      <x:c r="L32" s="37" t="str">
        <x:v>https://drug.fda.moph.go.th/media.php?id=810074487256129536&amp;name=SMPC_Domperidone_Tablets.pdf</x:v>
      </x:c>
    </x:row>
    <x:row r="33">
      <x:c r="A33" s="31" t="str">
        <x:v>furosemide</x:v>
      </x:c>
      <x:c r="B33" s="31" t="str">
        <x:v>thiamine</x:v>
      </x:c>
      <x:c r="C33" s="39" t="str">
        <x:v>moderate</x:v>
      </x:c>
      <x:c r="D33" s="37" t="str">
        <x:v>โปรดสอบถามแพทย์หรือเภสัชกรก่อนใช้ร่วมกัน</x:v>
      </x:c>
      <x:c r="E33" s="37" t="str">
        <x:v>ตรวจพบว่ายาคู่นี้ต้องได้รับการตรวจสอบก่อนใช้ร่วมกัน ระบบไม่แสดงรายละเอียดผลกระทบเพื่อความปลอดภัย</x:v>
      </x:c>
      <x:c r="F33" s="37" t="str">
        <x:v>อย่ารับประทานยาคู่นี้ร่วมกันจนกว่าจะได้รับคำแนะนำจากแพทย์หรือเภสัชกร</x:v>
      </x:c>
      <x:c r="G33" s="31" t="str">
        <x:v>draft</x:v>
      </x:c>
      <x:c r="H33" s="37" t="str">
        <x:v>["Thai FDA SMPC r0340_smpc page 2 | https://drug.fda.moph.go.th/media.php?id=810477458427092992&amp;name=SMPC_Thiamine hydrochloride_Tablets.pdf"]</x:v>
      </x:c>
      <x:c r="I33" s="38" t="str">
        <x:v>Import batch thai_fda_20260718_v1: ต้องให้ Clinical reviewer ตรวจหลักฐานใน Clinical_Evidence ก่อนเผยแพร่</x:v>
      </x:c>
      <x:c r="J33" s="31" t="str">
        <x:v>r0340_smpc</x:v>
      </x:c>
      <x:c r="K33" s="31" t="n">
        <x:v>2</x:v>
      </x:c>
      <x:c r="L33" s="37" t="str">
        <x:v>https://drug.fda.moph.go.th/media.php?id=810477458427092992&amp;name=SMPC_Thiamine hydrochloride_Tablets.pdf</x:v>
      </x:c>
    </x:row>
    <x:row r="34">
      <x:c r="A34" s="31" t="str">
        <x:v>gemfibrozil</x:v>
      </x:c>
      <x:c r="B34" s="31" t="str">
        <x:v>simvastatin</x:v>
      </x:c>
      <x:c r="C34" s="39" t="str">
        <x:v>severe</x:v>
      </x:c>
      <x:c r="D34" s="37" t="str">
        <x:v>ห้ามรับประทานยาคู่นี้ร่วมกัน</x:v>
      </x:c>
      <x:c r="E34" s="37" t="str">
        <x:v>ตรวจพบว่ายาคู่นี้อยู่ในกลุ่มห้ามใช้ร่วมกัน ระบบไม่แสดงรายละเอียดผลกระทบเพื่อความปลอดภัย</x:v>
      </x:c>
      <x:c r="F34" s="37" t="str">
        <x:v>อย่าปรับหรือหยุดยาที่ใช้อยู่เอง ให้ติดต่อแพทย์หรือเภสัชกรทันที</x:v>
      </x:c>
      <x:c r="G34" s="31" t="str">
        <x:v>draft</x:v>
      </x:c>
      <x:c r="H34" s="37" t="str">
        <x:v>["Thai FDA SMPC r0153_smpc page 4 | https://drug.fda.moph.go.th/media.php?id=810174072020410368&amp;name=SMPC_Gemfibrozil_hard capsule.pdf"]</x:v>
      </x:c>
      <x:c r="I34" s="38" t="str">
        <x:v>Import batch thai_fda_20260718_v1: ต้องให้ Clinical reviewer ตรวจหลักฐานใน Clinical_Evidence ก่อนเผยแพร่</x:v>
      </x:c>
      <x:c r="J34" s="31" t="str">
        <x:v>r0153_smpc</x:v>
      </x:c>
      <x:c r="K34" s="31" t="n">
        <x:v>4</x:v>
      </x:c>
      <x:c r="L34" s="37" t="str">
        <x:v>https://drug.fda.moph.go.th/media.php?id=810174072020410368&amp;name=SMPC_Gemfibrozil_hard capsule.pdf</x:v>
      </x:c>
    </x:row>
    <x:row r="35">
      <x:c r="A35" s="31" t="str">
        <x:v>gliclazide</x:v>
      </x:c>
      <x:c r="B35" s="31" t="str">
        <x:v>miconazole</x:v>
      </x:c>
      <x:c r="C35" s="39" t="str">
        <x:v>moderate</x:v>
      </x:c>
      <x:c r="D35" s="37" t="str">
        <x:v>โปรดสอบถามแพทย์หรือเภสัชกรก่อนใช้ร่วมกัน</x:v>
      </x:c>
      <x:c r="E35" s="37" t="str">
        <x:v>ตรวจพบว่ายาคู่นี้ต้องได้รับการตรวจสอบก่อนใช้ร่วมกัน ระบบไม่แสดงรายละเอียดผลกระทบเพื่อความปลอดภัย</x:v>
      </x:c>
      <x:c r="F35" s="37" t="str">
        <x:v>อย่ารับประทานยาคู่นี้ร่วมกันจนกว่าจะได้รับคำแนะนำจากแพทย์หรือเภสัชกร</x:v>
      </x:c>
      <x:c r="G35" s="31" t="str">
        <x:v>draft</x:v>
      </x:c>
      <x:c r="H35" s="37" t="str">
        <x:v>["Thai FDA SMPC r0159_smpc page 6 | https://drug.fda.moph.go.th/media.php?id=810175347420176384&amp;name=SMPC_Gliclazide_Modified-release Tablets.pdf"]</x:v>
      </x:c>
      <x:c r="I35" s="38" t="str">
        <x:v>Import batch thai_fda_20260718_v1: ต้องให้ Clinical reviewer ตรวจหลักฐานใน Clinical_Evidence ก่อนเผยแพร่</x:v>
      </x:c>
      <x:c r="J35" s="31" t="str">
        <x:v>r0159_smpc</x:v>
      </x:c>
      <x:c r="K35" s="31" t="n">
        <x:v>6</x:v>
      </x:c>
      <x:c r="L35" s="37" t="str">
        <x:v>https://drug.fda.moph.go.th/media.php?id=810175347420176384&amp;name=SMPC_Gliclazide_Modified-release Tablets.pdf</x:v>
      </x:c>
    </x:row>
    <x:row r="36">
      <x:c r="A36" s="31" t="str">
        <x:v>glipizide</x:v>
      </x:c>
      <x:c r="B36" s="31" t="str">
        <x:v>miconazole</x:v>
      </x:c>
      <x:c r="C36" s="39" t="str">
        <x:v>severe</x:v>
      </x:c>
      <x:c r="D36" s="37" t="str">
        <x:v>ห้ามรับประทานยาคู่นี้ร่วมกัน</x:v>
      </x:c>
      <x:c r="E36" s="37" t="str">
        <x:v>ตรวจพบว่ายาคู่นี้อยู่ในกลุ่มห้ามใช้ร่วมกัน ระบบไม่แสดงรายละเอียดผลกระทบเพื่อความปลอดภัย</x:v>
      </x:c>
      <x:c r="F36" s="37" t="str">
        <x:v>อย่าปรับหรือหยุดยาที่ใช้อยู่เอง ให้ติดต่อแพทย์หรือเภสัชกรทันที</x:v>
      </x:c>
      <x:c r="G36" s="31" t="str">
        <x:v>draft</x:v>
      </x:c>
      <x:c r="H36" s="37" t="str">
        <x:v>["Thai FDA SMPC r0161_smpc page 5 | https://drug.fda.moph.go.th/media.php?id=810176024078852096&amp;name=SMPC_Glipizide_Tablets.pdf"]</x:v>
      </x:c>
      <x:c r="I36" s="38" t="str">
        <x:v>Import batch thai_fda_20260718_v1: ต้องให้ Clinical reviewer ตรวจหลักฐานใน Clinical_Evidence ก่อนเผยแพร่</x:v>
      </x:c>
      <x:c r="J36" s="31" t="str">
        <x:v>r0161_smpc</x:v>
      </x:c>
      <x:c r="K36" s="31" t="n">
        <x:v>5</x:v>
      </x:c>
      <x:c r="L36" s="37" t="str">
        <x:v>https://drug.fda.moph.go.th/media.php?id=810176024078852096&amp;name=SMPC_Glipizide_Tablets.pdf</x:v>
      </x:c>
    </x:row>
    <x:row r="37">
      <x:c r="A37" s="31" t="str">
        <x:v>indapamide</x:v>
      </x:c>
      <x:c r="B37" s="31" t="str">
        <x:v>lithium</x:v>
      </x:c>
      <x:c r="C37" s="39" t="str">
        <x:v>moderate</x:v>
      </x:c>
      <x:c r="D37" s="37" t="str">
        <x:v>โปรดสอบถามแพทย์หรือเภสัชกรก่อนใช้ร่วมกัน</x:v>
      </x:c>
      <x:c r="E37" s="37" t="str">
        <x:v>ตรวจพบว่ายาคู่นี้ต้องได้รับการตรวจสอบก่อนใช้ร่วมกัน ระบบไม่แสดงรายละเอียดผลกระทบเพื่อความปลอดภัย</x:v>
      </x:c>
      <x:c r="F37" s="37" t="str">
        <x:v>อย่ารับประทานยาคู่นี้ร่วมกันจนกว่าจะได้รับคำแนะนำจากแพทย์หรือเภสัชกร</x:v>
      </x:c>
      <x:c r="G37" s="31" t="str">
        <x:v>draft</x:v>
      </x:c>
      <x:c r="H37" s="37" t="str">
        <x:v>["Thai FDA SMPC r0186_smpc page 6 | https://drug.fda.moph.go.th/media.php?id=810384338393899008&amp;name=SMPC_Indapamide_Tablets.pdf"]</x:v>
      </x:c>
      <x:c r="I37" s="38" t="str">
        <x:v>Import batch thai_fda_20260718_v1: ต้องให้ Clinical reviewer ตรวจหลักฐานใน Clinical_Evidence ก่อนเผยแพร่</x:v>
      </x:c>
      <x:c r="J37" s="31" t="str">
        <x:v>r0186_smpc</x:v>
      </x:c>
      <x:c r="K37" s="31" t="n">
        <x:v>6</x:v>
      </x:c>
      <x:c r="L37" s="37" t="str">
        <x:v>https://drug.fda.moph.go.th/media.php?id=810384338393899008&amp;name=SMPC_Indapamide_Tablets.pdf</x:v>
      </x:c>
    </x:row>
    <x:row r="38">
      <x:c r="A38" s="31" t="str">
        <x:v>itraconazole</x:v>
      </x:c>
      <x:c r="B38" s="31" t="str">
        <x:v>magnesium_trisilicate</x:v>
      </x:c>
      <x:c r="C38" s="39" t="str">
        <x:v>moderate</x:v>
      </x:c>
      <x:c r="D38" s="37" t="str">
        <x:v>โปรดสอบถามแพทย์หรือเภสัชกรก่อนใช้ร่วมกัน</x:v>
      </x:c>
      <x:c r="E38" s="37" t="str">
        <x:v>ตรวจพบว่ายาคู่นี้ต้องได้รับการตรวจสอบก่อนใช้ร่วมกัน ระบบไม่แสดงรายละเอียดผลกระทบเพื่อความปลอดภัย</x:v>
      </x:c>
      <x:c r="F38" s="37" t="str">
        <x:v>อย่ารับประทานยาคู่นี้ร่วมกันจนกว่าจะได้รับคำแนะนำจากแพทย์หรือเภสัชกร</x:v>
      </x:c>
      <x:c r="G38" s="31" t="str">
        <x:v>draft</x:v>
      </x:c>
      <x:c r="H38" s="37" t="str">
        <x:v>["Thai FDA SMPC r0218_smpc page 2 | https://drug.fda.moph.go.th/media.php?id=810407998043332608&amp;name=SMPC_Magnesium trisilicate_Tablets.pdf"]</x:v>
      </x:c>
      <x:c r="I38" s="38" t="str">
        <x:v>Import batch thai_fda_20260718_v1: ต้องให้ Clinical reviewer ตรวจหลักฐานใน Clinical_Evidence ก่อนเผยแพร่</x:v>
      </x:c>
      <x:c r="J38" s="31" t="str">
        <x:v>r0218_smpc</x:v>
      </x:c>
      <x:c r="K38" s="31" t="n">
        <x:v>2</x:v>
      </x:c>
      <x:c r="L38" s="37" t="str">
        <x:v>https://drug.fda.moph.go.th/media.php?id=810407998043332608&amp;name=SMPC_Magnesium trisilicate_Tablets.pdf</x:v>
      </x:c>
    </x:row>
    <x:row r="39">
      <x:c r="A39" s="31" t="str">
        <x:v>ketoconazole</x:v>
      </x:c>
      <x:c r="B39" s="31" t="str">
        <x:v>magnesium_trisilicate</x:v>
      </x:c>
      <x:c r="C39" s="39" t="str">
        <x:v>moderate</x:v>
      </x:c>
      <x:c r="D39" s="37" t="str">
        <x:v>โปรดสอบถามแพทย์หรือเภสัชกรก่อนใช้ร่วมกัน</x:v>
      </x:c>
      <x:c r="E39" s="37" t="str">
        <x:v>ตรวจพบว่ายาคู่นี้ต้องได้รับการตรวจสอบก่อนใช้ร่วมกัน ระบบไม่แสดงรายละเอียดผลกระทบเพื่อความปลอดภัย</x:v>
      </x:c>
      <x:c r="F39" s="37" t="str">
        <x:v>อย่ารับประทานยาคู่นี้ร่วมกันจนกว่าจะได้รับคำแนะนำจากแพทย์หรือเภสัชกร</x:v>
      </x:c>
      <x:c r="G39" s="31" t="str">
        <x:v>draft</x:v>
      </x:c>
      <x:c r="H39" s="37" t="str">
        <x:v>["Thai FDA SMPC r0218_smpc page 2 | https://drug.fda.moph.go.th/media.php?id=810407998043332608&amp;name=SMPC_Magnesium trisilicate_Tablets.pdf"]</x:v>
      </x:c>
      <x:c r="I39" s="38" t="str">
        <x:v>Import batch thai_fda_20260718_v1: ต้องให้ Clinical reviewer ตรวจหลักฐานใน Clinical_Evidence ก่อนเผยแพร่</x:v>
      </x:c>
      <x:c r="J39" s="31" t="str">
        <x:v>r0218_smpc</x:v>
      </x:c>
      <x:c r="K39" s="31" t="n">
        <x:v>2</x:v>
      </x:c>
      <x:c r="L39" s="37" t="str">
        <x:v>https://drug.fda.moph.go.th/media.php?id=810407998043332608&amp;name=SMPC_Magnesium trisilicate_Tablets.pdf</x:v>
      </x:c>
    </x:row>
    <x:row r="40">
      <x:c r="A40" s="31" t="str">
        <x:v>lithium</x:v>
      </x:c>
      <x:c r="B40" s="31" t="str">
        <x:v>sodium_dihydrogen</x:v>
      </x:c>
      <x:c r="C40" s="39" t="str">
        <x:v>moderate</x:v>
      </x:c>
      <x:c r="D40" s="37" t="str">
        <x:v>โปรดสอบถามแพทย์หรือเภสัชกรก่อนใช้ร่วมกัน</x:v>
      </x:c>
      <x:c r="E40" s="37" t="str">
        <x:v>ตรวจพบว่ายาคู่นี้ต้องได้รับการตรวจสอบก่อนใช้ร่วมกัน ระบบไม่แสดงรายละเอียดผลกระทบเพื่อความปลอดภัย</x:v>
      </x:c>
      <x:c r="F40" s="37" t="str">
        <x:v>อย่ารับประทานยาคู่นี้ร่วมกันจนกว่าจะได้รับคำแนะนำจากแพทย์หรือเภสัชกร</x:v>
      </x:c>
      <x:c r="G40" s="31" t="str">
        <x:v>draft</x:v>
      </x:c>
      <x:c r="H40" s="37" t="str">
        <x:v>["Thai FDA SMPC r0321_smpc page 6 | https://drug.fda.moph.go.th/media.php?id=810461583477186560&amp;name=SMPC_Sodium dihydrogen phosphate_enema.pdf"]</x:v>
      </x:c>
      <x:c r="I40" s="38" t="str">
        <x:v>Import batch thai_fda_20260718_v1: ต้องให้ Clinical reviewer ตรวจหลักฐานใน Clinical_Evidence ก่อนเผยแพร่</x:v>
      </x:c>
      <x:c r="J40" s="31" t="str">
        <x:v>r0321_smpc</x:v>
      </x:c>
      <x:c r="K40" s="31" t="n">
        <x:v>6</x:v>
      </x:c>
      <x:c r="L40" s="37" t="str">
        <x:v>https://drug.fda.moph.go.th/media.php?id=810461583477186560&amp;name=SMPC_Sodium dihydrogen phosphate_enema.pdf</x:v>
      </x:c>
    </x:row>
    <x:row r="41">
      <x:c r="A41" s="31" t="str">
        <x:v>lithium</x:v>
      </x:c>
      <x:c r="B41" s="31" t="str">
        <x:v>sodium_phosphate</x:v>
      </x:c>
      <x:c r="C41" s="39" t="str">
        <x:v>moderate</x:v>
      </x:c>
      <x:c r="D41" s="37" t="str">
        <x:v>โปรดสอบถามแพทย์หรือเภสัชกรก่อนใช้ร่วมกัน</x:v>
      </x:c>
      <x:c r="E41" s="37" t="str">
        <x:v>ตรวจพบว่ายาคู่นี้ต้องได้รับการตรวจสอบก่อนใช้ร่วมกัน ระบบไม่แสดงรายละเอียดผลกระทบเพื่อความปลอดภัย</x:v>
      </x:c>
      <x:c r="F41" s="37" t="str">
        <x:v>อย่ารับประทานยาคู่นี้ร่วมกันจนกว่าจะได้รับคำแนะนำจากแพทย์หรือเภสัชกร</x:v>
      </x:c>
      <x:c r="G41" s="31" t="str">
        <x:v>draft</x:v>
      </x:c>
      <x:c r="H41" s="37" t="str">
        <x:v>["Thai FDA SMPC r0322_smpc page 6 | https://drug.fda.moph.go.th/media.php?id=810462163935305728&amp;name=SMPC_Sodium phosphate_enema.pdf"]</x:v>
      </x:c>
      <x:c r="I41" s="38" t="str">
        <x:v>Import batch thai_fda_20260718_v1: ต้องให้ Clinical reviewer ตรวจหลักฐานใน Clinical_Evidence ก่อนเผยแพร่</x:v>
      </x:c>
      <x:c r="J41" s="31" t="str">
        <x:v>r0322_smpc</x:v>
      </x:c>
      <x:c r="K41" s="31" t="n">
        <x:v>6</x:v>
      </x:c>
      <x:c r="L41" s="37" t="str">
        <x:v>https://drug.fda.moph.go.th/media.php?id=810462163935305728&amp;name=SMPC_Sodium phosphate_enema.pdf</x:v>
      </x:c>
    </x:row>
    <x:row r="42">
      <x:c r="A42" s="31" t="str">
        <x:v>magnesium</x:v>
      </x:c>
      <x:c r="B42" s="31" t="str">
        <x:v>ofloxacin</x:v>
      </x:c>
      <x:c r="C42" s="39" t="str">
        <x:v>moderate</x:v>
      </x:c>
      <x:c r="D42" s="37" t="str">
        <x:v>โปรดสอบถามแพทย์หรือเภสัชกรก่อนใช้ร่วมกัน</x:v>
      </x:c>
      <x:c r="E42" s="37" t="str">
        <x:v>ตรวจพบว่ายาคู่นี้ต้องได้รับการตรวจสอบก่อนใช้ร่วมกัน ระบบไม่แสดงรายละเอียดผลกระทบเพื่อความปลอดภัย</x:v>
      </x:c>
      <x:c r="F42" s="37" t="str">
        <x:v>อย่ารับประทานยาคู่นี้ร่วมกันจนกว่าจะได้รับคำแนะนำจากแพทย์หรือเภสัชกร</x:v>
      </x:c>
      <x:c r="G42" s="31" t="str">
        <x:v>draft</x:v>
      </x:c>
      <x:c r="H42" s="37" t="str">
        <x:v>["Thai FDA SMPC r0260_smpc page 19 | https://drug.fda.moph.go.th/media.php?id=810425338315284480&amp;name=SMPC_Ofloxacin_Film-coated Tablet.pdf"]</x:v>
      </x:c>
      <x:c r="I42" s="38" t="str">
        <x:v>Import batch thai_fda_20260718_v1: ต้องให้ Clinical reviewer ตรวจหลักฐานใน Clinical_Evidence ก่อนเผยแพร่</x:v>
      </x:c>
      <x:c r="J42" s="31" t="str">
        <x:v>r0260_smpc</x:v>
      </x:c>
      <x:c r="K42" s="31" t="n">
        <x:v>19</x:v>
      </x:c>
      <x:c r="L42" s="37" t="str">
        <x:v>https://drug.fda.moph.go.th/media.php?id=810425338315284480&amp;name=SMPC_Ofloxacin_Film-coated Tablet.pdf</x:v>
      </x:c>
    </x:row>
    <x:row r="43">
      <x:c r="A43" s="31" t="str">
        <x:v>magnesium_trisilicate</x:v>
      </x:c>
      <x:c r="B43" s="31" t="str">
        <x:v>rifampicin</x:v>
      </x:c>
      <x:c r="C43" s="39" t="str">
        <x:v>moderate</x:v>
      </x:c>
      <x:c r="D43" s="37" t="str">
        <x:v>โปรดสอบถามแพทย์หรือเภสัชกรก่อนใช้ร่วมกัน</x:v>
      </x:c>
      <x:c r="E43" s="37" t="str">
        <x:v>ตรวจพบว่ายาคู่นี้ต้องได้รับการตรวจสอบก่อนใช้ร่วมกัน ระบบไม่แสดงรายละเอียดผลกระทบเพื่อความปลอดภัย</x:v>
      </x:c>
      <x:c r="F43" s="37" t="str">
        <x:v>อย่ารับประทานยาคู่นี้ร่วมกันจนกว่าจะได้รับคำแนะนำจากแพทย์หรือเภสัชกร</x:v>
      </x:c>
      <x:c r="G43" s="31" t="str">
        <x:v>draft</x:v>
      </x:c>
      <x:c r="H43" s="37" t="str">
        <x:v>["Thai FDA SMPC r0218_smpc page 2 | https://drug.fda.moph.go.th/media.php?id=810407998043332608&amp;name=SMPC_Magnesium trisilicate_Tablets.pdf"]</x:v>
      </x:c>
      <x:c r="I43" s="38" t="str">
        <x:v>Import batch thai_fda_20260718_v1: ต้องให้ Clinical reviewer ตรวจหลักฐานใน Clinical_Evidence ก่อนเผยแพร่</x:v>
      </x:c>
      <x:c r="J43" s="31" t="str">
        <x:v>r0218_smpc</x:v>
      </x:c>
      <x:c r="K43" s="31" t="n">
        <x:v>2</x:v>
      </x:c>
      <x:c r="L43" s="37" t="str">
        <x:v>https://drug.fda.moph.go.th/media.php?id=810407998043332608&amp;name=SMPC_Magnesium trisilicate_Tablets.pdf</x:v>
      </x:c>
    </x:row>
    <x:row r="44">
      <x:c r="A44" s="31" t="str">
        <x:v>ofloxacin</x:v>
      </x:c>
      <x:c r="B44" s="31" t="str">
        <x:v>sucralfate</x:v>
      </x:c>
      <x:c r="C44" s="39" t="str">
        <x:v>moderate</x:v>
      </x:c>
      <x:c r="D44" s="37" t="str">
        <x:v>โปรดสอบถามแพทย์หรือเภสัชกรก่อนใช้ร่วมกัน</x:v>
      </x:c>
      <x:c r="E44" s="37" t="str">
        <x:v>ตรวจพบว่ายาคู่นี้ต้องได้รับการตรวจสอบก่อนใช้ร่วมกัน ระบบไม่แสดงรายละเอียดผลกระทบเพื่อความปลอดภัย</x:v>
      </x:c>
      <x:c r="F44" s="37" t="str">
        <x:v>อย่ารับประทานยาคู่นี้ร่วมกันจนกว่าจะได้รับคำแนะนำจากแพทย์หรือเภสัชกร</x:v>
      </x:c>
      <x:c r="G44" s="31" t="str">
        <x:v>draft</x:v>
      </x:c>
      <x:c r="H44" s="37" t="str">
        <x:v>["Thai FDA SMPC r0260_smpc page 19 | https://drug.fda.moph.go.th/media.php?id=810425338315284480&amp;name=SMPC_Ofloxacin_Film-coated Tablet.pdf"]</x:v>
      </x:c>
      <x:c r="I44" s="38" t="str">
        <x:v>Import batch thai_fda_20260718_v1: ต้องให้ Clinical reviewer ตรวจหลักฐานใน Clinical_Evidence ก่อนเผยแพร่</x:v>
      </x:c>
      <x:c r="J44" s="31" t="str">
        <x:v>r0260_smpc</x:v>
      </x:c>
      <x:c r="K44" s="31" t="n">
        <x:v>19</x:v>
      </x:c>
      <x:c r="L44" s="37" t="str">
        <x:v>https://drug.fda.moph.go.th/media.php?id=810425338315284480&amp;name=SMPC_Ofloxacin_Film-coated Tablet.pdf</x:v>
      </x:c>
    </x:row>
    <x:row r="45">
      <x:c r="A45" s="31" t="str">
        <x:v>ofloxacin</x:v>
      </x:c>
      <x:c r="B45" s="31" t="str">
        <x:v>zinc</x:v>
      </x:c>
      <x:c r="C45" s="39" t="str">
        <x:v>moderate</x:v>
      </x:c>
      <x:c r="D45" s="37" t="str">
        <x:v>โปรดสอบถามแพทย์หรือเภสัชกรก่อนใช้ร่วมกัน</x:v>
      </x:c>
      <x:c r="E45" s="37" t="str">
        <x:v>ตรวจพบว่ายาคู่นี้ต้องได้รับการตรวจสอบก่อนใช้ร่วมกัน ระบบไม่แสดงรายละเอียดผลกระทบเพื่อความปลอดภัย</x:v>
      </x:c>
      <x:c r="F45" s="37" t="str">
        <x:v>อย่ารับประทานยาคู่นี้ร่วมกันจนกว่าจะได้รับคำแนะนำจากแพทย์หรือเภสัชกร</x:v>
      </x:c>
      <x:c r="G45" s="31" t="str">
        <x:v>draft</x:v>
      </x:c>
      <x:c r="H45" s="37" t="str">
        <x:v>["Thai FDA SMPC r0260_smpc page 19 | https://drug.fda.moph.go.th/media.php?id=810425338315284480&amp;name=SMPC_Ofloxacin_Film-coated Tablet.pdf"]</x:v>
      </x:c>
      <x:c r="I45" s="38" t="str">
        <x:v>Import batch thai_fda_20260718_v1: ต้องให้ Clinical reviewer ตรวจหลักฐานใน Clinical_Evidence ก่อนเผยแพร่</x:v>
      </x:c>
      <x:c r="J45" s="31" t="str">
        <x:v>r0260_smpc</x:v>
      </x:c>
      <x:c r="K45" s="31" t="n">
        <x:v>19</x:v>
      </x:c>
      <x:c r="L45" s="37" t="str">
        <x:v>https://drug.fda.moph.go.th/media.php?id=810425338315284480&amp;name=SMPC_Ofloxacin_Film-coated Tablet.pdf</x:v>
      </x:c>
    </x:row>
    <x:row r="46">
      <x:c r="A46" s="31" t="str">
        <x:v>rifampicin</x:v>
      </x:c>
      <x:c r="B46" s="31" t="str">
        <x:v>zidovudine</x:v>
      </x:c>
      <x:c r="C46" s="39" t="str">
        <x:v>moderate</x:v>
      </x:c>
      <x:c r="D46" s="37" t="str">
        <x:v>โปรดสอบถามแพทย์หรือเภสัชกรก่อนใช้ร่วมกัน</x:v>
      </x:c>
      <x:c r="E46" s="37" t="str">
        <x:v>ตรวจพบว่ายาคู่นี้ต้องได้รับการตรวจสอบก่อนใช้ร่วมกัน ระบบไม่แสดงรายละเอียดผลกระทบเพื่อความปลอดภัย</x:v>
      </x:c>
      <x:c r="F46" s="37" t="str">
        <x:v>อย่ารับประทานยาคู่นี้ร่วมกันจนกว่าจะได้รับคำแนะนำจากแพทย์หรือเภสัชกร</x:v>
      </x:c>
      <x:c r="G46" s="31" t="str">
        <x:v>draft</x:v>
      </x:c>
      <x:c r="H46" s="37" t="str">
        <x:v>["Thai FDA SMPC r0364_smpc page 8 | https://drug.fda.moph.go.th/media.php?id=810494978483691520&amp;name=SMPC_Zidovudine_Capsules.pdf"]</x:v>
      </x:c>
      <x:c r="I46" s="38" t="str">
        <x:v>Import batch thai_fda_20260718_v1: ต้องให้ Clinical reviewer ตรวจหลักฐานใน Clinical_Evidence ก่อนเผยแพร่</x:v>
      </x:c>
      <x:c r="J46" s="31" t="str">
        <x:v>r0364_smpc</x:v>
      </x:c>
      <x:c r="K46" s="31" t="n">
        <x:v>8</x:v>
      </x:c>
      <x:c r="L46" s="37" t="str">
        <x:v>https://drug.fda.moph.go.th/media.php?id=810494978483691520&amp;name=SMPC_Zidovudine_Capsules.pdf</x:v>
      </x:c>
    </x:row>
    <x:row r="47">
      <x:c r="A47" s="31" t="str">
        <x:v>tetracycline</x:v>
      </x:c>
      <x:c r="B47" s="31" t="str">
        <x:v>tretinoin</x:v>
      </x:c>
      <x:c r="C47" s="39" t="str">
        <x:v>moderate</x:v>
      </x:c>
      <x:c r="D47" s="37" t="str">
        <x:v>โปรดสอบถามแพทย์หรือเภสัชกรก่อนใช้ร่วมกัน</x:v>
      </x:c>
      <x:c r="E47" s="37" t="str">
        <x:v>ตรวจพบว่ายาคู่นี้ต้องได้รับการตรวจสอบก่อนใช้ร่วมกัน ระบบไม่แสดงรายละเอียดผลกระทบเพื่อความปลอดภัย</x:v>
      </x:c>
      <x:c r="F47" s="37" t="str">
        <x:v>อย่ารับประทานยาคู่นี้ร่วมกันจนกว่าจะได้รับคำแนะนำจากแพทย์หรือเภสัชกร</x:v>
      </x:c>
      <x:c r="G47" s="31" t="str">
        <x:v>draft</x:v>
      </x:c>
      <x:c r="H47" s="37" t="str">
        <x:v>["Thai FDA SMPC r0338_smpc page 6 | https://drug.fda.moph.go.th/media.php?id=810476861875429376&amp;name=SMPC_Tetracycline_Tablets.pdf"]</x:v>
      </x:c>
      <x:c r="I47" s="38" t="str">
        <x:v>Import batch thai_fda_20260718_v1: ต้องให้ Clinical reviewer ตรวจหลักฐานใน Clinical_Evidence ก่อนเผยแพร่</x:v>
      </x:c>
      <x:c r="J47" s="31" t="str">
        <x:v>r0338_smpc</x:v>
      </x:c>
      <x:c r="K47" s="31" t="n">
        <x:v>6</x:v>
      </x:c>
      <x:c r="L47" s="37" t="str">
        <x:v>https://drug.fda.moph.go.th/media.php?id=810476861875429376&amp;name=SMPC_Tetracycline_Tablets.pdf</x:v>
      </x:c>
    </x:row>
    <x:row r="48">
      <x:c r="A48" s="31" t="str">
        <x:v>trimethoprim_sulfamethoxazole</x:v>
      </x:c>
      <x:c r="B48" s="31" t="str">
        <x:v>zidovudine</x:v>
      </x:c>
      <x:c r="C48" s="39" t="str">
        <x:v>moderate</x:v>
      </x:c>
      <x:c r="D48" s="37" t="str">
        <x:v>โปรดสอบถามแพทย์หรือเภสัชกรก่อนใช้ร่วมกัน</x:v>
      </x:c>
      <x:c r="E48" s="37" t="str">
        <x:v>ตรวจพบว่ายาคู่นี้ต้องได้รับการตรวจสอบก่อนใช้ร่วมกัน ระบบไม่แสดงรายละเอียดผลกระทบเพื่อความปลอดภัย</x:v>
      </x:c>
      <x:c r="F48" s="37" t="str">
        <x:v>อย่ารับประทานยาคู่นี้ร่วมกันจนกว่าจะได้รับคำแนะนำจากแพทย์หรือเภสัชกร</x:v>
      </x:c>
      <x:c r="G48" s="31" t="str">
        <x:v>draft</x:v>
      </x:c>
      <x:c r="H48" s="37" t="str">
        <x:v>["Thai FDA SMPC r0358_smpc page 9 | https://drug.fda.moph.go.th/media.php?id=810494133834752000&amp;name=SMPC_Trimethoprim + Sulfamethoxazole_Solution for Infusion.pdf"]</x:v>
      </x:c>
      <x:c r="I48" s="38" t="str">
        <x:v>Import batch thai_fda_20260718_v1: ต้องให้ Clinical reviewer ตรวจหลักฐานใน Clinical_Evidence ก่อนเผยแพร่</x:v>
      </x:c>
      <x:c r="J48" s="31" t="str">
        <x:v>r0358_smpc</x:v>
      </x:c>
      <x:c r="K48" s="31" t="n">
        <x:v>9</x:v>
      </x:c>
      <x:c r="L48" s="37" t="str">
        <x:v>https://drug.fda.moph.go.th/media.php?id=810494133834752000&amp;name=SMPC_Trimethoprim + Sulfamethoxazole_Solution for Infusion.pdf</x:v>
      </x:c>
    </x:row>
  </x:sheetData>
  <x:conditionalFormatting sqref="C2:C48">
    <x:cfRule type="containsText" dxfId="2" priority="1" operator="containsText" text="severe"/>
    <x:cfRule type="containsText" dxfId="3" priority="2" operator="containsText" text="moderate"/>
  </x:conditionalFormatting>
  <x:dataValidations count="2">
    <x:dataValidation type="list" sqref="C2:C48">
      <x:formula1>"moderate,severe"</x:formula1>
    </x:dataValidation>
    <x:dataValidation type="list" sqref="G2:G48">
      <x:formula1>"draft"</x:formula1>
    </x:dataValidation>
  </x:dataValidations>
  <x:pageMargins left="0.7" right="0.7" top="0.75" bottom="0.75" header="0.3" footer="0.3"/>
  <x:tableParts count="1">
    <x:tablePart xmlns:r="http://schemas.openxmlformats.org/officeDocument/2006/relationships" r:id="R76cb4dca755d4f9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27" hidden="0" customWidth="1"/>
    <x:col min="3" max="3" width="29" hidden="0" customWidth="1"/>
    <x:col min="4" max="4" width="18" hidden="0" customWidth="1"/>
    <x:col min="5" max="5" width="16" hidden="0" customWidth="1"/>
    <x:col min="6" max="6" width="48" hidden="0" customWidth="1"/>
    <x:col min="7" max="7" width="10" hidden="0" customWidth="1"/>
    <x:col min="8" max="8" width="58" hidden="0" customWidth="1"/>
    <x:col min="9" max="9" width="12" hidden="0" customWidth="1"/>
    <x:col min="10" max="10" width="24" hidden="0" customWidth="1"/>
    <x:col min="11" max="11" width="46" hidden="0" customWidth="1"/>
    <x:col min="12" max="12" width="46" hidden="0" customWidth="1"/>
    <x:col min="13" max="13" width="12" hidden="0" customWidth="1"/>
    <x:col min="14" max="14" width="44" hidden="0" customWidth="1"/>
  </x:cols>
  <x:sheetData>
    <x:row r="1" ht="30" customHeight="1">
      <x:c r="A1" s="36" t="str">
        <x:v>code</x:v>
      </x:c>
      <x:c r="B1" s="36" t="str">
        <x:v>name_en</x:v>
      </x:c>
      <x:c r="C1" s="36" t="str">
        <x:v>name_th</x:v>
      </x:c>
      <x:c r="D1" s="36" t="str">
        <x:v>category</x:v>
      </x:c>
      <x:c r="E1" s="36" t="str">
        <x:v>common_dosages_mg</x:v>
      </x:c>
      <x:c r="F1" s="36" t="str">
        <x:v>description_th</x:v>
      </x:c>
      <x:c r="G1" s="36" t="str">
        <x:v>active</x:v>
      </x:c>
      <x:c r="H1" s="36" t="str">
        <x:v>source_references</x:v>
      </x:c>
      <x:c r="I1" s="36" t="str">
        <x:v>status</x:v>
      </x:c>
      <x:c r="J1" s="36" t="str">
        <x:v>fda_strengths_reference_only</x:v>
      </x:c>
      <x:c r="K1" s="36" t="str">
        <x:v>pil_urls</x:v>
      </x:c>
      <x:c r="L1" s="36" t="str">
        <x:v>smpc_urls</x:v>
      </x:c>
      <x:c r="M1" s="36" t="str">
        <x:v>sql_ready</x:v>
      </x:c>
      <x:c r="N1" s="36" t="str">
        <x:v>review_note</x:v>
      </x:c>
    </x:row>
    <x:row r="2">
      <x:c r="A2" s="31" t="str">
        <x:v>drug_0b25ab6d64</x:v>
      </x:c>
      <x:c r="B2" s="39" t="str">
        <x:v>ยาทาระเหยบรรเทาอาการคัดจมูก</x:v>
      </x:c>
      <x:c r="C2" s="38" t="str">
        <x:v>รอตรวจสอบชื่อภาษาไทย</x:v>
      </x:c>
      <x:c r="D2" s="39" t="str">
        <x:v>รอตรวจสอบ</x:v>
      </x:c>
      <x:c r="E2" s="31" t="str">
        <x:v>[]</x:v>
      </x:c>
      <x:c r="F2" s="37" t="str">
        <x:v>ยานี้ใช ้เพื่อบรรเทาอาการคัดจมูก และลดอาการจากหวัด</x:v>
      </x:c>
      <x:c r="G2" s="32" t="b">
        <x:v>0</x:v>
      </x:c>
      <x:c r="H2" s="37" t="str">
        <x:v>[{"type":"PIL","url":"https://drug.fda.moph.go.th/media.php?id=733929511644700672&amp;name=PIL ยาทาระเหยบรรเทาอาการคัดจมูกชนิดขี้ผึ้ง (15032024).pdf","published_date":"15/3/2024"}]</x:v>
      </x:c>
      <x:c r="I2" s="31" t="str">
        <x:v>Draft</x:v>
      </x:c>
      <x:c r="J2" s="31"/>
      <x:c r="K2" s="37" t="str">
        <x:v>https://drug.fda.moph.go.th/media.php?id=733929511644700672&amp;name=PIL ยาทาระเหยบรรเทาอาการคัดจมูกชนิดขี้ผึ้ง (15032024).pdf</x:v>
      </x:c>
      <x:c r="L2" s="37"/>
      <x:c r="M2" s="31" t="str">
        <x:v>NO</x:v>
      </x:c>
      <x:c r="N2" s="38" t="str">
        <x:v>Not included in SQL: missing reliable English generic code/name or reference</x:v>
      </x:c>
    </x:row>
    <x:row r="3">
      <x:c r="A3" s="31" t="str">
        <x:v>drug_0ec240fe15</x:v>
      </x:c>
      <x:c r="B3" s="39" t="str">
        <x:v>ยาขับลม</x:v>
      </x:c>
      <x:c r="C3" s="38" t="str">
        <x:v>ยาข ับลม ชนิดนํ้า</x:v>
      </x:c>
      <x:c r="D3" s="39" t="str">
        <x:v>รอตรวจสอบ</x:v>
      </x:c>
      <x:c r="E3" s="31" t="str">
        <x:v>[]</x:v>
      </x:c>
      <x:c r="F3" s="37" t="str">
        <x:v>ใช ้เพื่อบรรเทาอาการท ้ องขึ้น ท ้ องอืด ท ้ องเฟ้อ และขับลมในกระเพาะอาหาร</x:v>
      </x:c>
      <x:c r="G3" s="32" t="b">
        <x:v>0</x:v>
      </x:c>
      <x:c r="H3" s="37" t="str">
        <x:v>[{"type":"PIL","url":"https://drug.fda.moph.go.th/media.php?id=733930253092790272&amp;name=PIL ยาขับลม (15032024).pdf","published_date":"15/3/2024"}]</x:v>
      </x:c>
      <x:c r="I3" s="31" t="str">
        <x:v>Draft</x:v>
      </x:c>
      <x:c r="J3" s="31"/>
      <x:c r="K3" s="37" t="str">
        <x:v>https://drug.fda.moph.go.th/media.php?id=733930253092790272&amp;name=PIL ยาขับลม (15032024).pdf</x:v>
      </x:c>
      <x:c r="L3" s="37"/>
      <x:c r="M3" s="31" t="str">
        <x:v>NO</x:v>
      </x:c>
      <x:c r="N3" s="38" t="str">
        <x:v>Not included in SQL: missing reliable English generic code/name or reference</x:v>
      </x:c>
    </x:row>
    <x:row r="4">
      <x:c r="A4" s="31" t="str">
        <x:v>drug_22863faecb</x:v>
      </x:c>
      <x:c r="B4" s="39" t="str">
        <x:v>ยาดมแก้วิงเวียน แก้คัดจมูก</x:v>
      </x:c>
      <x:c r="C4" s="38" t="str">
        <x:v>รอตรวจสอบชื่อภาษาไทย</x:v>
      </x:c>
      <x:c r="D4" s="39" t="str">
        <x:v>รอตรวจสอบ</x:v>
      </x:c>
      <x:c r="E4" s="31" t="str">
        <x:v>[]</x:v>
      </x:c>
      <x:c r="F4" s="37" t="str">
        <x:v>ยานี้ใช ้เพื่อบรรเทาอาการคัดจมูก หายใจไม่ออก และ บรรเทาอาการวิงเวียนศีรษะ</x:v>
      </x:c>
      <x:c r="G4" s="32" t="b">
        <x:v>0</x:v>
      </x:c>
      <x:c r="H4" s="37" t="str">
        <x:v>[{"type":"PIL","url":"https://drug.fda.moph.go.th/media.php?id=733929961076957184&amp;name=PIL ยาดมแก้วิงเวียนแก้คัดจมูก (15032024).pdf","published_date":"15/3/2024"}]</x:v>
      </x:c>
      <x:c r="I4" s="31" t="str">
        <x:v>Draft</x:v>
      </x:c>
      <x:c r="J4" s="31"/>
      <x:c r="K4" s="37" t="str">
        <x:v>https://drug.fda.moph.go.th/media.php?id=733929961076957184&amp;name=PIL ยาดมแก้วิงเวียนแก้คัดจมูก (15032024).pdf</x:v>
      </x:c>
      <x:c r="L4" s="37"/>
      <x:c r="M4" s="31" t="str">
        <x:v>NO</x:v>
      </x:c>
      <x:c r="N4" s="38" t="str">
        <x:v>Not included in SQL: missing reliable English generic code/name or reference</x:v>
      </x:c>
    </x:row>
    <x:row r="5">
      <x:c r="A5" s="31" t="str">
        <x:v>drug_27c03b94af</x:v>
      </x:c>
      <x:c r="B5" s="39" t="str">
        <x:v>พลาสเตอร์บรรเทาปวด</x:v>
      </x:c>
      <x:c r="C5" s="38" t="str">
        <x:v>รอตรวจสอบชื่อภาษาไทย</x:v>
      </x:c>
      <x:c r="D5" s="39" t="str">
        <x:v>รอตรวจสอบ</x:v>
      </x:c>
      <x:c r="E5" s="31" t="str">
        <x:v>[]</x:v>
      </x:c>
      <x:c r="F5" s="37" t="str">
        <x:v>ยานี้ใช ้เพื่อบรรเทาอาการปวดกล ้ ามเนื้อ</x:v>
      </x:c>
      <x:c r="G5" s="32" t="b">
        <x:v>0</x:v>
      </x:c>
      <x:c r="H5" s="37" t="str">
        <x:v>[{"type":"PIL","url":"https://drug.fda.moph.go.th/media.php?id=733932929000022016&amp;name=PIL พลาสเตอร์บรรเทาปวด (15032024).pdf","published_date":"15/3/2024"}]</x:v>
      </x:c>
      <x:c r="I5" s="31" t="str">
        <x:v>Draft</x:v>
      </x:c>
      <x:c r="J5" s="31"/>
      <x:c r="K5" s="37" t="str">
        <x:v>https://drug.fda.moph.go.th/media.php?id=733932929000022016&amp;name=PIL พลาสเตอร์บรรเทาปวด (15032024).pdf</x:v>
      </x:c>
      <x:c r="L5" s="37"/>
      <x:c r="M5" s="31" t="str">
        <x:v>NO</x:v>
      </x:c>
      <x:c r="N5" s="38" t="str">
        <x:v>Not included in SQL: missing reliable English generic code/name or reference</x:v>
      </x:c>
    </x:row>
    <x:row r="6">
      <x:c r="A6" s="31" t="str">
        <x:v>drug_3ed2c8244f</x:v>
      </x:c>
      <x:c r="B6" s="39" t="str">
        <x:v>ยาแก้ไอขับเสมหะ สำหรับเด็ก</x:v>
      </x:c>
      <x:c r="C6" s="38" t="str">
        <x:v>หากท่านมีภาวะต่อไปนี้</x:v>
      </x:c>
      <x:c r="D6" s="39" t="str">
        <x:v>รอตรวจสอบ</x:v>
      </x:c>
      <x:c r="E6" s="31" t="str">
        <x:v>[]</x:v>
      </x:c>
      <x:c r="F6" s="37" t="str">
        <x:v>ใช ้บรรเทาอาการไอ ขับเสมหะ ในเด็กอายุ 1-12 ปี</x:v>
      </x:c>
      <x:c r="G6" s="32" t="b">
        <x:v>0</x:v>
      </x:c>
      <x:c r="H6" s="37" t="str">
        <x:v>[{"type":"PIL","url":"https://drug.fda.moph.go.th/media.php?id=733932148049977344&amp;name=PIL ยาแก้ไอขับเสมหะสำหรับเด็ก (15032024).pdf","published_date":"15/3/2024"}]</x:v>
      </x:c>
      <x:c r="I6" s="31" t="str">
        <x:v>Draft</x:v>
      </x:c>
      <x:c r="J6" s="31"/>
      <x:c r="K6" s="37" t="str">
        <x:v>https://drug.fda.moph.go.th/media.php?id=733932148049977344&amp;name=PIL ยาแก้ไอขับเสมหะสำหรับเด็ก (15032024).pdf</x:v>
      </x:c>
      <x:c r="L6" s="37"/>
      <x:c r="M6" s="31" t="str">
        <x:v>NO</x:v>
      </x:c>
      <x:c r="N6" s="38" t="str">
        <x:v>Not included in SQL: missing reliable English generic code/name or reference</x:v>
      </x:c>
    </x:row>
    <x:row r="7">
      <x:c r="A7" s="31" t="str">
        <x:v>drug_81f7f5bc2d</x:v>
      </x:c>
      <x:c r="B7" s="39" t="str">
        <x:v>ยากวาดคอ</x:v>
      </x:c>
      <x:c r="C7" s="38" t="str">
        <x:v>ยากวาดคอ ชนิดนํ้า</x:v>
      </x:c>
      <x:c r="D7" s="39" t="str">
        <x:v>รอตรวจสอบ</x:v>
      </x:c>
      <x:c r="E7" s="31" t="str">
        <x:v>[]</x:v>
      </x:c>
      <x:c r="F7" s="37" t="str">
        <x:v>ใช ้เพื่อบรรเทาอาการอักเสบ และเจ็บในลําคอ</x:v>
      </x:c>
      <x:c r="G7" s="32" t="b">
        <x:v>0</x:v>
      </x:c>
      <x:c r="H7" s="37" t="str">
        <x:v>[{"type":"PIL","url":"https://drug.fda.moph.go.th/media.php?id=733932669158694912&amp;name=PIL ยากวาดคอ (150320204).pdf","published_date":"15/3/2024"}]</x:v>
      </x:c>
      <x:c r="I7" s="31" t="str">
        <x:v>Draft</x:v>
      </x:c>
      <x:c r="J7" s="31"/>
      <x:c r="K7" s="37" t="str">
        <x:v>https://drug.fda.moph.go.th/media.php?id=733932669158694912&amp;name=PIL ยากวาดคอ (150320204).pdf</x:v>
      </x:c>
      <x:c r="L7" s="37"/>
      <x:c r="M7" s="31" t="str">
        <x:v>NO</x:v>
      </x:c>
      <x:c r="N7" s="38" t="str">
        <x:v>Not included in SQL: missing reliable English generic code/name or reference</x:v>
      </x:c>
    </x:row>
    <x:row r="8">
      <x:c r="A8" s="31" t="str">
        <x:v>drug_9d2a2ed6b2</x:v>
      </x:c>
      <x:c r="B8" s="39" t="str">
        <x:v>ยาแก้ไอน้ำดำ</x:v>
      </x:c>
      <x:c r="C8" s="38" t="str">
        <x:v>หากท่านมีภาวะต่อไปนี้</x:v>
      </x:c>
      <x:c r="D8" s="39" t="str">
        <x:v>รอตรวจสอบ</x:v>
      </x:c>
      <x:c r="E8" s="31" t="str">
        <x:v>[]</x:v>
      </x:c>
      <x:c r="F8" s="37" t="str">
        <x:v>ใช ้บรรเทาอาการไอ ขับเสมหะ</x:v>
      </x:c>
      <x:c r="G8" s="32" t="b">
        <x:v>0</x:v>
      </x:c>
      <x:c r="H8" s="37" t="str">
        <x:v>[{"type":"PIL","url":"https://drug.fda.moph.go.th/media.php?id=733931981942956032&amp;name=PIL ยาแก้ไอน้ำดำ (15032024).pdf","published_date":"15/3/2024"}]</x:v>
      </x:c>
      <x:c r="I8" s="31" t="str">
        <x:v>Draft</x:v>
      </x:c>
      <x:c r="J8" s="31"/>
      <x:c r="K8" s="37" t="str">
        <x:v>https://drug.fda.moph.go.th/media.php?id=733931981942956032&amp;name=PIL ยาแก้ไอน้ำดำ (15032024).pdf</x:v>
      </x:c>
      <x:c r="L8" s="37"/>
      <x:c r="M8" s="31" t="str">
        <x:v>NO</x:v>
      </x:c>
      <x:c r="N8" s="38" t="str">
        <x:v>Not included in SQL: missing reliable English generic code/name or reference</x:v>
      </x:c>
    </x:row>
    <x:row r="9">
      <x:c r="A9" s="31" t="str">
        <x:v>drug_a56a456d37</x:v>
      </x:c>
      <x:c r="B9" s="39" t="str">
        <x:v>น้ำมันตับปลา</x:v>
      </x:c>
      <x:c r="C9" s="38" t="str">
        <x:v>หากท่านมีภาวะต่อไปนี้</x:v>
      </x:c>
      <x:c r="D9" s="39" t="str">
        <x:v>รอตรวจสอบ</x:v>
      </x:c>
      <x:c r="E9" s="31" t="str">
        <x:v>[]</x:v>
      </x:c>
      <x:c r="F9" s="37" t="str">
        <x:v>ใช ้ป้องกันการขาดวิตามินเอ และ วิตามินดี ในผู้ใหญ่</x:v>
      </x:c>
      <x:c r="G9" s="32" t="b">
        <x:v>0</x:v>
      </x:c>
      <x:c r="H9" s="37" t="str">
        <x:v>[{"type":"PIL","url":"https://drug.fda.moph.go.th/media.php?id=733933046130155520&amp;name=PIL น้ำมันตับปลาชนิดแคปซูล (15032024).pdf","published_date":"15/3/2024"},{"type":"PIL","url":"https://drug.fda.moph.go.th/media.php?id=733933217782046720&amp;name=PIL_น้ำมันตับปลาชนิดน้ำ (15032024).pdf","published_date":"15/3/2024"}]</x:v>
      </x:c>
      <x:c r="I9" s="31" t="str">
        <x:v>Draft</x:v>
      </x:c>
      <x:c r="J9" s="31"/>
      <x:c r="K9" s="37" t="str">
        <x:v>https://drug.fda.moph.go.th/media.php?id=733933046130155520&amp;name=PIL น้ำมันตับปลาชนิดแคปซูล (15032024).pdf
https://drug.fda.moph.go.th/media.php?id=733933217782046720&amp;name=PIL_น้ำมันตับปลาชนิดน้ำ (15032024).pdf</x:v>
      </x:c>
      <x:c r="L9" s="37"/>
      <x:c r="M9" s="31" t="str">
        <x:v>NO</x:v>
      </x:c>
      <x:c r="N9" s="38" t="str">
        <x:v>Not included in SQL: missing reliable English generic code/name or reference</x:v>
      </x:c>
    </x:row>
    <x:row r="10">
      <x:c r="A10" s="31" t="str">
        <x:v>drug_a6f4c03545</x:v>
      </x:c>
      <x:c r="B10" s="39" t="str">
        <x:v>ยาใส่แผลทิงเจอร์ไอโอดีน</x:v>
      </x:c>
      <x:c r="C10" s="38" t="str">
        <x:v>ยาใส่แผล ทิงเจอร์ไอโอดีน ชนิดนํ้า</x:v>
      </x:c>
      <x:c r="D10" s="39" t="str">
        <x:v>รอตรวจสอบ</x:v>
      </x:c>
      <x:c r="E10" s="31" t="str">
        <x:v>[]</x:v>
      </x:c>
      <x:c r="F10" s="37" t="str">
        <x:v>ใช ้รักษาแผลสด</x:v>
      </x:c>
      <x:c r="G10" s="32" t="b">
        <x:v>0</x:v>
      </x:c>
      <x:c r="H10" s="37" t="str">
        <x:v>[{"type":"PIL","url":"https://drug.fda.moph.go.th/media.php?id=733929159822286848&amp;name=PIL ยาใส่แผลทิงเจอร์ไอโอดีน (17102024).pdf","published_date":"17/10/2024"}]</x:v>
      </x:c>
      <x:c r="I10" s="31" t="str">
        <x:v>Draft</x:v>
      </x:c>
      <x:c r="J10" s="31"/>
      <x:c r="K10" s="37" t="str">
        <x:v>https://drug.fda.moph.go.th/media.php?id=733929159822286848&amp;name=PIL ยาใส่แผลทิงเจอร์ไอโอดีน (17102024).pdf</x:v>
      </x:c>
      <x:c r="L10" s="37"/>
      <x:c r="M10" s="31" t="str">
        <x:v>NO</x:v>
      </x:c>
      <x:c r="N10" s="38" t="str">
        <x:v>Not included in SQL: missing reliable English generic code/name or reference</x:v>
      </x:c>
    </x:row>
    <x:row r="11">
      <x:c r="A11" s="31" t="str">
        <x:v>drug_a96b7e501e</x:v>
      </x:c>
      <x:c r="B11" s="39" t="str">
        <x:v>ยาหม่องชนิดขี้ผึ้ง</x:v>
      </x:c>
      <x:c r="C11" s="38" t="str">
        <x:v>รอตรวจสอบชื่อภาษาไทย</x:v>
      </x:c>
      <x:c r="D11" s="39" t="str">
        <x:v>รอตรวจสอบ</x:v>
      </x:c>
      <x:c r="E11" s="31" t="str">
        <x:v>[]</x:v>
      </x:c>
      <x:c r="F11" s="37" t="str">
        <x:v>ยานี้ใช ้เพื่อบรรเทาอาการปวด บวม อักเสบ จากแมลงกัด ต่อย หรือปวดเมื่อยกล ้ ามเนื้อ</x:v>
      </x:c>
      <x:c r="G11" s="32" t="b">
        <x:v>0</x:v>
      </x:c>
      <x:c r="H11" s="37" t="str">
        <x:v>[{"type":"PIL","url":"https://drug.fda.moph.go.th/media.php?id=733925199526895616&amp;name=PIL ยาหม่องชนิดขี้ผึ้ง (15032024).pdf","published_date":"15/3/2024"}]</x:v>
      </x:c>
      <x:c r="I11" s="31" t="str">
        <x:v>Draft</x:v>
      </x:c>
      <x:c r="J11" s="31"/>
      <x:c r="K11" s="37" t="str">
        <x:v>https://drug.fda.moph.go.th/media.php?id=733925199526895616&amp;name=PIL ยาหม่องชนิดขี้ผึ้ง (15032024).pdf</x:v>
      </x:c>
      <x:c r="L11" s="37"/>
      <x:c r="M11" s="31" t="str">
        <x:v>NO</x:v>
      </x:c>
      <x:c r="N11" s="38" t="str">
        <x:v>Not included in SQL: missing reliable English generic code/name or reference</x:v>
      </x:c>
    </x:row>
    <x:row r="12">
      <x:c r="A12" s="31" t="str">
        <x:v>drug_b4b2b3db2d</x:v>
      </x:c>
      <x:c r="B12" s="39" t="str">
        <x:v>ยาดมแก้วิงเวียน เหล้าแอมโมเนียหอม</x:v>
      </x:c>
      <x:c r="C12" s="38" t="str">
        <x:v>หรือถูกพืชมีพิษ</x:v>
      </x:c>
      <x:c r="D12" s="39" t="str">
        <x:v>รอตรวจสอบ</x:v>
      </x:c>
      <x:c r="E12" s="31" t="str">
        <x:v>[]</x:v>
      </x:c>
      <x:c r="F12" s="37" t="str">
        <x:v>ใช ้ดมเพื่อบรรเทาอาการวิงเวียน หน ้ ามืด • ใช ้ทาผิวหนัง เพื่อบรรเทาอาการจากพิษแมลงกัด ต่อย หรือถูกพืชมีพิษ</x:v>
      </x:c>
      <x:c r="G12" s="32" t="b">
        <x:v>0</x:v>
      </x:c>
      <x:c r="H12" s="37" t="str">
        <x:v>[{"type":"PIL","url":"https://drug.fda.moph.go.th/media.php?id=733929846647955456&amp;name=PIL ยาดมแก้วิงเวียนเหล้าแอมโมเนียหอม (15032024).pdf","published_date":"15/3/2024"}]</x:v>
      </x:c>
      <x:c r="I12" s="31" t="str">
        <x:v>Draft</x:v>
      </x:c>
      <x:c r="J12" s="31"/>
      <x:c r="K12" s="37" t="str">
        <x:v>https://drug.fda.moph.go.th/media.php?id=733929846647955456&amp;name=PIL ยาดมแก้วิงเวียนเหล้าแอมโมเนียหอม (15032024).pdf</x:v>
      </x:c>
      <x:c r="L12" s="37"/>
      <x:c r="M12" s="31" t="str">
        <x:v>NO</x:v>
      </x:c>
      <x:c r="N12" s="38" t="str">
        <x:v>Not included in SQL: missing reliable English generic code/name or reference</x:v>
      </x:c>
    </x:row>
    <x:row r="13">
      <x:c r="A13" s="31" t="str">
        <x:v>drug_cdacb08fe5</x:v>
      </x:c>
      <x:c r="B13" s="39" t="str">
        <x:v>ทิงเจอร์มหาหิงคุ์</x:v>
      </x:c>
      <x:c r="C13" s="38" t="str">
        <x:v>ยาทาแก ้ท้องอืด ท้องเฟ ้ อ ท ิงเจอร ์มหาห ิงคุ ์ ชนิดนํ้า</x:v>
      </x:c>
      <x:c r="D13" s="39" t="str">
        <x:v>รอตรวจสอบ</x:v>
      </x:c>
      <x:c r="E13" s="31" t="str">
        <x:v>[]</x:v>
      </x:c>
      <x:c r="F13" s="37" t="str">
        <x:v>ใช ้เพื่อบรรเทาอาการท ้อ งอืด ท ้ องเฟ้อ ปวดท ้ องในเด็ก</x:v>
      </x:c>
      <x:c r="G13" s="32" t="b">
        <x:v>0</x:v>
      </x:c>
      <x:c r="H13" s="37" t="str">
        <x:v>[{"type":"PIL","url":"https://drug.fda.moph.go.th/media.php?id=733928051582312448&amp;name=PIL asafetida tincture_ทิงเจอร์มหาหิงคุ์ (15032024).pdf","published_date":"15/3/2024"}]</x:v>
      </x:c>
      <x:c r="I13" s="31" t="str">
        <x:v>Draft</x:v>
      </x:c>
      <x:c r="J13" s="31"/>
      <x:c r="K13" s="37" t="str">
        <x:v>https://drug.fda.moph.go.th/media.php?id=733928051582312448&amp;name=PIL asafetida tincture_ทิงเจอร์มหาหิงคุ์ (15032024).pdf</x:v>
      </x:c>
      <x:c r="L13" s="37"/>
      <x:c r="M13" s="31" t="str">
        <x:v>NO</x:v>
      </x:c>
      <x:c r="N13" s="38" t="str">
        <x:v>Not included in SQL: missing reliable English generic code/name or reference</x:v>
      </x:c>
    </x:row>
    <x:row r="14">
      <x:c r="A14" s="31" t="str">
        <x:v>drug_cdf20ba583</x:v>
      </x:c>
      <x:c r="B14" s="39" t="str">
        <x:v>ยาอมบรรเทาอาการระคายคอ ชนิดเม็ด</x:v>
      </x:c>
      <x:c r="C14" s="38" t="str">
        <x:v>ยาอม บรรเทาอาการระคายคอ ชนิดเม็ด</x:v>
      </x:c>
      <x:c r="D14" s="39" t="str">
        <x:v>รอตรวจสอบ</x:v>
      </x:c>
      <x:c r="E14" s="31" t="str">
        <x:v>[]</x:v>
      </x:c>
      <x:c r="F14" s="37" t="str">
        <x:v>ใช ้เพื่อบรรเทาอาการระคายคอ ทําให ้ ชุ่มคอ</x:v>
      </x:c>
      <x:c r="G14" s="32" t="b">
        <x:v>0</x:v>
      </x:c>
      <x:c r="H14" s="37" t="str">
        <x:v>[{"type":"PIL","url":"https://drug.fda.moph.go.th/media.php?id=733928650512146432&amp;name=PIL ยาอมบรรเทาอาการระคายคอ (15032024).pdf","published_date":"15/3/2024"}]</x:v>
      </x:c>
      <x:c r="I14" s="31" t="str">
        <x:v>Draft</x:v>
      </x:c>
      <x:c r="J14" s="31"/>
      <x:c r="K14" s="37" t="str">
        <x:v>https://drug.fda.moph.go.th/media.php?id=733928650512146432&amp;name=PIL ยาอมบรรเทาอาการระคายคอ (15032024).pdf</x:v>
      </x:c>
      <x:c r="L14" s="37"/>
      <x:c r="M14" s="31" t="str">
        <x:v>NO</x:v>
      </x:c>
      <x:c r="N14" s="38" t="str">
        <x:v>Not included in SQL: missing reliable English generic code/name or reference</x:v>
      </x:c>
    </x:row>
    <x:row r="15">
      <x:c r="A15" s="31" t="str">
        <x:v>drug_d49a89ee4c</x:v>
      </x:c>
      <x:c r="B15" s="39" t="str">
        <x:v>ยาระบาย มะขามแขก</x:v>
      </x:c>
      <x:c r="C15" s="38" t="str">
        <x:v>แล ะ ผ ู ้ใ หญ ่</x:v>
      </x:c>
      <x:c r="D15" s="39" t="str">
        <x:v>รอตรวจสอบ</x:v>
      </x:c>
      <x:c r="E15" s="31" t="str">
        <x:v>[]</x:v>
      </x:c>
      <x:c r="F15" s="37" t="str">
        <x:v>ใช ้บรรเทาอาการท ้ องผูก ในเด็กอายุมากกว่า 6 ปี แล ะ ผ ู ้ใ หญ ่</x:v>
      </x:c>
      <x:c r="G15" s="32" t="b">
        <x:v>0</x:v>
      </x:c>
      <x:c r="H15" s="37" t="str">
        <x:v>[{"type":"PIL","url":"https://drug.fda.moph.go.th/media.php?id=733929359777341440&amp;name=PIL ยาระบายมะขามแขก (15032024).pdf","published_date":"15/3/2024"}]</x:v>
      </x:c>
      <x:c r="I15" s="31" t="str">
        <x:v>Draft</x:v>
      </x:c>
      <x:c r="J15" s="31"/>
      <x:c r="K15" s="37" t="str">
        <x:v>https://drug.fda.moph.go.th/media.php?id=733929359777341440&amp;name=PIL ยาระบายมะขามแขก (15032024).pdf</x:v>
      </x:c>
      <x:c r="L15" s="37"/>
      <x:c r="M15" s="31" t="str">
        <x:v>NO</x:v>
      </x:c>
      <x:c r="N15" s="38" t="str">
        <x:v>Not included in SQL: missing reliable English generic code/name or reference</x:v>
      </x:c>
    </x:row>
    <x:row r="16">
      <x:c r="A16" s="31" t="str">
        <x:v>drug_e5698924be</x:v>
      </x:c>
      <x:c r="B16" s="39" t="str">
        <x:v>ยาแก้ท้องอืด ท้องเฟ้อ ยาธาตุน้ำแดง</x:v>
      </x:c>
      <x:c r="C16" s="38" t="str">
        <x:v>ยาแก ้ท้องอืด ท้องเฟ ้ อ ยาธาตุนํ้าแดง ชนิดนํ้า</x:v>
      </x:c>
      <x:c r="D16" s="39" t="str">
        <x:v>รอตรวจสอบ</x:v>
      </x:c>
      <x:c r="E16" s="31" t="str">
        <x:v>[]</x:v>
      </x:c>
      <x:c r="F16" s="37" t="str">
        <x:v>ใช ้เพื่อบรรเทาอาการปวดท ้อ งเนื่องจากจุกเสียด ท ้อ งขึ้น ท ้ องเฟ้อ</x:v>
      </x:c>
      <x:c r="G16" s="32" t="b">
        <x:v>0</x:v>
      </x:c>
      <x:c r="H16" s="37" t="str">
        <x:v>[{"type":"PIL","url":"https://drug.fda.moph.go.th/media.php?id=733932285426016256&amp;name=PIL_ยาธาตุน้ำแดง_update (15032024).pdf","published_date":"15/3/2024"}]</x:v>
      </x:c>
      <x:c r="I16" s="31" t="str">
        <x:v>Draft</x:v>
      </x:c>
      <x:c r="J16" s="31"/>
      <x:c r="K16" s="37" t="str">
        <x:v>https://drug.fda.moph.go.th/media.php?id=733932285426016256&amp;name=PIL_ยาธาตุน้ำแดง_update (15032024).pdf</x:v>
      </x:c>
      <x:c r="L16" s="37"/>
      <x:c r="M16" s="31" t="str">
        <x:v>NO</x:v>
      </x:c>
      <x:c r="N16" s="38" t="str">
        <x:v>Not included in SQL: missing reliable English generic code/name or reference</x:v>
      </x:c>
    </x:row>
  </x:sheetData>
  <x:pageMargins left="0.7" right="0.7" top="0.75" bottom="0.75" header="0.3" footer="0.3"/>
  <x:tableParts count="1">
    <x:tablePart xmlns:r="http://schemas.openxmlformats.org/officeDocument/2006/relationships" r:id="R1e0cd4ae1cdb4c1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5" hidden="0" customWidth="1"/>
    <x:col min="4" max="4" width="16" hidden="0" customWidth="1"/>
    <x:col min="5" max="5" width="67" hidden="0" customWidth="1"/>
    <x:col min="6" max="6" width="16" hidden="0" customWidth="1"/>
    <x:col min="7" max="7" width="18" hidden="0" customWidth="1"/>
    <x:col min="8" max="8" width="12" hidden="0" customWidth="1"/>
  </x:cols>
  <x:sheetData>
    <x:row r="1" ht="30" customHeight="1">
      <x:c r="A1" s="36" t="str">
        <x:v>document_id</x:v>
      </x:c>
      <x:c r="B1" s="36" t="str">
        <x:v>drug_code</x:v>
      </x:c>
      <x:c r="C1" s="36" t="str">
        <x:v>document_type</x:v>
      </x:c>
      <x:c r="D1" s="36" t="str">
        <x:v>document_date</x:v>
      </x:c>
      <x:c r="E1" s="36" t="str">
        <x:v>document_url</x:v>
      </x:c>
      <x:c r="F1" s="36" t="str">
        <x:v>file_status</x:v>
      </x:c>
      <x:c r="G1" s="36" t="str">
        <x:v>extraction_status</x:v>
      </x:c>
      <x:c r="H1" s="36" t="str">
        <x:v>page_count</x:v>
      </x:c>
    </x:row>
    <x:row r="2">
      <x:c r="A2" s="31" t="str">
        <x:v>r0001_pil</x:v>
      </x:c>
      <x:c r="B2" s="31" t="str">
        <x:v>acetylcysteine</x:v>
      </x:c>
      <x:c r="C2" s="31" t="str">
        <x:v>PIL</x:v>
      </x:c>
      <x:c r="D2" s="31" t="str">
        <x:v>2025-03-19</x:v>
      </x:c>
      <x:c r="E2" s="37" t="str">
        <x:v>https://drug.fda.moph.go.th/media.php?id=805122388374200320&amp;name=Acetylcysteine granules PIL 190325.pdf</x:v>
      </x:c>
      <x:c r="F2" s="31" t="str">
        <x:v>downloaded</x:v>
      </x:c>
      <x:c r="G2" s="31" t="str">
        <x:v>text_extracted</x:v>
      </x:c>
      <x:c r="H2" s="31" t="n">
        <x:v>2</x:v>
      </x:c>
    </x:row>
    <x:row r="3">
      <x:c r="A3" s="31" t="str">
        <x:v>r0002_smpc</x:v>
      </x:c>
      <x:c r="B3" s="31" t="str">
        <x:v>acetylcysteine</x:v>
      </x:c>
      <x:c r="C3" s="31" t="str">
        <x:v>SMPC</x:v>
      </x:c>
      <x:c r="D3" s="31" t="str">
        <x:v>2024-11-27</x:v>
      </x:c>
      <x:c r="E3" s="37" t="str">
        <x:v>https://drug.fda.moph.go.th/media.php?id=805129885323501568&amp;name=acetylcysteine eye drop, solution SmPC.pdf</x:v>
      </x:c>
      <x:c r="F3" s="31" t="str">
        <x:v>downloaded</x:v>
      </x:c>
      <x:c r="G3" s="31" t="str">
        <x:v>text_extracted</x:v>
      </x:c>
      <x:c r="H3" s="31" t="n">
        <x:v>5</x:v>
      </x:c>
    </x:row>
    <x:row r="4">
      <x:c r="A4" s="31" t="str">
        <x:v>r0003_smpc</x:v>
      </x:c>
      <x:c r="B4" s="31" t="str">
        <x:v>acetylcysteine</x:v>
      </x:c>
      <x:c r="C4" s="31" t="str">
        <x:v>SMPC</x:v>
      </x:c>
      <x:c r="D4" s="31" t="str">
        <x:v>2024-11-27</x:v>
      </x:c>
      <x:c r="E4" s="37" t="str">
        <x:v>https://drug.fda.moph.go.th/media.php?id=809595104229728256&amp;name=SMPC_Acetylcysteine_Powder for Oral Solution.pdf</x:v>
      </x:c>
      <x:c r="F4" s="31" t="str">
        <x:v>downloaded</x:v>
      </x:c>
      <x:c r="G4" s="31" t="str">
        <x:v>text_extracted</x:v>
      </x:c>
      <x:c r="H4" s="31" t="n">
        <x:v>9</x:v>
      </x:c>
    </x:row>
    <x:row r="5">
      <x:c r="A5" s="31" t="str">
        <x:v>r0004_smpc</x:v>
      </x:c>
      <x:c r="B5" s="31" t="str">
        <x:v>acetylcysteine</x:v>
      </x:c>
      <x:c r="C5" s="31" t="str">
        <x:v>SMPC</x:v>
      </x:c>
      <x:c r="D5" s="31" t="str">
        <x:v>2024-11-27</x:v>
      </x:c>
      <x:c r="E5" s="37" t="str">
        <x:v>https://drug.fda.moph.go.th/media.php?id=809596981939937280&amp;name=SMPC_Acetylcysteine_Solutions for injections or infusions.pdf</x:v>
      </x:c>
      <x:c r="F5" s="31" t="str">
        <x:v>downloaded</x:v>
      </x:c>
      <x:c r="G5" s="31" t="str">
        <x:v>text_extracted</x:v>
      </x:c>
      <x:c r="H5" s="31" t="n">
        <x:v>12</x:v>
      </x:c>
    </x:row>
    <x:row r="6">
      <x:c r="A6" s="31" t="str">
        <x:v>r0005_smpc</x:v>
      </x:c>
      <x:c r="B6" s="31" t="str">
        <x:v>activated_charcoal</x:v>
      </x:c>
      <x:c r="C6" s="31" t="str">
        <x:v>SMPC</x:v>
      </x:c>
      <x:c r="D6" s="31" t="str">
        <x:v>2024-11-20</x:v>
      </x:c>
      <x:c r="E6" s="37" t="str">
        <x:v>https://drug.fda.moph.go.th/media.php?id=809597713694990336&amp;name=SMPC_Activated charcoal powder.pdf</x:v>
      </x:c>
      <x:c r="F6" s="31" t="str">
        <x:v>downloaded</x:v>
      </x:c>
      <x:c r="G6" s="31" t="str">
        <x:v>text_extracted</x:v>
      </x:c>
      <x:c r="H6" s="31" t="n">
        <x:v>4</x:v>
      </x:c>
    </x:row>
    <x:row r="7">
      <x:c r="A7" s="31" t="str">
        <x:v>r0006_pil</x:v>
      </x:c>
      <x:c r="B7" s="31" t="str">
        <x:v>activated_charcoal</x:v>
      </x:c>
      <x:c r="C7" s="31" t="str">
        <x:v>PIL</x:v>
      </x:c>
      <x:c r="D7" s="31" t="str">
        <x:v>2024-03-15</x:v>
      </x:c>
      <x:c r="E7" s="37" t="str">
        <x:v>https://drug.fda.moph.go.th/media.php?id=733927490405408768&amp;name=PIL ผงถ่านรักษาท้องเสีย (15032024).pdf</x:v>
      </x:c>
      <x:c r="F7" s="31" t="str">
        <x:v>downloaded</x:v>
      </x:c>
      <x:c r="G7" s="31" t="str">
        <x:v>text_extracted</x:v>
      </x:c>
      <x:c r="H7" s="31" t="n">
        <x:v>1</x:v>
      </x:c>
    </x:row>
    <x:row r="8">
      <x:c r="A8" s="31" t="str">
        <x:v>r0007_pil</x:v>
      </x:c>
      <x:c r="B8" s="31" t="str">
        <x:v>aciclovir</x:v>
      </x:c>
      <x:c r="C8" s="31" t="str">
        <x:v>PIL</x:v>
      </x:c>
      <x:c r="D8" s="31" t="str">
        <x:v>2025-03-19</x:v>
      </x:c>
      <x:c r="E8" s="37" t="str">
        <x:v>https://drug.fda.moph.go.th/media.php?id=805389800621350912&amp;name=46 Aciclovir_compressedtablet_PIL.pdf</x:v>
      </x:c>
      <x:c r="F8" s="31" t="str">
        <x:v>downloaded</x:v>
      </x:c>
      <x:c r="G8" s="31" t="str">
        <x:v>text_extracted</x:v>
      </x:c>
      <x:c r="H8" s="31" t="n">
        <x:v>1</x:v>
      </x:c>
    </x:row>
    <x:row r="9">
      <x:c r="A9" s="31" t="str">
        <x:v>r0008_pil</x:v>
      </x:c>
      <x:c r="B9" s="31" t="str">
        <x:v>aciclovir</x:v>
      </x:c>
      <x:c r="C9" s="31" t="str">
        <x:v>PIL</x:v>
      </x:c>
      <x:c r="D9" s="31" t="str">
        <x:v>2025-03-19</x:v>
      </x:c>
      <x:c r="E9" s="37" t="str">
        <x:v>https://drug.fda.moph.go.th/media.php?id=805391326362345472&amp;name=47 Aciclovir_cream_PIL.pdf</x:v>
      </x:c>
      <x:c r="F9" s="31" t="str">
        <x:v>downloaded</x:v>
      </x:c>
      <x:c r="G9" s="31" t="str">
        <x:v>text_extracted</x:v>
      </x:c>
      <x:c r="H9" s="31" t="n">
        <x:v>1</x:v>
      </x:c>
    </x:row>
    <x:row r="10">
      <x:c r="A10" s="31" t="str">
        <x:v>r0009_smpc</x:v>
      </x:c>
      <x:c r="B10" s="31" t="str">
        <x:v>aciclovir</x:v>
      </x:c>
      <x:c r="C10" s="31" t="str">
        <x:v>SMPC</x:v>
      </x:c>
      <x:c r="D10" s="31" t="str">
        <x:v>2024-11-20</x:v>
      </x:c>
      <x:c r="E10" s="37" t="str">
        <x:v>https://drug.fda.moph.go.th/media.php?id=805393409417289728&amp;name=smpc_Aciclovir (CREAM).pdf</x:v>
      </x:c>
      <x:c r="F10" s="31" t="str">
        <x:v>downloaded</x:v>
      </x:c>
      <x:c r="G10" s="31" t="str">
        <x:v>text_extracted</x:v>
      </x:c>
      <x:c r="H10" s="31" t="n">
        <x:v>8</x:v>
      </x:c>
    </x:row>
    <x:row r="11">
      <x:c r="A11" s="31" t="str">
        <x:v>r0010_pil</x:v>
      </x:c>
      <x:c r="B11" s="31" t="str">
        <x:v>albendazole</x:v>
      </x:c>
      <x:c r="C11" s="31" t="str">
        <x:v>PIL</x:v>
      </x:c>
      <x:c r="D11" s="31" t="str">
        <x:v>2025-03-19</x:v>
      </x:c>
      <x:c r="E11" s="37" t="str">
        <x:v>https://drug.fda.moph.go.th/media.php?id=808216494428266496&amp;name=Albendazole_filmcotedtablet_PIL.pdf</x:v>
      </x:c>
      <x:c r="F11" s="31" t="str">
        <x:v>downloaded</x:v>
      </x:c>
      <x:c r="G11" s="31" t="str">
        <x:v>text_extracted</x:v>
      </x:c>
      <x:c r="H11" s="31" t="n">
        <x:v>1</x:v>
      </x:c>
    </x:row>
    <x:row r="12">
      <x:c r="A12" s="31" t="str">
        <x:v>r0011_pil</x:v>
      </x:c>
      <x:c r="B12" s="31" t="str">
        <x:v>albendazole</x:v>
      </x:c>
      <x:c r="C12" s="31" t="str">
        <x:v>PIL</x:v>
      </x:c>
      <x:c r="D12" s="31" t="str">
        <x:v>2025-03-19</x:v>
      </x:c>
      <x:c r="E12" s="37" t="str">
        <x:v>https://drug.fda.moph.go.th/media.php?id=808225793334452224&amp;name=Albendazole_suspension_PIL.pdf</x:v>
      </x:c>
      <x:c r="F12" s="31" t="str">
        <x:v>downloaded</x:v>
      </x:c>
      <x:c r="G12" s="31" t="str">
        <x:v>text_extracted</x:v>
      </x:c>
      <x:c r="H12" s="31" t="n">
        <x:v>1</x:v>
      </x:c>
    </x:row>
    <x:row r="13">
      <x:c r="A13" s="31" t="str">
        <x:v>r0012_smpc</x:v>
      </x:c>
      <x:c r="B13" s="31" t="str">
        <x:v>albendazole</x:v>
      </x:c>
      <x:c r="C13" s="31" t="str">
        <x:v>SMPC</x:v>
      </x:c>
      <x:c r="D13" s="31" t="str">
        <x:v>2024-11-27</x:v>
      </x:c>
      <x:c r="E13" s="37" t="str">
        <x:v>https://drug.fda.moph.go.th/media.php?id=809599347237986304&amp;name=SMPC_albendazole_tablet.pdf</x:v>
      </x:c>
      <x:c r="F13" s="31" t="str">
        <x:v>downloaded</x:v>
      </x:c>
      <x:c r="G13" s="31" t="str">
        <x:v>text_extracted</x:v>
      </x:c>
      <x:c r="H13" s="31" t="n">
        <x:v>19</x:v>
      </x:c>
    </x:row>
    <x:row r="14">
      <x:c r="A14" s="31" t="str">
        <x:v>r0013_smpc</x:v>
      </x:c>
      <x:c r="B14" s="31" t="str">
        <x:v>albumin</x:v>
      </x:c>
      <x:c r="C14" s="31" t="str">
        <x:v>SMPC</x:v>
      </x:c>
      <x:c r="D14" s="31" t="str">
        <x:v>2024-11-27</x:v>
      </x:c>
      <x:c r="E14" s="37" t="str">
        <x:v>https://drug.fda.moph.go.th/media.php?id=809608080450002944&amp;name=SMPC_Albumin_Solution for Infusion.pdf</x:v>
      </x:c>
      <x:c r="F14" s="31" t="str">
        <x:v>downloaded</x:v>
      </x:c>
      <x:c r="G14" s="31" t="str">
        <x:v>text_extracted</x:v>
      </x:c>
      <x:c r="H14" s="31" t="n">
        <x:v>8</x:v>
      </x:c>
    </x:row>
    <x:row r="15">
      <x:c r="A15" s="31" t="str">
        <x:v>r0014_smpc</x:v>
      </x:c>
      <x:c r="B15" s="31" t="str">
        <x:v>alteplase</x:v>
      </x:c>
      <x:c r="C15" s="31" t="str">
        <x:v>SMPC</x:v>
      </x:c>
      <x:c r="D15" s="31" t="str">
        <x:v>2024-11-27</x:v>
      </x:c>
      <x:c r="E15" s="37" t="str">
        <x:v>https://drug.fda.moph.go.th/media.php?id=809611851246739456&amp;name=SMPC_Alteplase_Powder and Solvent for Solution for Injection and Infusion.pdf</x:v>
      </x:c>
      <x:c r="F15" s="31" t="str">
        <x:v>downloaded</x:v>
      </x:c>
      <x:c r="G15" s="31" t="str">
        <x:v>text_extracted</x:v>
      </x:c>
      <x:c r="H15" s="31" t="n">
        <x:v>11</x:v>
      </x:c>
    </x:row>
    <x:row r="16">
      <x:c r="A16" s="31" t="str">
        <x:v>r0015_smpc</x:v>
      </x:c>
      <x:c r="B16" s="31" t="str">
        <x:v>alteplase</x:v>
      </x:c>
      <x:c r="C16" s="31" t="str">
        <x:v>SMPC</x:v>
      </x:c>
      <x:c r="D16" s="31" t="str">
        <x:v>2024-11-27</x:v>
      </x:c>
      <x:c r="E16" s="37" t="str">
        <x:v>https://drug.fda.moph.go.th/media.php?id=809649071521406976&amp;name=SMPC_Alteplase_10-20-50_Powder and Solvent for Solution for Injection and Infusion.pdf</x:v>
      </x:c>
      <x:c r="F16" s="31" t="str">
        <x:v>downloaded</x:v>
      </x:c>
      <x:c r="G16" s="31" t="str">
        <x:v>text_extracted</x:v>
      </x:c>
      <x:c r="H16" s="31" t="n">
        <x:v>27</x:v>
      </x:c>
    </x:row>
    <x:row r="17">
      <x:c r="A17" s="31" t="str">
        <x:v>r0016_pil</x:v>
      </x:c>
      <x:c r="B17" s="31" t="str">
        <x:v>aluminium_hydroxide</x:v>
      </x:c>
      <x:c r="C17" s="31" t="str">
        <x:v>PIL</x:v>
      </x:c>
      <x:c r="D17" s="31" t="str">
        <x:v>2023-11-09</x:v>
      </x:c>
      <x:c r="E17" s="37" t="str">
        <x:v>https://drug.fda.moph.go.th/media.php?id=725941518057218048&amp;name=pil_Aluminium hydroxide (TABLET).pdf</x:v>
      </x:c>
      <x:c r="F17" s="31" t="str">
        <x:v>downloaded</x:v>
      </x:c>
      <x:c r="G17" s="31" t="str">
        <x:v>text_extracted</x:v>
      </x:c>
      <x:c r="H17" s="31" t="n">
        <x:v>1</x:v>
      </x:c>
    </x:row>
    <x:row r="18">
      <x:c r="A18" s="31" t="str">
        <x:v>r0017_pil</x:v>
      </x:c>
      <x:c r="B18" s="31" t="str">
        <x:v>aluminium_hydroxide_magnesium_hydroxide</x:v>
      </x:c>
      <x:c r="C18" s="31" t="str">
        <x:v>PIL</x:v>
      </x:c>
      <x:c r="D18" s="31" t="str">
        <x:v>2024-03-15</x:v>
      </x:c>
      <x:c r="E18" s="37" t="str">
        <x:v>https://drug.fda.moph.go.th/media.php?id=733956273732722688&amp;name=PIL ยาลดกรด Aluminium hydroxide + Magnesium hydroxide(15032024).pdf</x:v>
      </x:c>
      <x:c r="F18" s="31" t="str">
        <x:v>downloaded</x:v>
      </x:c>
      <x:c r="G18" s="31" t="str">
        <x:v>text_extracted</x:v>
      </x:c>
      <x:c r="H18" s="31" t="n">
        <x:v>1</x:v>
      </x:c>
    </x:row>
    <x:row r="19">
      <x:c r="A19" s="31" t="str">
        <x:v>r0017_smpc</x:v>
      </x:c>
      <x:c r="B19" s="31" t="str">
        <x:v>aluminium_hydroxide_magnesium_hydroxide</x:v>
      </x:c>
      <x:c r="C19" s="31" t="str">
        <x:v>SMPC</x:v>
      </x:c>
      <x:c r="D19" s="31" t="str">
        <x:v>2024-11-20</x:v>
      </x:c>
      <x:c r="E19" s="37" t="str">
        <x:v>https://drug.fda.moph.go.th/media.php?id=809650671178620928&amp;name=SMPC_aluminium hydroxide and magnesium hydroxide_suspension.pdf</x:v>
      </x:c>
      <x:c r="F19" s="31" t="str">
        <x:v>downloaded</x:v>
      </x:c>
      <x:c r="G19" s="31" t="str">
        <x:v>text_extracted</x:v>
      </x:c>
      <x:c r="H19" s="31" t="n">
        <x:v>5</x:v>
      </x:c>
    </x:row>
    <x:row r="20">
      <x:c r="A20" s="31" t="str">
        <x:v>r0018_pil</x:v>
      </x:c>
      <x:c r="B20" s="31" t="str">
        <x:v>aluminium_hydroxide_magnesium_hydroxide_simethicone</x:v>
      </x:c>
      <x:c r="C20" s="31" t="str">
        <x:v>PIL</x:v>
      </x:c>
      <x:c r="D20" s="31" t="str">
        <x:v>2024-03-15</x:v>
      </x:c>
      <x:c r="E20" s="37" t="str">
        <x:v>https://drug.fda.moph.go.th/media.php?id=733956003812483072&amp;name=PIL ยาลดกรด Aluminium hydroxide + Magnesium hydroxide + Simethicone (1503202.pdf</x:v>
      </x:c>
      <x:c r="F20" s="31" t="str">
        <x:v>downloaded</x:v>
      </x:c>
      <x:c r="G20" s="31" t="str">
        <x:v>text_extracted</x:v>
      </x:c>
      <x:c r="H20" s="31" t="n">
        <x:v>1</x:v>
      </x:c>
    </x:row>
    <x:row r="21">
      <x:c r="A21" s="31" t="str">
        <x:v>r0019_pil</x:v>
      </x:c>
      <x:c r="B21" s="31" t="str">
        <x:v>ambroxol</x:v>
      </x:c>
      <x:c r="C21" s="31" t="str">
        <x:v>PIL</x:v>
      </x:c>
      <x:c r="D21" s="31" t="str">
        <x:v>2025-03-19</x:v>
      </x:c>
      <x:c r="E21" s="37" t="str">
        <x:v>https://drug.fda.moph.go.th/media.php?id=808234855765778432&amp;name=Ambroxol_syrup_PIL.pdf</x:v>
      </x:c>
      <x:c r="F21" s="31" t="str">
        <x:v>downloaded</x:v>
      </x:c>
      <x:c r="G21" s="31" t="str">
        <x:v>text_extracted</x:v>
      </x:c>
      <x:c r="H21" s="31" t="n">
        <x:v>2</x:v>
      </x:c>
    </x:row>
    <x:row r="22">
      <x:c r="A22" s="31" t="str">
        <x:v>r0019_smpc</x:v>
      </x:c>
      <x:c r="B22" s="31" t="str">
        <x:v>ambroxol</x:v>
      </x:c>
      <x:c r="C22" s="31" t="str">
        <x:v>SMPC</x:v>
      </x:c>
      <x:c r="D22" s="31" t="str">
        <x:v>2024-11-27</x:v>
      </x:c>
      <x:c r="E22" s="37" t="str">
        <x:v>https://drug.fda.moph.go.th/media.php?id=809651334000287744&amp;name=SMPC_Ambroxol_Syrup.pdf</x:v>
      </x:c>
      <x:c r="F22" s="31" t="str">
        <x:v>downloaded</x:v>
      </x:c>
      <x:c r="G22" s="31" t="str">
        <x:v>text_extracted</x:v>
      </x:c>
      <x:c r="H22" s="31" t="n">
        <x:v>9</x:v>
      </x:c>
    </x:row>
    <x:row r="23">
      <x:c r="A23" s="31" t="str">
        <x:v>r0020_smpc</x:v>
      </x:c>
      <x:c r="B23" s="31" t="str">
        <x:v>amitriptyline</x:v>
      </x:c>
      <x:c r="C23" s="31" t="str">
        <x:v>SMPC</x:v>
      </x:c>
      <x:c r="D23" s="31" t="str">
        <x:v>2024-11-27</x:v>
      </x:c>
      <x:c r="E23" s="37" t="str">
        <x:v>https://drug.fda.moph.go.th/media.php?id=809652580375470080&amp;name=SMPC_Amitriptyline_Tablets.pdf</x:v>
      </x:c>
      <x:c r="F23" s="31" t="str">
        <x:v>downloaded</x:v>
      </x:c>
      <x:c r="G23" s="31" t="str">
        <x:v>text_extracted</x:v>
      </x:c>
      <x:c r="H23" s="31" t="n">
        <x:v>24</x:v>
      </x:c>
    </x:row>
    <x:row r="24">
      <x:c r="A24" s="31" t="str">
        <x:v>r0021_pil</x:v>
      </x:c>
      <x:c r="B24" s="31" t="str">
        <x:v>amoxicillin</x:v>
      </x:c>
      <x:c r="C24" s="31" t="str">
        <x:v>PIL</x:v>
      </x:c>
      <x:c r="D24" s="31" t="str">
        <x:v>2023-11-09</x:v>
      </x:c>
      <x:c r="E24" s="37" t="str">
        <x:v>https://drug.fda.moph.go.th/media.php?id=725942083768164352&amp;name=pil_Amoxicillin (CAPSULE, HARD).pdf</x:v>
      </x:c>
      <x:c r="F24" s="31" t="str">
        <x:v>downloaded</x:v>
      </x:c>
      <x:c r="G24" s="31" t="str">
        <x:v>text_extracted</x:v>
      </x:c>
      <x:c r="H24" s="31" t="n">
        <x:v>2</x:v>
      </x:c>
    </x:row>
    <x:row r="25">
      <x:c r="A25" s="31" t="str">
        <x:v>r0022_pil</x:v>
      </x:c>
      <x:c r="B25" s="31" t="str">
        <x:v>amoxicillin</x:v>
      </x:c>
      <x:c r="C25" s="31" t="str">
        <x:v>PIL</x:v>
      </x:c>
      <x:c r="D25" s="31" t="str">
        <x:v>2023-11-09</x:v>
      </x:c>
      <x:c r="E25" s="37" t="str">
        <x:v>https://drug.fda.moph.go.th/media.php?id=725942176474865664&amp;name=pil_Amoxicillin (DRY SYRUP).pdf</x:v>
      </x:c>
      <x:c r="F25" s="31" t="str">
        <x:v>downloaded</x:v>
      </x:c>
      <x:c r="G25" s="31" t="str">
        <x:v>text_extracted</x:v>
      </x:c>
      <x:c r="H25" s="31" t="n">
        <x:v>2</x:v>
      </x:c>
    </x:row>
    <x:row r="26">
      <x:c r="A26" s="31" t="str">
        <x:v>r0022_smpc</x:v>
      </x:c>
      <x:c r="B26" s="31" t="str">
        <x:v>amoxicillin</x:v>
      </x:c>
      <x:c r="C26" s="31" t="str">
        <x:v>SMPC</x:v>
      </x:c>
      <x:c r="D26" s="31" t="str">
        <x:v>2024-11-27</x:v>
      </x:c>
      <x:c r="E26" s="37" t="str">
        <x:v>https://drug.fda.moph.go.th/media.php?id=809653143766966272&amp;name=SMPC_Amoxicillin_Dry syrup.pdf</x:v>
      </x:c>
      <x:c r="F26" s="31" t="str">
        <x:v>downloaded</x:v>
      </x:c>
      <x:c r="G26" s="31" t="str">
        <x:v>text_extracted</x:v>
      </x:c>
      <x:c r="H26" s="31" t="n">
        <x:v>24</x:v>
      </x:c>
    </x:row>
    <x:row r="27">
      <x:c r="A27" s="31" t="str">
        <x:v>r0023_smpc</x:v>
      </x:c>
      <x:c r="B27" s="31" t="str">
        <x:v>amoxicillin</x:v>
      </x:c>
      <x:c r="C27" s="31" t="str">
        <x:v>SMPC</x:v>
      </x:c>
      <x:c r="D27" s="31" t="str">
        <x:v>2024-11-20</x:v>
      </x:c>
      <x:c r="E27" s="37" t="str">
        <x:v>https://drug.fda.moph.go.th/media.php?id=809653635419086848&amp;name=SMPC_Amoxicillin_Film-coated tablet.pdf</x:v>
      </x:c>
      <x:c r="F27" s="31" t="str">
        <x:v>downloaded</x:v>
      </x:c>
      <x:c r="G27" s="31" t="str">
        <x:v>text_extracted</x:v>
      </x:c>
      <x:c r="H27" s="31" t="n">
        <x:v>27</x:v>
      </x:c>
    </x:row>
    <x:row r="28">
      <x:c r="A28" s="31" t="str">
        <x:v>r0024_pil</x:v>
      </x:c>
      <x:c r="B28" s="31" t="str">
        <x:v>ampicillin</x:v>
      </x:c>
      <x:c r="C28" s="31" t="str">
        <x:v>PIL</x:v>
      </x:c>
      <x:c r="D28" s="31" t="str">
        <x:v>2025-03-19</x:v>
      </x:c>
      <x:c r="E28" s="37" t="str">
        <x:v>https://drug.fda.moph.go.th/media.php?id=808235943126507520&amp;name=Ampicillin_capsulehardFilmcoatedtablet_PIL.pdf</x:v>
      </x:c>
      <x:c r="F28" s="31" t="str">
        <x:v>downloaded</x:v>
      </x:c>
      <x:c r="G28" s="31" t="str">
        <x:v>text_extracted</x:v>
      </x:c>
      <x:c r="H28" s="31" t="n">
        <x:v>1</x:v>
      </x:c>
    </x:row>
    <x:row r="29">
      <x:c r="A29" s="31" t="str">
        <x:v>r0025_pil</x:v>
      </x:c>
      <x:c r="B29" s="31" t="str">
        <x:v>asafoetida_tincture</x:v>
      </x:c>
      <x:c r="C29" s="31" t="str">
        <x:v>PIL</x:v>
      </x:c>
      <x:c r="D29" s="31" t="str">
        <x:v>2024-03-15</x:v>
      </x:c>
      <x:c r="E29" s="37" t="str">
        <x:v>https://drug.fda.moph.go.th/media.php?id=733928051582312448&amp;name=PIL asafetida tincture_ทิงเจอร์มหาหิงคุ์ (15032024).pdf</x:v>
      </x:c>
      <x:c r="F29" s="31" t="str">
        <x:v>downloaded</x:v>
      </x:c>
      <x:c r="G29" s="31" t="str">
        <x:v>text_extracted</x:v>
      </x:c>
      <x:c r="H29" s="31" t="n">
        <x:v>1</x:v>
      </x:c>
    </x:row>
    <x:row r="30">
      <x:c r="A30" s="31" t="str">
        <x:v>r0026_smpc</x:v>
      </x:c>
      <x:c r="B30" s="31" t="str">
        <x:v>ascorbic_acid</x:v>
      </x:c>
      <x:c r="C30" s="31" t="str">
        <x:v>SMPC</x:v>
      </x:c>
      <x:c r="D30" s="31" t="str">
        <x:v>2024-11-22</x:v>
      </x:c>
      <x:c r="E30" s="37" t="str">
        <x:v>https://drug.fda.moph.go.th/media.php?id=809654213054439424&amp;name=SMPC_Ascorbic acid_solution for injection.pdf</x:v>
      </x:c>
      <x:c r="F30" s="31" t="str">
        <x:v>downloaded</x:v>
      </x:c>
      <x:c r="G30" s="31" t="str">
        <x:v>text_extracted</x:v>
      </x:c>
      <x:c r="H30" s="31" t="n">
        <x:v>6</x:v>
      </x:c>
    </x:row>
    <x:row r="31">
      <x:c r="A31" s="31" t="str">
        <x:v>r0027_smpc</x:v>
      </x:c>
      <x:c r="B31" s="31" t="str">
        <x:v>ascorbic_acid</x:v>
      </x:c>
      <x:c r="C31" s="31" t="str">
        <x:v>SMPC</x:v>
      </x:c>
      <x:c r="D31" s="31" t="str">
        <x:v>2024-11-22</x:v>
      </x:c>
      <x:c r="E31" s="37" t="str">
        <x:v>https://drug.fda.moph.go.th/media.php?id=809654735215927296&amp;name=SMPC_Ascorbic acid_Tablet.pdf</x:v>
      </x:c>
      <x:c r="F31" s="31" t="str">
        <x:v>downloaded</x:v>
      </x:c>
      <x:c r="G31" s="31" t="str">
        <x:v>text_extracted</x:v>
      </x:c>
      <x:c r="H31" s="31" t="n">
        <x:v>7</x:v>
      </x:c>
    </x:row>
    <x:row r="32">
      <x:c r="A32" s="31" t="str">
        <x:v>r0028_pil</x:v>
      </x:c>
      <x:c r="B32" s="31" t="str">
        <x:v>atenolol</x:v>
      </x:c>
      <x:c r="C32" s="31" t="str">
        <x:v>PIL</x:v>
      </x:c>
      <x:c r="D32" s="31" t="str">
        <x:v>2023-08-09</x:v>
      </x:c>
      <x:c r="E32" s="37" t="str">
        <x:v>https://drug.fda.moph.go.th/media.php?id=725640787408330752&amp;name=pil_Atenolol (tablet 50 mg, 100 mg).pdf</x:v>
      </x:c>
      <x:c r="F32" s="31" t="str">
        <x:v>downloaded</x:v>
      </x:c>
      <x:c r="G32" s="31" t="str">
        <x:v>text_extracted</x:v>
      </x:c>
      <x:c r="H32" s="31" t="n">
        <x:v>1</x:v>
      </x:c>
    </x:row>
    <x:row r="33">
      <x:c r="A33" s="31" t="str">
        <x:v>r0029_smpc</x:v>
      </x:c>
      <x:c r="B33" s="31" t="str">
        <x:v>atropine</x:v>
      </x:c>
      <x:c r="C33" s="31" t="str">
        <x:v>SMPC</x:v>
      </x:c>
      <x:c r="D33" s="31" t="str">
        <x:v>2024-11-21</x:v>
      </x:c>
      <x:c r="E33" s="37" t="str">
        <x:v>https://drug.fda.moph.go.th/media.php?id=809657437689880576&amp;name=SMPC_Atropine_Tablets.pdf</x:v>
      </x:c>
      <x:c r="F33" s="31" t="str">
        <x:v>downloaded</x:v>
      </x:c>
      <x:c r="G33" s="31" t="str">
        <x:v>text_extracted</x:v>
      </x:c>
      <x:c r="H33" s="31" t="n">
        <x:v>8</x:v>
      </x:c>
    </x:row>
    <x:row r="34">
      <x:c r="A34" s="31" t="str">
        <x:v>r0030_pil</x:v>
      </x:c>
      <x:c r="B34" s="31" t="str">
        <x:v>benzoic_acid_salicylic_acid</x:v>
      </x:c>
      <x:c r="C34" s="31" t="str">
        <x:v>PIL</x:v>
      </x:c>
      <x:c r="D34" s="31" t="str">
        <x:v>2024-03-15</x:v>
      </x:c>
      <x:c r="E34" s="37" t="str">
        <x:v>https://drug.fda.moph.go.th/media.php?id=733955509325012992&amp;name=PIL ยารักษากลากเกลื้อนน้ำกัดเท้า Benzoic acid + Salicylic acid ชนิดขี้ผึ้ง.pdf</x:v>
      </x:c>
      <x:c r="F34" s="31" t="str">
        <x:v>downloaded</x:v>
      </x:c>
      <x:c r="G34" s="31" t="str">
        <x:v>text_extracted</x:v>
      </x:c>
      <x:c r="H34" s="31" t="n">
        <x:v>1</x:v>
      </x:c>
    </x:row>
    <x:row r="35">
      <x:c r="A35" s="31" t="str">
        <x:v>r0031_smpc</x:v>
      </x:c>
      <x:c r="B35" s="31" t="str">
        <x:v>benzoyl_peroxide</x:v>
      </x:c>
      <x:c r="C35" s="31" t="str">
        <x:v>SMPC</x:v>
      </x:c>
      <x:c r="D35" s="31" t="str">
        <x:v>2024-11-21</x:v>
      </x:c>
      <x:c r="E35" s="37" t="str">
        <x:v>https://drug.fda.moph.go.th/media.php?id=809657948493193216&amp;name=SMPC_Benzoyl peroxide_cream.pdf</x:v>
      </x:c>
      <x:c r="F35" s="31" t="str">
        <x:v>downloaded</x:v>
      </x:c>
      <x:c r="G35" s="31" t="str">
        <x:v>text_extracted</x:v>
      </x:c>
      <x:c r="H35" s="31" t="n">
        <x:v>7</x:v>
      </x:c>
    </x:row>
    <x:row r="36">
      <x:c r="A36" s="31" t="str">
        <x:v>r0032_pil</x:v>
      </x:c>
      <x:c r="B36" s="31" t="str">
        <x:v>benzyl_benzoate</x:v>
      </x:c>
      <x:c r="C36" s="31" t="str">
        <x:v>PIL</x:v>
      </x:c>
      <x:c r="D36" s="31" t="str">
        <x:v>2024-03-15</x:v>
      </x:c>
      <x:c r="E36" s="37" t="str">
        <x:v>https://drug.fda.moph.go.th/media.php?id=733955238301671424&amp;name=PIL ยารักษาหิดเหา Benzyl benzoate (15032024).pdf</x:v>
      </x:c>
      <x:c r="F36" s="31" t="str">
        <x:v>downloaded</x:v>
      </x:c>
      <x:c r="G36" s="31" t="str">
        <x:v>text_extracted</x:v>
      </x:c>
      <x:c r="H36" s="31" t="n">
        <x:v>1</x:v>
      </x:c>
    </x:row>
    <x:row r="37">
      <x:c r="A37" s="31" t="str">
        <x:v>r0033_smpc</x:v>
      </x:c>
      <x:c r="B37" s="31" t="str">
        <x:v>benzylpenicillin_penicillin_g</x:v>
      </x:c>
      <x:c r="C37" s="31" t="str">
        <x:v>SMPC</x:v>
      </x:c>
      <x:c r="D37" s="31" t="str">
        <x:v>2024-11-27</x:v>
      </x:c>
      <x:c r="E37" s="37" t="str">
        <x:v>https://drug.fda.moph.go.th/media.php?id=809658888994562048&amp;name=SMPC_Benzylpenicillin Sodium_Powders for solutions for injections or infusions.pdf</x:v>
      </x:c>
      <x:c r="F37" s="31" t="str">
        <x:v>downloaded</x:v>
      </x:c>
      <x:c r="G37" s="31" t="str">
        <x:v>text_extracted</x:v>
      </x:c>
      <x:c r="H37" s="31" t="n">
        <x:v>28</x:v>
      </x:c>
    </x:row>
    <x:row r="38">
      <x:c r="A38" s="31" t="str">
        <x:v>r0034_pil</x:v>
      </x:c>
      <x:c r="B38" s="31" t="str">
        <x:v>betahistine</x:v>
      </x:c>
      <x:c r="C38" s="31" t="str">
        <x:v>PIL</x:v>
      </x:c>
      <x:c r="D38" s="31" t="str">
        <x:v>2025-03-19</x:v>
      </x:c>
      <x:c r="E38" s="37" t="str">
        <x:v>https://drug.fda.moph.go.th/media.php?id=808238767218499584&amp;name=Betahistine_tablet, film coated tablet_PIL.pdf</x:v>
      </x:c>
      <x:c r="F38" s="31" t="str">
        <x:v>downloaded</x:v>
      </x:c>
      <x:c r="G38" s="31" t="str">
        <x:v>text_extracted</x:v>
      </x:c>
      <x:c r="H38" s="31" t="n">
        <x:v>2</x:v>
      </x:c>
    </x:row>
    <x:row r="39">
      <x:c r="A39" s="31" t="str">
        <x:v>r0035_smpc</x:v>
      </x:c>
      <x:c r="B39" s="31" t="str">
        <x:v>bethamethasone_dipropionate</x:v>
      </x:c>
      <x:c r="C39" s="31" t="str">
        <x:v>SMPC</x:v>
      </x:c>
      <x:c r="D39" s="31" t="str">
        <x:v>2024-11-22</x:v>
      </x:c>
      <x:c r="E39" s="37" t="str">
        <x:v>https://drug.fda.moph.go.th/media.php?id=809659445213798400&amp;name=SMPC_Bethamethasone dipropionate_cream.pdf</x:v>
      </x:c>
      <x:c r="F39" s="31" t="str">
        <x:v>downloaded</x:v>
      </x:c>
      <x:c r="G39" s="31" t="str">
        <x:v>text_extracted</x:v>
      </x:c>
      <x:c r="H39" s="31" t="n">
        <x:v>8</x:v>
      </x:c>
    </x:row>
    <x:row r="40">
      <x:c r="A40" s="31" t="str">
        <x:v>r0036_smpc</x:v>
      </x:c>
      <x:c r="B40" s="31" t="str">
        <x:v>bisacodyl</x:v>
      </x:c>
      <x:c r="C40" s="31" t="str">
        <x:v>SMPC</x:v>
      </x:c>
      <x:c r="D40" s="31" t="str">
        <x:v>2024-11-21</x:v>
      </x:c>
      <x:c r="E40" s="37" t="str">
        <x:v>https://drug.fda.moph.go.th/media.php?id=809660019980247040&amp;name=SMPC_Bisacodyl_Gastro-resistant tablets.pdf</x:v>
      </x:c>
      <x:c r="F40" s="31" t="str">
        <x:v>downloaded</x:v>
      </x:c>
      <x:c r="G40" s="31" t="str">
        <x:v>text_extracted</x:v>
      </x:c>
      <x:c r="H40" s="31" t="n">
        <x:v>10</x:v>
      </x:c>
    </x:row>
    <x:row r="41">
      <x:c r="A41" s="31" t="str">
        <x:v>r0037_pil</x:v>
      </x:c>
      <x:c r="B41" s="31" t="str">
        <x:v>bromhexine</x:v>
      </x:c>
      <x:c r="C41" s="31" t="str">
        <x:v>PIL</x:v>
      </x:c>
      <x:c r="D41" s="31" t="str">
        <x:v>2025-03-19</x:v>
      </x:c>
      <x:c r="E41" s="37" t="str">
        <x:v>https://drug.fda.moph.go.th/media.php?id=808239034420830208&amp;name=Bromhexine_compressedTablet_PIL.pdf</x:v>
      </x:c>
      <x:c r="F41" s="31" t="str">
        <x:v>downloaded</x:v>
      </x:c>
      <x:c r="G41" s="31" t="str">
        <x:v>text_extracted</x:v>
      </x:c>
      <x:c r="H41" s="31" t="n">
        <x:v>2</x:v>
      </x:c>
    </x:row>
    <x:row r="42">
      <x:c r="A42" s="31" t="str">
        <x:v>r0038_pil</x:v>
      </x:c>
      <x:c r="B42" s="31" t="str">
        <x:v>bromhexine</x:v>
      </x:c>
      <x:c r="C42" s="31" t="str">
        <x:v>PIL</x:v>
      </x:c>
      <x:c r="D42" s="31" t="str">
        <x:v>2025-03-19</x:v>
      </x:c>
      <x:c r="E42" s="37" t="str">
        <x:v>https://drug.fda.moph.go.th/media.php?id=808239256064630784&amp;name=Bromhexine_Syrup_PIL.pdf</x:v>
      </x:c>
      <x:c r="F42" s="31" t="str">
        <x:v>downloaded</x:v>
      </x:c>
      <x:c r="G42" s="31" t="str">
        <x:v>text_extracted</x:v>
      </x:c>
      <x:c r="H42" s="31" t="n">
        <x:v>2</x:v>
      </x:c>
    </x:row>
    <x:row r="43">
      <x:c r="A43" s="31" t="str">
        <x:v>r0039_smpc</x:v>
      </x:c>
      <x:c r="B43" s="31" t="str">
        <x:v>bromhexine</x:v>
      </x:c>
      <x:c r="C43" s="31" t="str">
        <x:v>SMPC</x:v>
      </x:c>
      <x:c r="D43" s="31" t="str">
        <x:v>2024-11-27</x:v>
      </x:c>
      <x:c r="E43" s="37" t="str">
        <x:v>https://drug.fda.moph.go.th/media.php?id=809661846922600448&amp;name=SMPC_Bromhexine_Tablets.pdf</x:v>
      </x:c>
      <x:c r="F43" s="31" t="str">
        <x:v>downloaded</x:v>
      </x:c>
      <x:c r="G43" s="31" t="str">
        <x:v>text_extracted</x:v>
      </x:c>
      <x:c r="H43" s="31" t="n">
        <x:v>8</x:v>
      </x:c>
    </x:row>
    <x:row r="44">
      <x:c r="A44" s="31" t="str">
        <x:v>r0040_pil</x:v>
      </x:c>
      <x:c r="B44" s="31" t="str">
        <x:v>calamine_zinc_oxide</x:v>
      </x:c>
      <x:c r="C44" s="31" t="str">
        <x:v>PIL</x:v>
      </x:c>
      <x:c r="D44" s="31" t="str">
        <x:v>2024-03-15</x:v>
      </x:c>
      <x:c r="E44" s="37" t="str">
        <x:v>https://drug.fda.moph.go.th/media.php?id=733954896075825152&amp;name=PIL_ยาทาแก้ผื่นคัน Calamine + Zinc oxide (15032024).pdf</x:v>
      </x:c>
      <x:c r="F44" s="31" t="str">
        <x:v>downloaded</x:v>
      </x:c>
      <x:c r="G44" s="31" t="str">
        <x:v>text_extracted</x:v>
      </x:c>
      <x:c r="H44" s="31" t="n">
        <x:v>1</x:v>
      </x:c>
    </x:row>
    <x:row r="45">
      <x:c r="A45" s="31" t="str">
        <x:v>r0040_smpc</x:v>
      </x:c>
      <x:c r="B45" s="31" t="str">
        <x:v>calamine_zinc_oxide</x:v>
      </x:c>
      <x:c r="C45" s="31" t="str">
        <x:v>SMPC</x:v>
      </x:c>
      <x:c r="D45" s="31" t="str">
        <x:v>2024-11-20</x:v>
      </x:c>
      <x:c r="E45" s="37" t="str">
        <x:v>https://drug.fda.moph.go.th/media.php?id=809662321185136640&amp;name=SMPC_Calamine + Zinc oxide_lotion.pdf</x:v>
      </x:c>
      <x:c r="F45" s="31" t="str">
        <x:v>downloaded</x:v>
      </x:c>
      <x:c r="G45" s="31" t="str">
        <x:v>text_extracted</x:v>
      </x:c>
      <x:c r="H45" s="31" t="n">
        <x:v>4</x:v>
      </x:c>
    </x:row>
    <x:row r="46">
      <x:c r="A46" s="31" t="str">
        <x:v>r0041_smpc</x:v>
      </x:c>
      <x:c r="B46" s="31" t="str">
        <x:v>calcium</x:v>
      </x:c>
      <x:c r="C46" s="31" t="str">
        <x:v>SMPC</x:v>
      </x:c>
      <x:c r="D46" s="31" t="str">
        <x:v>2024-11-21</x:v>
      </x:c>
      <x:c r="E46" s="37" t="str">
        <x:v>https://drug.fda.moph.go.th/media.php?id=809662943624044544&amp;name=SMPC_Calcium carbonate_chewable tablets.pdf</x:v>
      </x:c>
      <x:c r="F46" s="31" t="str">
        <x:v>downloaded</x:v>
      </x:c>
      <x:c r="G46" s="31" t="str">
        <x:v>text_extracted</x:v>
      </x:c>
      <x:c r="H46" s="31" t="n">
        <x:v>6</x:v>
      </x:c>
    </x:row>
    <x:row r="47">
      <x:c r="A47" s="31" t="str">
        <x:v>r0042_smpc</x:v>
      </x:c>
      <x:c r="B47" s="31" t="str">
        <x:v>calcium_folinate</x:v>
      </x:c>
      <x:c r="C47" s="31" t="str">
        <x:v>SMPC</x:v>
      </x:c>
      <x:c r="D47" s="31" t="str">
        <x:v>2024-11-27</x:v>
      </x:c>
      <x:c r="E47" s="37" t="str">
        <x:v>https://drug.fda.moph.go.th/media.php?id=809663362920226816&amp;name=SMPC_Calcium Folinate_Solutions for injections or infusions.pdf</x:v>
      </x:c>
      <x:c r="F47" s="31" t="str">
        <x:v>downloaded</x:v>
      </x:c>
      <x:c r="G47" s="31" t="str">
        <x:v>text_extracted</x:v>
      </x:c>
      <x:c r="H47" s="31" t="n">
        <x:v>15</x:v>
      </x:c>
    </x:row>
    <x:row r="48">
      <x:c r="A48" s="31" t="str">
        <x:v>r0043_smpc</x:v>
      </x:c>
      <x:c r="B48" s="31" t="str">
        <x:v>calcium_lactate</x:v>
      </x:c>
      <x:c r="C48" s="31" t="str">
        <x:v>SMPC</x:v>
      </x:c>
      <x:c r="D48" s="31" t="str">
        <x:v>2024-11-21</x:v>
      </x:c>
      <x:c r="E48" s="37" t="str">
        <x:v>https://drug.fda.moph.go.th/media.php?id=809663856816300032&amp;name=SMPC_Calcium lactate_tablets.pdf</x:v>
      </x:c>
      <x:c r="F48" s="31" t="str">
        <x:v>downloaded</x:v>
      </x:c>
      <x:c r="G48" s="31" t="str">
        <x:v>text_extracted</x:v>
      </x:c>
      <x:c r="H48" s="31" t="n">
        <x:v>5</x:v>
      </x:c>
    </x:row>
    <x:row r="49">
      <x:c r="A49" s="31" t="str">
        <x:v>r0044_pil</x:v>
      </x:c>
      <x:c r="B49" s="31" t="str">
        <x:v>captopril</x:v>
      </x:c>
      <x:c r="C49" s="31" t="str">
        <x:v>PIL</x:v>
      </x:c>
      <x:c r="D49" s="31" t="str">
        <x:v>2023-08-09</x:v>
      </x:c>
      <x:c r="E49" s="37" t="str">
        <x:v>https://drug.fda.moph.go.th/media.php?id=725640852025778176&amp;name=pil_Captopril (tablet 12.5 mg, 25 mg 50 mg).pdf</x:v>
      </x:c>
      <x:c r="F49" s="31" t="str">
        <x:v>downloaded</x:v>
      </x:c>
      <x:c r="G49" s="31" t="str">
        <x:v>text_extracted</x:v>
      </x:c>
      <x:c r="H49" s="31" t="n">
        <x:v>1</x:v>
      </x:c>
    </x:row>
    <x:row r="50">
      <x:c r="A50" s="31" t="str">
        <x:v>r0044_smpc</x:v>
      </x:c>
      <x:c r="B50" s="31" t="str">
        <x:v>captopril</x:v>
      </x:c>
      <x:c r="C50" s="31" t="str">
        <x:v>SMPC</x:v>
      </x:c>
      <x:c r="D50" s="31" t="str">
        <x:v>2024-11-22</x:v>
      </x:c>
      <x:c r="E50" s="37" t="str">
        <x:v>https://drug.fda.moph.go.th/media.php?id=809664599430406144&amp;name=SMPC_Captopril_tablets.pdf</x:v>
      </x:c>
      <x:c r="F50" s="31" t="str">
        <x:v>downloaded</x:v>
      </x:c>
      <x:c r="G50" s="31" t="str">
        <x:v>text_extracted</x:v>
      </x:c>
      <x:c r="H50" s="31" t="n">
        <x:v>25</x:v>
      </x:c>
    </x:row>
    <x:row r="51">
      <x:c r="A51" s="31" t="str">
        <x:v>r0045_smpc</x:v>
      </x:c>
      <x:c r="B51" s="31" t="str">
        <x:v>carbamazepine</x:v>
      </x:c>
      <x:c r="C51" s="31" t="str">
        <x:v>SMPC</x:v>
      </x:c>
      <x:c r="D51" s="31" t="str">
        <x:v>2024-11-27</x:v>
      </x:c>
      <x:c r="E51" s="37" t="str">
        <x:v>https://drug.fda.moph.go.th/media.php?id=809665211119312896&amp;name=SMPC_Carbamazepine_Tablets.pdf</x:v>
      </x:c>
      <x:c r="F51" s="31" t="str">
        <x:v>downloaded</x:v>
      </x:c>
      <x:c r="G51" s="31" t="str">
        <x:v>text_extracted</x:v>
      </x:c>
      <x:c r="H51" s="31" t="n">
        <x:v>33</x:v>
      </x:c>
    </x:row>
    <x:row r="52">
      <x:c r="A52" s="31" t="str">
        <x:v>r0046_pil</x:v>
      </x:c>
      <x:c r="B52" s="31" t="str">
        <x:v>carbocisteine</x:v>
      </x:c>
      <x:c r="C52" s="31" t="str">
        <x:v>PIL</x:v>
      </x:c>
      <x:c r="D52" s="31" t="str">
        <x:v>2025-03-19</x:v>
      </x:c>
      <x:c r="E52" s="37" t="str">
        <x:v>https://drug.fda.moph.go.th/media.php?id=808239875336839168&amp;name=Carbocisteine_hardcapsules_tablets_PIL.pdf</x:v>
      </x:c>
      <x:c r="F52" s="31" t="str">
        <x:v>downloaded</x:v>
      </x:c>
      <x:c r="G52" s="31" t="str">
        <x:v>text_extracted</x:v>
      </x:c>
      <x:c r="H52" s="31" t="n">
        <x:v>2</x:v>
      </x:c>
    </x:row>
    <x:row r="53">
      <x:c r="A53" s="31" t="str">
        <x:v>r0046_smpc</x:v>
      </x:c>
      <x:c r="B53" s="31" t="str">
        <x:v>carbocisteine</x:v>
      </x:c>
      <x:c r="C53" s="31" t="str">
        <x:v>SMPC</x:v>
      </x:c>
      <x:c r="D53" s="31" t="str">
        <x:v>2024-11-22</x:v>
      </x:c>
      <x:c r="E53" s="37" t="str">
        <x:v>https://drug.fda.moph.go.th/media.php?id=809666413001318400&amp;name=SMPC_Carbocisteine_Capsules.pdf</x:v>
      </x:c>
      <x:c r="F53" s="31" t="str">
        <x:v>downloaded</x:v>
      </x:c>
      <x:c r="G53" s="31" t="str">
        <x:v>text_extracted</x:v>
      </x:c>
      <x:c r="H53" s="31" t="n">
        <x:v>5</x:v>
      </x:c>
    </x:row>
    <x:row r="54">
      <x:c r="A54" s="31" t="str">
        <x:v>r0047_smpc</x:v>
      </x:c>
      <x:c r="B54" s="31" t="str">
        <x:v>carbocisteine</x:v>
      </x:c>
      <x:c r="C54" s="31" t="str">
        <x:v>SMPC</x:v>
      </x:c>
      <x:c r="D54" s="31" t="str">
        <x:v>2024-11-22</x:v>
      </x:c>
      <x:c r="E54" s="37" t="str">
        <x:v>https://drug.fda.moph.go.th/media.php?id=809667062023725056&amp;name=SMPC_Carbocisteine_Syrup.pdf</x:v>
      </x:c>
      <x:c r="F54" s="31" t="str">
        <x:v>downloaded</x:v>
      </x:c>
      <x:c r="G54" s="31" t="str">
        <x:v>text_extracted</x:v>
      </x:c>
      <x:c r="H54" s="31" t="n">
        <x:v>6</x:v>
      </x:c>
    </x:row>
    <x:row r="55">
      <x:c r="A55" s="31" t="str">
        <x:v>r0048_smpc</x:v>
      </x:c>
      <x:c r="B55" s="31" t="str">
        <x:v>cefalexin</x:v>
      </x:c>
      <x:c r="C55" s="31" t="str">
        <x:v>SMPC</x:v>
      </x:c>
      <x:c r="D55" s="31" t="str">
        <x:v>2024-11-27</x:v>
      </x:c>
      <x:c r="E55" s="37" t="str">
        <x:v>https://drug.fda.moph.go.th/media.php?id=809667813055799296&amp;name=SMPC_Cefalexin_Dry syrup.pdf</x:v>
      </x:c>
      <x:c r="F55" s="31" t="str">
        <x:v>downloaded</x:v>
      </x:c>
      <x:c r="G55" s="31" t="str">
        <x:v>text_extracted</x:v>
      </x:c>
      <x:c r="H55" s="31" t="n">
        <x:v>10</x:v>
      </x:c>
    </x:row>
    <x:row r="56">
      <x:c r="A56" s="31" t="str">
        <x:v>r0049_smpc</x:v>
      </x:c>
      <x:c r="B56" s="31" t="str">
        <x:v>cefazolin</x:v>
      </x:c>
      <x:c r="C56" s="31" t="str">
        <x:v>SMPC</x:v>
      </x:c>
      <x:c r="D56" s="31" t="str">
        <x:v>2024-11-27</x:v>
      </x:c>
      <x:c r="E56" s="37" t="str">
        <x:v>https://drug.fda.moph.go.th/media.php?id=809668324005912576&amp;name=SMPC_Cefazolin_Powders for solutions for injections or infusions.pdf</x:v>
      </x:c>
      <x:c r="F56" s="31" t="str">
        <x:v>downloaded</x:v>
      </x:c>
      <x:c r="G56" s="31" t="str">
        <x:v>text_extracted</x:v>
      </x:c>
      <x:c r="H56" s="31" t="n">
        <x:v>19</x:v>
      </x:c>
    </x:row>
    <x:row r="57">
      <x:c r="A57" s="31" t="str">
        <x:v>r0050_smpc</x:v>
      </x:c>
      <x:c r="B57" s="31" t="str">
        <x:v>cefuroxime</x:v>
      </x:c>
      <x:c r="C57" s="31" t="str">
        <x:v>SMPC</x:v>
      </x:c>
      <x:c r="D57" s="31" t="str">
        <x:v>2024-11-27</x:v>
      </x:c>
      <x:c r="E57" s="37" t="str">
        <x:v>https://drug.fda.moph.go.th/media.php?id=809668929264951296&amp;name=SMPC_Cefuroxime_Tablets.pdf</x:v>
      </x:c>
      <x:c r="F57" s="31" t="str">
        <x:v>downloaded</x:v>
      </x:c>
      <x:c r="G57" s="31" t="str">
        <x:v>text_extracted</x:v>
      </x:c>
      <x:c r="H57" s="31" t="n">
        <x:v>18</x:v>
      </x:c>
    </x:row>
    <x:row r="58">
      <x:c r="A58" s="31" t="str">
        <x:v>r0051_smpc</x:v>
      </x:c>
      <x:c r="B58" s="31" t="str">
        <x:v>cefuroxime</x:v>
      </x:c>
      <x:c r="C58" s="31" t="str">
        <x:v>SMPC</x:v>
      </x:c>
      <x:c r="D58" s="31" t="str">
        <x:v>2024-11-27</x:v>
      </x:c>
      <x:c r="E58" s="37" t="str">
        <x:v>https://drug.fda.moph.go.th/media.php?id=808219138211323904&amp;name=smpc_Cefuroxime (POWDER FOR SOLUTION FOR INJECTIONINFUSION) (1).pdf</x:v>
      </x:c>
      <x:c r="F58" s="31" t="str">
        <x:v>downloaded</x:v>
      </x:c>
      <x:c r="G58" s="31" t="str">
        <x:v>text_extracted</x:v>
      </x:c>
      <x:c r="H58" s="31" t="n">
        <x:v>22</x:v>
      </x:c>
    </x:row>
    <x:row r="59">
      <x:c r="A59" s="31" t="str">
        <x:v>r0052_pil</x:v>
      </x:c>
      <x:c r="B59" s="31" t="str">
        <x:v>chloramphenicol</x:v>
      </x:c>
      <x:c r="C59" s="31" t="str">
        <x:v>PIL</x:v>
      </x:c>
      <x:c r="D59" s="31" t="str">
        <x:v>2025-03-19</x:v>
      </x:c>
      <x:c r="E59" s="37" t="str">
        <x:v>https://drug.fda.moph.go.th/media.php?id=808240370726084608&amp;name=Chloramphenicol_ointmentOphthalmic_PIL.pdf</x:v>
      </x:c>
      <x:c r="F59" s="31" t="str">
        <x:v>downloaded</x:v>
      </x:c>
      <x:c r="G59" s="31" t="str">
        <x:v>text_extracted</x:v>
      </x:c>
      <x:c r="H59" s="31" t="n">
        <x:v>3</x:v>
      </x:c>
    </x:row>
    <x:row r="60">
      <x:c r="A60" s="31" t="str">
        <x:v>r0053_pil</x:v>
      </x:c>
      <x:c r="B60" s="31" t="str">
        <x:v>chloramphenicol</x:v>
      </x:c>
      <x:c r="C60" s="31" t="str">
        <x:v>PIL</x:v>
      </x:c>
      <x:c r="D60" s="31" t="str">
        <x:v>2025-03-19</x:v>
      </x:c>
      <x:c r="E60" s="37" t="str">
        <x:v>https://drug.fda.moph.go.th/media.php?id=808240557032873984&amp;name=Chloramphenicol_ointmentTopical_PIL.pdf</x:v>
      </x:c>
      <x:c r="F60" s="31" t="str">
        <x:v>downloaded</x:v>
      </x:c>
      <x:c r="G60" s="31" t="str">
        <x:v>text_extracted</x:v>
      </x:c>
      <x:c r="H60" s="31" t="n">
        <x:v>1</x:v>
      </x:c>
    </x:row>
    <x:row r="61">
      <x:c r="A61" s="31" t="str">
        <x:v>r0054_pil</x:v>
      </x:c>
      <x:c r="B61" s="31" t="str">
        <x:v>chloramphenicol</x:v>
      </x:c>
      <x:c r="C61" s="31" t="str">
        <x:v>PIL</x:v>
      </x:c>
      <x:c r="D61" s="31" t="str">
        <x:v>2025-03-19</x:v>
      </x:c>
      <x:c r="E61" s="37" t="str">
        <x:v>https://drug.fda.moph.go.th/media.php?id=842354236510576640&amp;name=Chloramphenicol_liquidOphthalmic_PIL.pdf</x:v>
      </x:c>
      <x:c r="F61" s="31" t="str">
        <x:v>downloaded</x:v>
      </x:c>
      <x:c r="G61" s="31" t="str">
        <x:v>text_extracted</x:v>
      </x:c>
      <x:c r="H61" s="31" t="n">
        <x:v>2</x:v>
      </x:c>
    </x:row>
    <x:row r="62">
      <x:c r="A62" s="31" t="str">
        <x:v>r0054_smpc</x:v>
      </x:c>
      <x:c r="B62" s="31" t="str">
        <x:v>chloramphenicol</x:v>
      </x:c>
      <x:c r="C62" s="31" t="str">
        <x:v>SMPC</x:v>
      </x:c>
      <x:c r="D62" s="31" t="str">
        <x:v>2024-11-27</x:v>
      </x:c>
      <x:c r="E62" s="37" t="str">
        <x:v>https://drug.fda.moph.go.th/media.php?id=809669704850481152&amp;name=SMPC_Chloramphenicol_Ear Drops.pdf</x:v>
      </x:c>
      <x:c r="F62" s="31" t="str">
        <x:v>downloaded</x:v>
      </x:c>
      <x:c r="G62" s="31" t="str">
        <x:v>text_extracted</x:v>
      </x:c>
      <x:c r="H62" s="31" t="n">
        <x:v>6</x:v>
      </x:c>
    </x:row>
    <x:row r="63">
      <x:c r="A63" s="31" t="str">
        <x:v>r0055_pil</x:v>
      </x:c>
      <x:c r="B63" s="31" t="str">
        <x:v>chloramphenicol</x:v>
      </x:c>
      <x:c r="C63" s="31" t="str">
        <x:v>PIL</x:v>
      </x:c>
      <x:c r="D63" s="31" t="str">
        <x:v>2025-03-19</x:v>
      </x:c>
      <x:c r="E63" s="37" t="str">
        <x:v>https://drug.fda.moph.go.th/media.php?id=842354236795789312&amp;name=Chloramphenicol_liquidOtic_PIL.pdf</x:v>
      </x:c>
      <x:c r="F63" s="31" t="str">
        <x:v>downloaded</x:v>
      </x:c>
      <x:c r="G63" s="31" t="str">
        <x:v>text_extracted</x:v>
      </x:c>
      <x:c r="H63" s="31" t="n">
        <x:v>2</x:v>
      </x:c>
    </x:row>
    <x:row r="64">
      <x:c r="A64" s="31" t="str">
        <x:v>r0055_smpc</x:v>
      </x:c>
      <x:c r="B64" s="31" t="str">
        <x:v>chloramphenicol</x:v>
      </x:c>
      <x:c r="C64" s="31" t="str">
        <x:v>SMPC</x:v>
      </x:c>
      <x:c r="D64" s="31" t="str">
        <x:v>2024-11-27</x:v>
      </x:c>
      <x:c r="E64" s="37" t="str">
        <x:v>https://drug.fda.moph.go.th/media.php?id=809670185509330944&amp;name=SMPC_Chloramphenicol_Eye Drops.pdf</x:v>
      </x:c>
      <x:c r="F64" s="31" t="str">
        <x:v>downloaded</x:v>
      </x:c>
      <x:c r="G64" s="31" t="str">
        <x:v>text_extracted</x:v>
      </x:c>
      <x:c r="H64" s="31" t="n">
        <x:v>8</x:v>
      </x:c>
    </x:row>
    <x:row r="65">
      <x:c r="A65" s="31" t="str">
        <x:v>r0056_smpc</x:v>
      </x:c>
      <x:c r="B65" s="31" t="str">
        <x:v>chloramphenicol</x:v>
      </x:c>
      <x:c r="C65" s="31" t="str">
        <x:v>SMPC</x:v>
      </x:c>
      <x:c r="D65" s="31" t="str">
        <x:v>2024-11-27</x:v>
      </x:c>
      <x:c r="E65" s="37" t="str">
        <x:v>https://drug.fda.moph.go.th/media.php?id=809670694370680832&amp;name=SMPC_Chloramphenicol_Powders for solutions for injections or infusions.pdf</x:v>
      </x:c>
      <x:c r="F65" s="31" t="str">
        <x:v>downloaded</x:v>
      </x:c>
      <x:c r="G65" s="31" t="str">
        <x:v>text_extracted</x:v>
      </x:c>
      <x:c r="H65" s="31" t="n">
        <x:v>12</x:v>
      </x:c>
    </x:row>
    <x:row r="66">
      <x:c r="A66" s="31" t="str">
        <x:v>r0057_smpc</x:v>
      </x:c>
      <x:c r="B66" s="31" t="str">
        <x:v>chlorhexidine_cetrimide</x:v>
      </x:c>
      <x:c r="C66" s="31" t="str">
        <x:v>SMPC</x:v>
      </x:c>
      <x:c r="D66" s="31" t="str">
        <x:v>2024-11-22</x:v>
      </x:c>
      <x:c r="E66" s="37" t="str">
        <x:v>https://drug.fda.moph.go.th/media.php?id=809671385814278144&amp;name=SMPC_Chlorhexidine Acetate+Cetrimide_Irrigation Solution.pdf</x:v>
      </x:c>
      <x:c r="F66" s="31" t="str">
        <x:v>downloaded</x:v>
      </x:c>
      <x:c r="G66" s="31" t="str">
        <x:v>text_extracted</x:v>
      </x:c>
      <x:c r="H66" s="31" t="n">
        <x:v>7</x:v>
      </x:c>
    </x:row>
    <x:row r="67">
      <x:c r="A67" s="31" t="str">
        <x:v>r0058_smpc</x:v>
      </x:c>
      <x:c r="B67" s="31" t="str">
        <x:v>chlorhexidine</x:v>
      </x:c>
      <x:c r="C67" s="31" t="str">
        <x:v>SMPC</x:v>
      </x:c>
      <x:c r="D67" s="31" t="str">
        <x:v>2024-11-22</x:v>
      </x:c>
      <x:c r="E67" s="37" t="str">
        <x:v>https://drug.fda.moph.go.th/media.php?id=809671981124427776&amp;name=SMPC_Chlorhexidine gluconate_cutaneous solution.pdf</x:v>
      </x:c>
      <x:c r="F67" s="31" t="str">
        <x:v>downloaded</x:v>
      </x:c>
      <x:c r="G67" s="31" t="str">
        <x:v>text_extracted</x:v>
      </x:c>
      <x:c r="H67" s="31" t="n">
        <x:v>5</x:v>
      </x:c>
    </x:row>
    <x:row r="68">
      <x:c r="A68" s="31" t="str">
        <x:v>r0059_smpc</x:v>
      </x:c>
      <x:c r="B68" s="31" t="str">
        <x:v>chlorhexidine</x:v>
      </x:c>
      <x:c r="C68" s="31" t="str">
        <x:v>SMPC</x:v>
      </x:c>
      <x:c r="D68" s="31" t="str">
        <x:v>2024-11-22</x:v>
      </x:c>
      <x:c r="E68" s="37" t="str">
        <x:v>https://drug.fda.moph.go.th/media.php?id=809672608319676416&amp;name=SMPC_Chlorhexidine gluconate_cream.pdf</x:v>
      </x:c>
      <x:c r="F68" s="31" t="str">
        <x:v>downloaded</x:v>
      </x:c>
      <x:c r="G68" s="31" t="str">
        <x:v>text_extracted</x:v>
      </x:c>
      <x:c r="H68" s="31" t="n">
        <x:v>4</x:v>
      </x:c>
    </x:row>
    <x:row r="69">
      <x:c r="A69" s="31" t="str">
        <x:v>r0060_pil</x:v>
      </x:c>
      <x:c r="B69" s="31" t="str">
        <x:v>chlorobutanol_clove_oil</x:v>
      </x:c>
      <x:c r="C69" s="31" t="str">
        <x:v>PIL</x:v>
      </x:c>
      <x:c r="D69" s="31" t="str">
        <x:v>2024-03-15</x:v>
      </x:c>
      <x:c r="E69" s="37" t="str">
        <x:v>https://drug.fda.moph.go.th/media.php?id=733954553325690880&amp;name=PIL ยาแก้ปวดฟัน Chlorobutanol + Clove oil (15032024).pdf</x:v>
      </x:c>
      <x:c r="F69" s="31" t="str">
        <x:v>downloaded</x:v>
      </x:c>
      <x:c r="G69" s="31" t="str">
        <x:v>text_extracted</x:v>
      </x:c>
      <x:c r="H69" s="31" t="n">
        <x:v>1</x:v>
      </x:c>
    </x:row>
    <x:row r="70">
      <x:c r="A70" s="31" t="str">
        <x:v>r0061_smpc</x:v>
      </x:c>
      <x:c r="B70" s="31" t="str">
        <x:v>chloroxylenol</x:v>
      </x:c>
      <x:c r="C70" s="31" t="str">
        <x:v>SMPC</x:v>
      </x:c>
      <x:c r="D70" s="31" t="str">
        <x:v>2024-11-27</x:v>
      </x:c>
      <x:c r="E70" s="37" t="str">
        <x:v>https://drug.fda.moph.go.th/media.php?id=809673654496534528&amp;name=SMPC_Chloroxylenol_Concentrate for Cutaneous Solution.pdf</x:v>
      </x:c>
      <x:c r="F70" s="31" t="str">
        <x:v>downloaded</x:v>
      </x:c>
      <x:c r="G70" s="31" t="str">
        <x:v>text_extracted</x:v>
      </x:c>
      <x:c r="H70" s="31" t="n">
        <x:v>6</x:v>
      </x:c>
    </x:row>
    <x:row r="71">
      <x:c r="A71" s="31" t="str">
        <x:v>r0062_pil</x:v>
      </x:c>
      <x:c r="B71" s="31" t="str">
        <x:v>chloroxylenol</x:v>
      </x:c>
      <x:c r="C71" s="31" t="str">
        <x:v>PIL</x:v>
      </x:c>
      <x:c r="D71" s="31" t="str">
        <x:v>2024-03-15</x:v>
      </x:c>
      <x:c r="E71" s="37" t="str">
        <x:v>https://drug.fda.moph.go.th/media.php?id=733954190996545536&amp;name=PIL น้ำยาฆ่าเชื้อโรค Chloroxylenol (15032024).pdf</x:v>
      </x:c>
      <x:c r="F71" s="31" t="str">
        <x:v>downloaded</x:v>
      </x:c>
      <x:c r="G71" s="31" t="str">
        <x:v>text_extracted</x:v>
      </x:c>
      <x:c r="H71" s="31" t="n">
        <x:v>1</x:v>
      </x:c>
    </x:row>
    <x:row r="72">
      <x:c r="A72" s="31" t="str">
        <x:v>r0063_pil</x:v>
      </x:c>
      <x:c r="B72" s="31" t="str">
        <x:v>chlorpheniramine</x:v>
      </x:c>
      <x:c r="C72" s="31" t="str">
        <x:v>PIL</x:v>
      </x:c>
      <x:c r="D72" s="31" t="str">
        <x:v>2025-08-15</x:v>
      </x:c>
      <x:c r="E72" s="37" t="str">
        <x:v>https://drug.fda.moph.go.th/media.php?id=808242334797012992&amp;name=Chlorpheniramine_capsuleHardSugarCoatedTablelt_PIL.pdf</x:v>
      </x:c>
      <x:c r="F72" s="31" t="str">
        <x:v>downloaded</x:v>
      </x:c>
      <x:c r="G72" s="31" t="str">
        <x:v>text_extracted</x:v>
      </x:c>
      <x:c r="H72" s="31" t="n">
        <x:v>3</x:v>
      </x:c>
    </x:row>
    <x:row r="73">
      <x:c r="A73" s="31" t="str">
        <x:v>r0064_pil</x:v>
      </x:c>
      <x:c r="B73" s="31" t="str">
        <x:v>chlorpheniramine</x:v>
      </x:c>
      <x:c r="C73" s="31" t="str">
        <x:v>PIL</x:v>
      </x:c>
      <x:c r="D73" s="31" t="str">
        <x:v>2025-08-15</x:v>
      </x:c>
      <x:c r="E73" s="37" t="str">
        <x:v>https://drug.fda.moph.go.th/media.php?id=808244174758486016&amp;name=Chlorpheniramine_Syrup_PIL.pdf</x:v>
      </x:c>
      <x:c r="F73" s="31" t="str">
        <x:v>downloaded</x:v>
      </x:c>
      <x:c r="G73" s="31" t="str">
        <x:v>text_extracted</x:v>
      </x:c>
      <x:c r="H73" s="31" t="n">
        <x:v>3</x:v>
      </x:c>
    </x:row>
    <x:row r="74">
      <x:c r="A74" s="31" t="str">
        <x:v>r0065_pil</x:v>
      </x:c>
      <x:c r="B74" s="31" t="str">
        <x:v>chlorpheniramine</x:v>
      </x:c>
      <x:c r="C74" s="31" t="str">
        <x:v>PIL</x:v>
      </x:c>
      <x:c r="D74" s="31" t="str">
        <x:v>2024-03-15</x:v>
      </x:c>
      <x:c r="E74" s="37" t="str">
        <x:v>https://drug.fda.moph.go.th/media.php?id=733953854105853952&amp;name=PIL_ยาเม็ดแก้แพ้ลดน้ำมูก Chlorpheniramine (150324).pdf</x:v>
      </x:c>
      <x:c r="F74" s="31" t="str">
        <x:v>downloaded</x:v>
      </x:c>
      <x:c r="G74" s="31" t="str">
        <x:v>text_extracted</x:v>
      </x:c>
      <x:c r="H74" s="31" t="n">
        <x:v>1</x:v>
      </x:c>
    </x:row>
    <x:row r="75">
      <x:c r="A75" s="31" t="str">
        <x:v>r0066_smpc</x:v>
      </x:c>
      <x:c r="B75" s="31" t="str">
        <x:v>chlorpromazine</x:v>
      </x:c>
      <x:c r="C75" s="31" t="str">
        <x:v>SMPC</x:v>
      </x:c>
      <x:c r="D75" s="31" t="str">
        <x:v>2024-11-27</x:v>
      </x:c>
      <x:c r="E75" s="37" t="str">
        <x:v>https://drug.fda.moph.go.th/media.php?id=809674435173949440&amp;name=SMPC_Chlorpromazine_Capsules.pdf</x:v>
      </x:c>
      <x:c r="F75" s="31" t="str">
        <x:v>downloaded</x:v>
      </x:c>
      <x:c r="G75" s="31" t="str">
        <x:v>text_extracted</x:v>
      </x:c>
      <x:c r="H75" s="31" t="n">
        <x:v>19</x:v>
      </x:c>
    </x:row>
    <x:row r="76">
      <x:c r="A76" s="31" t="str">
        <x:v>r0067_pil</x:v>
      </x:c>
      <x:c r="B76" s="31" t="str">
        <x:v>cholestyramine</x:v>
      </x:c>
      <x:c r="C76" s="31" t="str">
        <x:v>PIL</x:v>
      </x:c>
      <x:c r="D76" s="31" t="str">
        <x:v>2025-03-19</x:v>
      </x:c>
      <x:c r="E76" s="37" t="str">
        <x:v>https://drug.fda.moph.go.th/media.php?id=808244876427796480&amp;name=Cholestyramine_dry suspension_PIL.pdf</x:v>
      </x:c>
      <x:c r="F76" s="31" t="str">
        <x:v>downloaded</x:v>
      </x:c>
      <x:c r="G76" s="31" t="str">
        <x:v>text_extracted</x:v>
      </x:c>
      <x:c r="H76" s="31" t="n">
        <x:v>1</x:v>
      </x:c>
    </x:row>
    <x:row r="77">
      <x:c r="A77" s="31" t="str">
        <x:v>r0068_pil</x:v>
      </x:c>
      <x:c r="B77" s="31" t="str">
        <x:v>cimetidine</x:v>
      </x:c>
      <x:c r="C77" s="31" t="str">
        <x:v>PIL</x:v>
      </x:c>
      <x:c r="D77" s="31" t="str">
        <x:v>2025-03-19</x:v>
      </x:c>
      <x:c r="E77" s="37" t="str">
        <x:v>https://drug.fda.moph.go.th/media.php?id=808245090517655552&amp;name=Cimetidine_compressedTabletFilmCoatedTabletCapsuleHard_PIL.pdf</x:v>
      </x:c>
      <x:c r="F77" s="31" t="str">
        <x:v>downloaded</x:v>
      </x:c>
      <x:c r="G77" s="31" t="str">
        <x:v>text_extracted</x:v>
      </x:c>
      <x:c r="H77" s="31" t="n">
        <x:v>2</x:v>
      </x:c>
    </x:row>
    <x:row r="78">
      <x:c r="A78" s="31" t="str">
        <x:v>r0068_smpc</x:v>
      </x:c>
      <x:c r="B78" s="31" t="str">
        <x:v>cimetidine</x:v>
      </x:c>
      <x:c r="C78" s="31" t="str">
        <x:v>SMPC</x:v>
      </x:c>
      <x:c r="D78" s="31" t="str">
        <x:v>2024-11-22</x:v>
      </x:c>
      <x:c r="E78" s="37" t="str">
        <x:v>https://drug.fda.moph.go.th/media.php?id=809675069696647168&amp;name=SMPC_Cimetidine_Tablets.pdf</x:v>
      </x:c>
      <x:c r="F78" s="31" t="str">
        <x:v>downloaded</x:v>
      </x:c>
      <x:c r="G78" s="31" t="str">
        <x:v>text_extracted</x:v>
      </x:c>
      <x:c r="H78" s="31" t="n">
        <x:v>11</x:v>
      </x:c>
    </x:row>
    <x:row r="79">
      <x:c r="A79" s="31" t="str">
        <x:v>r0069_pil</x:v>
      </x:c>
      <x:c r="B79" s="31" t="str">
        <x:v>cimetidine</x:v>
      </x:c>
      <x:c r="C79" s="31" t="str">
        <x:v>PIL</x:v>
      </x:c>
      <x:c r="D79" s="31" t="str">
        <x:v>2025-03-19</x:v>
      </x:c>
      <x:c r="E79" s="37" t="str">
        <x:v>https://drug.fda.moph.go.th/media.php?id=808245090517655552&amp;name=Cimetidine_compressedTabletFilmCoatedTabletCapsuleHard_PIL.pdf</x:v>
      </x:c>
      <x:c r="F79" s="31" t="str">
        <x:v>downloaded</x:v>
      </x:c>
      <x:c r="G79" s="31" t="str">
        <x:v>text_extracted</x:v>
      </x:c>
      <x:c r="H79" s="31" t="n">
        <x:v>2</x:v>
      </x:c>
    </x:row>
    <x:row r="80">
      <x:c r="A80" s="31" t="str">
        <x:v>r0070_pil</x:v>
      </x:c>
      <x:c r="B80" s="31" t="str">
        <x:v>cimetidine</x:v>
      </x:c>
      <x:c r="C80" s="31" t="str">
        <x:v>PIL</x:v>
      </x:c>
      <x:c r="D80" s="31" t="str">
        <x:v>2025-03-19</x:v>
      </x:c>
      <x:c r="E80" s="37" t="str">
        <x:v>https://drug.fda.moph.go.th/media.php?id=808245090517655552&amp;name=Cimetidine_compressedTabletFilmCoatedTabletCapsuleHard_PIL.pdf</x:v>
      </x:c>
      <x:c r="F80" s="31" t="str">
        <x:v>downloaded</x:v>
      </x:c>
      <x:c r="G80" s="31" t="str">
        <x:v>text_extracted</x:v>
      </x:c>
      <x:c r="H80" s="31" t="n">
        <x:v>2</x:v>
      </x:c>
    </x:row>
    <x:row r="81">
      <x:c r="A81" s="31" t="str">
        <x:v>r0071_smpc</x:v>
      </x:c>
      <x:c r="B81" s="31" t="str">
        <x:v>ciprofloxacin</x:v>
      </x:c>
      <x:c r="C81" s="31" t="str">
        <x:v>SMPC</x:v>
      </x:c>
      <x:c r="D81" s="31" t="str">
        <x:v>2024-11-27</x:v>
      </x:c>
      <x:c r="E81" s="37" t="str">
        <x:v>https://drug.fda.moph.go.th/media.php?id=842359238230679552&amp;name=SmPC Ciprofloxacin film-coated tablets.pdf</x:v>
      </x:c>
      <x:c r="F81" s="31" t="str">
        <x:v>downloaded</x:v>
      </x:c>
      <x:c r="G81" s="31" t="str">
        <x:v>text_extracted</x:v>
      </x:c>
      <x:c r="H81" s="31" t="n">
        <x:v>31</x:v>
      </x:c>
    </x:row>
    <x:row r="82">
      <x:c r="A82" s="31" t="str">
        <x:v>r0072_smpc</x:v>
      </x:c>
      <x:c r="B82" s="31" t="str">
        <x:v>ciprofloxacin</x:v>
      </x:c>
      <x:c r="C82" s="31" t="str">
        <x:v>SMPC</x:v>
      </x:c>
      <x:c r="D82" s="31" t="str">
        <x:v>2024-11-27</x:v>
      </x:c>
      <x:c r="E82" s="37" t="str">
        <x:v>https://drug.fda.moph.go.th/media.php?id=809677740591685632&amp;name=SMPC_Ciprofloxacin_Solution for infusion.pdf</x:v>
      </x:c>
      <x:c r="F82" s="31" t="str">
        <x:v>downloaded</x:v>
      </x:c>
      <x:c r="G82" s="31" t="str">
        <x:v>text_extracted</x:v>
      </x:c>
      <x:c r="H82" s="31" t="n">
        <x:v>39</x:v>
      </x:c>
    </x:row>
    <x:row r="83">
      <x:c r="A83" s="31" t="str">
        <x:v>r0073_smpc</x:v>
      </x:c>
      <x:c r="B83" s="31" t="str">
        <x:v>ciprofloxacin</x:v>
      </x:c>
      <x:c r="C83" s="31" t="str">
        <x:v>SMPC</x:v>
      </x:c>
      <x:c r="D83" s="31" t="str">
        <x:v>2024-11-27</x:v>
      </x:c>
      <x:c r="E83" s="37" t="str">
        <x:v>https://drug.fda.moph.go.th/media.php?id=842360112483016704&amp;name=SmPC Ciprofloxacin hydrochloride tablet.pdf</x:v>
      </x:c>
      <x:c r="F83" s="31" t="str">
        <x:v>downloaded</x:v>
      </x:c>
      <x:c r="G83" s="31" t="str">
        <x:v>text_extracted</x:v>
      </x:c>
      <x:c r="H83" s="31" t="n">
        <x:v>33</x:v>
      </x:c>
    </x:row>
    <x:row r="84">
      <x:c r="A84" s="31" t="str">
        <x:v>r0074_pil</x:v>
      </x:c>
      <x:c r="B84" s="31" t="str">
        <x:v>citric_acid_sodium_bicarbonate_sodium_carbonate</x:v>
      </x:c>
      <x:c r="C84" s="31" t="str">
        <x:v>PIL</x:v>
      </x:c>
      <x:c r="D84" s="31" t="str">
        <x:v>2024-03-15</x:v>
      </x:c>
      <x:c r="E84" s="37" t="str">
        <x:v>https://drug.fda.moph.go.th/media.php?id=733953466694770688&amp;name=PIL_Citric acid + Sodium bicarbonate + Sodium carbonate(15032024).pdf</x:v>
      </x:c>
      <x:c r="F84" s="31" t="str">
        <x:v>downloaded</x:v>
      </x:c>
      <x:c r="G84" s="31" t="str">
        <x:v>text_extracted</x:v>
      </x:c>
      <x:c r="H84" s="31" t="n">
        <x:v>1</x:v>
      </x:c>
    </x:row>
    <x:row r="85">
      <x:c r="A85" s="31" t="str">
        <x:v>r0075_smpc</x:v>
      </x:c>
      <x:c r="B85" s="31" t="str">
        <x:v>clarithromycin</x:v>
      </x:c>
      <x:c r="C85" s="31" t="str">
        <x:v>SMPC</x:v>
      </x:c>
      <x:c r="D85" s="31" t="str">
        <x:v>2024-11-21</x:v>
      </x:c>
      <x:c r="E85" s="37" t="str">
        <x:v>https://drug.fda.moph.go.th/media.php?id=809678715939332096&amp;name=SMPC_Clarithromycin_Film-coated tablets.pdf</x:v>
      </x:c>
      <x:c r="F85" s="31" t="str">
        <x:v>downloaded</x:v>
      </x:c>
      <x:c r="G85" s="31" t="str">
        <x:v>text_extracted</x:v>
      </x:c>
      <x:c r="H85" s="31" t="n">
        <x:v>43</x:v>
      </x:c>
    </x:row>
    <x:row r="86">
      <x:c r="A86" s="31" t="str">
        <x:v>r0076_smpc</x:v>
      </x:c>
      <x:c r="B86" s="31" t="str">
        <x:v>clindamycin</x:v>
      </x:c>
      <x:c r="C86" s="31" t="str">
        <x:v>SMPC</x:v>
      </x:c>
      <x:c r="D86" s="31" t="str">
        <x:v>2024-11-21</x:v>
      </x:c>
      <x:c r="E86" s="37" t="str">
        <x:v>https://drug.fda.moph.go.th/media.php?id=809679498764230656&amp;name=SMPC_clindamycin phosphate_solution for injection and infusion.pdf</x:v>
      </x:c>
      <x:c r="F86" s="31" t="str">
        <x:v>downloaded</x:v>
      </x:c>
      <x:c r="G86" s="31" t="str">
        <x:v>text_extracted</x:v>
      </x:c>
      <x:c r="H86" s="31" t="n">
        <x:v>26</x:v>
      </x:c>
    </x:row>
    <x:row r="87">
      <x:c r="A87" s="31" t="str">
        <x:v>r0077_smpc</x:v>
      </x:c>
      <x:c r="B87" s="31" t="str">
        <x:v>clindamycin</x:v>
      </x:c>
      <x:c r="C87" s="31" t="str">
        <x:v>SMPC</x:v>
      </x:c>
      <x:c r="D87" s="31" t="str">
        <x:v>2024-11-21</x:v>
      </x:c>
      <x:c r="E87" s="37" t="str">
        <x:v>https://drug.fda.moph.go.th/media.php?id=809680149330141184&amp;name=SMPC_Clindamycin_Topical lotion.pdf</x:v>
      </x:c>
      <x:c r="F87" s="31" t="str">
        <x:v>downloaded</x:v>
      </x:c>
      <x:c r="G87" s="31" t="str">
        <x:v>text_extracted</x:v>
      </x:c>
      <x:c r="H87" s="31" t="n">
        <x:v>10</x:v>
      </x:c>
    </x:row>
    <x:row r="88">
      <x:c r="A88" s="31" t="str">
        <x:v>r0078_pil</x:v>
      </x:c>
      <x:c r="B88" s="31" t="str">
        <x:v>clobetasol_propionate</x:v>
      </x:c>
      <x:c r="C88" s="31" t="str">
        <x:v>PIL</x:v>
      </x:c>
      <x:c r="D88" s="31" t="str">
        <x:v>2023-11-09</x:v>
      </x:c>
      <x:c r="E88" s="37" t="str">
        <x:v>https://drug.fda.moph.go.th/media.php?id=725942308205371392&amp;name=pil_Clobetasol propionate (CREAM).pdf</x:v>
      </x:c>
      <x:c r="F88" s="31" t="str">
        <x:v>downloaded</x:v>
      </x:c>
      <x:c r="G88" s="31" t="str">
        <x:v>text_extracted</x:v>
      </x:c>
      <x:c r="H88" s="31" t="n">
        <x:v>1</x:v>
      </x:c>
    </x:row>
    <x:row r="89">
      <x:c r="A89" s="31" t="str">
        <x:v>r0079_pil</x:v>
      </x:c>
      <x:c r="B89" s="31" t="str">
        <x:v>clonidine</x:v>
      </x:c>
      <x:c r="C89" s="31" t="str">
        <x:v>PIL</x:v>
      </x:c>
      <x:c r="D89" s="31" t="str">
        <x:v>2023-08-04</x:v>
      </x:c>
      <x:c r="E89" s="37" t="str">
        <x:v>https://drug.fda.moph.go.th/media.php?id=725640886955941888&amp;name=pil_Clonidine hydrochloride (tab;et 0.15 mg).pdf</x:v>
      </x:c>
      <x:c r="F89" s="31" t="str">
        <x:v>downloaded</x:v>
      </x:c>
      <x:c r="G89" s="31" t="str">
        <x:v>text_extracted</x:v>
      </x:c>
      <x:c r="H89" s="31" t="n">
        <x:v>1</x:v>
      </x:c>
    </x:row>
    <x:row r="90">
      <x:c r="A90" s="31" t="str">
        <x:v>r0080_smpc</x:v>
      </x:c>
      <x:c r="B90" s="31" t="str">
        <x:v>clonidine</x:v>
      </x:c>
      <x:c r="C90" s="31" t="str">
        <x:v>SMPC</x:v>
      </x:c>
      <x:c r="D90" s="31" t="str">
        <x:v>2024-11-21</x:v>
      </x:c>
      <x:c r="E90" s="37" t="str">
        <x:v>https://drug.fda.moph.go.th/media.php?id=809689391965544448&amp;name=SMPC_Clonidine_tablets.pdf</x:v>
      </x:c>
      <x:c r="F90" s="31" t="str">
        <x:v>downloaded</x:v>
      </x:c>
      <x:c r="G90" s="31" t="str">
        <x:v>text_extracted</x:v>
      </x:c>
      <x:c r="H90" s="31" t="n">
        <x:v>13</x:v>
      </x:c>
    </x:row>
    <x:row r="91">
      <x:c r="A91" s="31" t="str">
        <x:v>r0081_pil</x:v>
      </x:c>
      <x:c r="B91" s="31" t="str">
        <x:v>clotrimazole</x:v>
      </x:c>
      <x:c r="C91" s="31" t="str">
        <x:v>PIL</x:v>
      </x:c>
      <x:c r="D91" s="31" t="str">
        <x:v>2023-11-09</x:v>
      </x:c>
      <x:c r="E91" s="37" t="str">
        <x:v>https://drug.fda.moph.go.th/media.php?id=725942369777754112&amp;name=pil_Clotrimazole (LOZENGE).pdf</x:v>
      </x:c>
      <x:c r="F91" s="31" t="str">
        <x:v>downloaded</x:v>
      </x:c>
      <x:c r="G91" s="31" t="str">
        <x:v>text_extracted</x:v>
      </x:c>
      <x:c r="H91" s="31" t="n">
        <x:v>1</x:v>
      </x:c>
    </x:row>
    <x:row r="92">
      <x:c r="A92" s="31" t="str">
        <x:v>r0082_pil</x:v>
      </x:c>
      <x:c r="B92" s="31" t="str">
        <x:v>clotrimazole</x:v>
      </x:c>
      <x:c r="C92" s="31" t="str">
        <x:v>PIL</x:v>
      </x:c>
      <x:c r="D92" s="31" t="str">
        <x:v>2025-03-19</x:v>
      </x:c>
      <x:c r="E92" s="37" t="str">
        <x:v>https://drug.fda.moph.go.th/media.php?id=808249374026113024&amp;name=Clotrimazole_cream_PIL.pdf</x:v>
      </x:c>
      <x:c r="F92" s="31" t="str">
        <x:v>downloaded</x:v>
      </x:c>
      <x:c r="G92" s="31" t="str">
        <x:v>text_extracted</x:v>
      </x:c>
      <x:c r="H92" s="31" t="n">
        <x:v>1</x:v>
      </x:c>
    </x:row>
    <x:row r="93">
      <x:c r="A93" s="31" t="str">
        <x:v>r0082_smpc</x:v>
      </x:c>
      <x:c r="B93" s="31" t="str">
        <x:v>clotrimazole</x:v>
      </x:c>
      <x:c r="C93" s="31" t="str">
        <x:v>SMPC</x:v>
      </x:c>
      <x:c r="D93" s="31" t="str">
        <x:v>2024-11-21</x:v>
      </x:c>
      <x:c r="E93" s="37" t="str">
        <x:v>https://drug.fda.moph.go.th/media.php?id=809690021182447616&amp;name=SMPC_Clotrimazole_cream.pdf</x:v>
      </x:c>
      <x:c r="F93" s="31" t="str">
        <x:v>downloaded</x:v>
      </x:c>
      <x:c r="G93" s="31" t="str">
        <x:v>text_extracted</x:v>
      </x:c>
      <x:c r="H93" s="31" t="n">
        <x:v>6</x:v>
      </x:c>
    </x:row>
    <x:row r="94">
      <x:c r="A94" s="31" t="str">
        <x:v>r0083_pil</x:v>
      </x:c>
      <x:c r="B94" s="31" t="str">
        <x:v>clotrimazole</x:v>
      </x:c>
      <x:c r="C94" s="31" t="str">
        <x:v>PIL</x:v>
      </x:c>
      <x:c r="D94" s="31" t="str">
        <x:v>2025-03-19</x:v>
      </x:c>
      <x:c r="E94" s="37" t="str">
        <x:v>https://drug.fda.moph.go.th/media.php?id=808249562153230336&amp;name=Clotrimazole_vaginaltablet_PIL.pdf</x:v>
      </x:c>
      <x:c r="F94" s="31" t="str">
        <x:v>downloaded</x:v>
      </x:c>
      <x:c r="G94" s="31" t="str">
        <x:v>text_extracted</x:v>
      </x:c>
      <x:c r="H94" s="31" t="n">
        <x:v>2</x:v>
      </x:c>
    </x:row>
    <x:row r="95">
      <x:c r="A95" s="31" t="str">
        <x:v>r0083_smpc</x:v>
      </x:c>
      <x:c r="B95" s="31" t="str">
        <x:v>clotrimazole</x:v>
      </x:c>
      <x:c r="C95" s="31" t="str">
        <x:v>SMPC</x:v>
      </x:c>
      <x:c r="D95" s="31" t="str">
        <x:v>2024-11-21</x:v>
      </x:c>
      <x:c r="E95" s="37" t="str">
        <x:v>https://drug.fda.moph.go.th/media.php?id=809690567477960704&amp;name=SMPC_Clotrimazole_vaginaltablet.pdf</x:v>
      </x:c>
      <x:c r="F95" s="31" t="str">
        <x:v>downloaded</x:v>
      </x:c>
      <x:c r="G95" s="31" t="str">
        <x:v>text_extracted</x:v>
      </x:c>
      <x:c r="H95" s="31" t="n">
        <x:v>11</x:v>
      </x:c>
    </x:row>
    <x:row r="96">
      <x:c r="A96" s="31" t="str">
        <x:v>r0084_smpc</x:v>
      </x:c>
      <x:c r="B96" s="31" t="str">
        <x:v>clotrimazole</x:v>
      </x:c>
      <x:c r="C96" s="31" t="str">
        <x:v>SMPC</x:v>
      </x:c>
      <x:c r="D96" s="31" t="str">
        <x:v>2024-11-21</x:v>
      </x:c>
      <x:c r="E96" s="37" t="str">
        <x:v>https://drug.fda.moph.go.th/media.php?id=726814171727011840&amp;name=SMPC_Clotrimazole (SOLUTION) 1.0%wv.pdf</x:v>
      </x:c>
      <x:c r="F96" s="31" t="str">
        <x:v>downloaded</x:v>
      </x:c>
      <x:c r="G96" s="31" t="str">
        <x:v>text_extracted</x:v>
      </x:c>
      <x:c r="H96" s="31" t="n">
        <x:v>6</x:v>
      </x:c>
    </x:row>
    <x:row r="97">
      <x:c r="A97" s="31" t="str">
        <x:v>r0085_pil</x:v>
      </x:c>
      <x:c r="B97" s="31" t="str">
        <x:v>cloxacillin</x:v>
      </x:c>
      <x:c r="C97" s="31" t="str">
        <x:v>PIL</x:v>
      </x:c>
      <x:c r="D97" s="31" t="str">
        <x:v>2025-03-19</x:v>
      </x:c>
      <x:c r="E97" s="37" t="str">
        <x:v>https://drug.fda.moph.go.th/media.php?id=808517407260942336&amp;name=Cloxacillin_drysyrup_PIL.pdf</x:v>
      </x:c>
      <x:c r="F97" s="31" t="str">
        <x:v>downloaded</x:v>
      </x:c>
      <x:c r="G97" s="31" t="str">
        <x:v>text_extracted</x:v>
      </x:c>
      <x:c r="H97" s="31" t="n">
        <x:v>1</x:v>
      </x:c>
    </x:row>
    <x:row r="98">
      <x:c r="A98" s="31" t="str">
        <x:v>r0086_pil</x:v>
      </x:c>
      <x:c r="B98" s="31" t="str">
        <x:v>coal_tar</x:v>
      </x:c>
      <x:c r="C98" s="31" t="str">
        <x:v>PIL</x:v>
      </x:c>
      <x:c r="D98" s="31" t="str">
        <x:v>2024-03-15</x:v>
      </x:c>
      <x:c r="E98" s="37" t="str">
        <x:v>https://drug.fda.moph.go.th/media.php?id=733953082332946432&amp;name=PIL ยารักษาโรคผิวหนังเรื้อรัง Coal tar (15032024).pdf</x:v>
      </x:c>
      <x:c r="F98" s="31" t="str">
        <x:v>downloaded</x:v>
      </x:c>
      <x:c r="G98" s="31" t="str">
        <x:v>text_extracted</x:v>
      </x:c>
      <x:c r="H98" s="31" t="n">
        <x:v>1</x:v>
      </x:c>
    </x:row>
    <x:row r="99">
      <x:c r="A99" s="31" t="str">
        <x:v>r0087_smpc</x:v>
      </x:c>
      <x:c r="B99" s="31" t="str">
        <x:v>colchicine</x:v>
      </x:c>
      <x:c r="C99" s="31" t="str">
        <x:v>SMPC</x:v>
      </x:c>
      <x:c r="D99" s="31" t="str">
        <x:v>2024-11-27</x:v>
      </x:c>
      <x:c r="E99" s="37" t="str">
        <x:v>https://drug.fda.moph.go.th/media.php?id=809692129914920960&amp;name=SMPC_Colchicine_Tablets.pdf</x:v>
      </x:c>
      <x:c r="F99" s="31" t="str">
        <x:v>downloaded</x:v>
      </x:c>
      <x:c r="G99" s="31" t="str">
        <x:v>text_extracted</x:v>
      </x:c>
      <x:c r="H99" s="31" t="n">
        <x:v>13</x:v>
      </x:c>
    </x:row>
    <x:row r="100">
      <x:c r="A100" s="31" t="str">
        <x:v>r0088_pil</x:v>
      </x:c>
      <x:c r="B100" s="31" t="str">
        <x:v>co_trimoxazole_trimethoprim_sulfamethoxazole</x:v>
      </x:c>
      <x:c r="C100" s="31" t="str">
        <x:v>PIL</x:v>
      </x:c>
      <x:c r="D100" s="31" t="str">
        <x:v>2025-03-19</x:v>
      </x:c>
      <x:c r="E100" s="37" t="str">
        <x:v>https://drug.fda.moph.go.th/media.php?id=808517949823524864&amp;name=SulfamethoxazoleAndTrimethoprim_capsule_tablet_PIL.pdf</x:v>
      </x:c>
      <x:c r="F100" s="31" t="str">
        <x:v>downloaded</x:v>
      </x:c>
      <x:c r="G100" s="31" t="str">
        <x:v>text_extracted</x:v>
      </x:c>
      <x:c r="H100" s="31" t="n">
        <x:v>2</x:v>
      </x:c>
    </x:row>
    <x:row r="101">
      <x:c r="A101" s="31" t="str">
        <x:v>r0089_pil</x:v>
      </x:c>
      <x:c r="B101" s="31" t="str">
        <x:v>co_trimoxazole_trimethoprim_sulfamethoxazole</x:v>
      </x:c>
      <x:c r="C101" s="31" t="str">
        <x:v>PIL</x:v>
      </x:c>
      <x:c r="D101" s="31" t="str">
        <x:v>2025-03-19</x:v>
      </x:c>
      <x:c r="E101" s="37" t="str">
        <x:v>https://drug.fda.moph.go.th/media.php?id=808518443686043648&amp;name=SulfamethoxazoleAndTrimethoprim_suspensionSyrup_PIL.pdf</x:v>
      </x:c>
      <x:c r="F101" s="31" t="str">
        <x:v>downloaded</x:v>
      </x:c>
      <x:c r="G101" s="31" t="str">
        <x:v>text_extracted</x:v>
      </x:c>
      <x:c r="H101" s="31" t="n">
        <x:v>2</x:v>
      </x:c>
    </x:row>
    <x:row r="102">
      <x:c r="A102" s="31" t="str">
        <x:v>r0090_pil</x:v>
      </x:c>
      <x:c r="B102" s="31" t="str">
        <x:v>cyanocobalamin</x:v>
      </x:c>
      <x:c r="C102" s="31" t="str">
        <x:v>PIL</x:v>
      </x:c>
      <x:c r="D102" s="31" t="str">
        <x:v>2023-11-09</x:v>
      </x:c>
      <x:c r="E102" s="37" t="str">
        <x:v>https://drug.fda.moph.go.th/media.php?id=725942611436773376&amp;name=pil_Cyanocobalamin (TABLET).pdf</x:v>
      </x:c>
      <x:c r="F102" s="31" t="str">
        <x:v>downloaded</x:v>
      </x:c>
      <x:c r="G102" s="31" t="str">
        <x:v>text_extracted</x:v>
      </x:c>
      <x:c r="H102" s="31" t="n">
        <x:v>1</x:v>
      </x:c>
    </x:row>
    <x:row r="103">
      <x:c r="A103" s="31" t="str">
        <x:v>r0090_smpc</x:v>
      </x:c>
      <x:c r="B103" s="31" t="str">
        <x:v>cyanocobalamin</x:v>
      </x:c>
      <x:c r="C103" s="31" t="str">
        <x:v>SMPC</x:v>
      </x:c>
      <x:c r="D103" s="31" t="str">
        <x:v>2024-11-21</x:v>
      </x:c>
      <x:c r="E103" s="37" t="str">
        <x:v>https://drug.fda.moph.go.th/media.php?id=809692799212593152&amp;name=SMPC_Cyanocobalamin_Tablets.pdf</x:v>
      </x:c>
      <x:c r="F103" s="31" t="str">
        <x:v>downloaded</x:v>
      </x:c>
      <x:c r="G103" s="31" t="str">
        <x:v>text_extracted</x:v>
      </x:c>
      <x:c r="H103" s="31" t="n">
        <x:v>5</x:v>
      </x:c>
    </x:row>
    <x:row r="104">
      <x:c r="A104" s="31" t="str">
        <x:v>r0091_smpc</x:v>
      </x:c>
      <x:c r="B104" s="31" t="str">
        <x:v>cyclophosphamide</x:v>
      </x:c>
      <x:c r="C104" s="31" t="str">
        <x:v>SMPC</x:v>
      </x:c>
      <x:c r="D104" s="31" t="str">
        <x:v>2024-11-27</x:v>
      </x:c>
      <x:c r="E104" s="37" t="str">
        <x:v>https://drug.fda.moph.go.th/media.php?id=809693226402455552&amp;name=SMPC_Cyclophosphamide_Powders for solutions for injections or infusions.pdf</x:v>
      </x:c>
      <x:c r="F104" s="31" t="str">
        <x:v>downloaded</x:v>
      </x:c>
      <x:c r="G104" s="31" t="str">
        <x:v>text_extracted</x:v>
      </x:c>
      <x:c r="H104" s="31" t="n">
        <x:v>32</x:v>
      </x:c>
    </x:row>
    <x:row r="105">
      <x:c r="A105" s="31" t="str">
        <x:v>r0092_pil</x:v>
      </x:c>
      <x:c r="B105" s="31" t="str">
        <x:v>cyproheptadine</x:v>
      </x:c>
      <x:c r="C105" s="31" t="str">
        <x:v>PIL</x:v>
      </x:c>
      <x:c r="D105" s="31" t="str">
        <x:v>2025-08-15</x:v>
      </x:c>
      <x:c r="E105" s="37" t="str">
        <x:v>https://drug.fda.moph.go.th/media.php?id=808520288135421952&amp;name=Cyproheptadine_sugarCoatedTablet_PIL.pdf</x:v>
      </x:c>
      <x:c r="F105" s="31" t="str">
        <x:v>downloaded</x:v>
      </x:c>
      <x:c r="G105" s="31" t="str">
        <x:v>text_extracted</x:v>
      </x:c>
      <x:c r="H105" s="31" t="n">
        <x:v>2</x:v>
      </x:c>
    </x:row>
    <x:row r="106">
      <x:c r="A106" s="31" t="str">
        <x:v>r0093_pil</x:v>
      </x:c>
      <x:c r="B106" s="31" t="str">
        <x:v>cyproheptadine</x:v>
      </x:c>
      <x:c r="C106" s="31" t="str">
        <x:v>PIL</x:v>
      </x:c>
      <x:c r="D106" s="31" t="str">
        <x:v>2025-08-15</x:v>
      </x:c>
      <x:c r="E106" s="37" t="str">
        <x:v>https://drug.fda.moph.go.th/media.php?id=808521488910131200&amp;name=Cyproheptadine_Syrup_PIL.pdf</x:v>
      </x:c>
      <x:c r="F106" s="31" t="str">
        <x:v>downloaded</x:v>
      </x:c>
      <x:c r="G106" s="31" t="str">
        <x:v>text_extracted</x:v>
      </x:c>
      <x:c r="H106" s="31" t="n">
        <x:v>2</x:v>
      </x:c>
    </x:row>
    <x:row r="107">
      <x:c r="A107" s="31" t="str">
        <x:v>r0094_smpc</x:v>
      </x:c>
      <x:c r="B107" s="31" t="str">
        <x:v>cyproheptadine</x:v>
      </x:c>
      <x:c r="C107" s="31" t="str">
        <x:v>SMPC</x:v>
      </x:c>
      <x:c r="D107" s="31" t="str">
        <x:v>2024-11-27</x:v>
      </x:c>
      <x:c r="E107" s="37" t="str">
        <x:v>https://drug.fda.moph.go.th/media.php?id=809699643461083136&amp;name=SMPC_Cyproheptadine_Tablets.pdf</x:v>
      </x:c>
      <x:c r="F107" s="31" t="str">
        <x:v>downloaded</x:v>
      </x:c>
      <x:c r="G107" s="31" t="str">
        <x:v>text_extracted</x:v>
      </x:c>
      <x:c r="H107" s="31" t="n">
        <x:v>10</x:v>
      </x:c>
    </x:row>
    <x:row r="108">
      <x:c r="A108" s="31" t="str">
        <x:v>r0095_pil</x:v>
      </x:c>
      <x:c r="B108" s="31" t="str">
        <x:v>dequalinium</x:v>
      </x:c>
      <x:c r="C108" s="31" t="str">
        <x:v>PIL</x:v>
      </x:c>
      <x:c r="D108" s="31" t="str">
        <x:v>2025-03-19</x:v>
      </x:c>
      <x:c r="E108" s="37" t="str">
        <x:v>https://drug.fda.moph.go.th/media.php?id=808522434977341440&amp;name=Dequalinium_vaginal tablet_PIL.pdf</x:v>
      </x:c>
      <x:c r="F108" s="31" t="str">
        <x:v>downloaded</x:v>
      </x:c>
      <x:c r="G108" s="31" t="str">
        <x:v>text_extracted</x:v>
      </x:c>
      <x:c r="H108" s="31" t="n">
        <x:v>2</x:v>
      </x:c>
    </x:row>
    <x:row r="109">
      <x:c r="A109" s="31" t="str">
        <x:v>r0096_pil</x:v>
      </x:c>
      <x:c r="B109" s="31" t="str">
        <x:v>dexamethasone</x:v>
      </x:c>
      <x:c r="C109" s="31" t="str">
        <x:v>PIL</x:v>
      </x:c>
      <x:c r="D109" s="31"/>
      <x:c r="E109" s="37" t="str">
        <x:v>https://drug.fda.moph.go.th/media.php?id=730340041339052032&amp;name=pil_Dexamethasone (TABLET)0.25, 0.5, 4 mg.pdf</x:v>
      </x:c>
      <x:c r="F109" s="31" t="str">
        <x:v>downloaded</x:v>
      </x:c>
      <x:c r="G109" s="31" t="str">
        <x:v>text_extracted</x:v>
      </x:c>
      <x:c r="H109" s="31" t="n">
        <x:v>2</x:v>
      </x:c>
    </x:row>
    <x:row r="110">
      <x:c r="A110" s="31" t="str">
        <x:v>r0097_smpc</x:v>
      </x:c>
      <x:c r="B110" s="31" t="str">
        <x:v>dexamethasone</x:v>
      </x:c>
      <x:c r="C110" s="31" t="str">
        <x:v>SMPC</x:v>
      </x:c>
      <x:c r="D110" s="31" t="str">
        <x:v>2024-11-21</x:v>
      </x:c>
      <x:c r="E110" s="37" t="str">
        <x:v>https://drug.fda.moph.go.th/media.php?id=810062372298432512&amp;name=SMPC_Dexamethasone_Oral solution.pdf</x:v>
      </x:c>
      <x:c r="F110" s="31" t="str">
        <x:v>downloaded</x:v>
      </x:c>
      <x:c r="G110" s="31" t="str">
        <x:v>text_extracted</x:v>
      </x:c>
      <x:c r="H110" s="31" t="n">
        <x:v>31</x:v>
      </x:c>
    </x:row>
    <x:row r="111">
      <x:c r="A111" s="31" t="str">
        <x:v>r0098_smpc</x:v>
      </x:c>
      <x:c r="B111" s="31" t="str">
        <x:v>dexamethasone</x:v>
      </x:c>
      <x:c r="C111" s="31" t="str">
        <x:v>SMPC</x:v>
      </x:c>
      <x:c r="D111" s="31" t="str">
        <x:v>2024-11-21</x:v>
      </x:c>
      <x:c r="E111" s="37" t="str">
        <x:v>https://drug.fda.moph.go.th/media.php?id=810066436012777472&amp;name=SMPC_Dexamethasone_syrup.pdf</x:v>
      </x:c>
      <x:c r="F111" s="31" t="str">
        <x:v>downloaded</x:v>
      </x:c>
      <x:c r="G111" s="31" t="str">
        <x:v>text_extracted</x:v>
      </x:c>
      <x:c r="H111" s="31" t="n">
        <x:v>19</x:v>
      </x:c>
    </x:row>
    <x:row r="112">
      <x:c r="A112" s="31" t="str">
        <x:v>r0099_smpc</x:v>
      </x:c>
      <x:c r="B112" s="31" t="str">
        <x:v>dextran</x:v>
      </x:c>
      <x:c r="C112" s="31" t="str">
        <x:v>SMPC</x:v>
      </x:c>
      <x:c r="D112" s="31" t="str">
        <x:v>2024-11-21</x:v>
      </x:c>
      <x:c r="E112" s="37" t="str">
        <x:v>https://drug.fda.moph.go.th/media.php?id=810066913823694848&amp;name=SMPC_Dextran_solution for infusion.pdf</x:v>
      </x:c>
      <x:c r="F112" s="31" t="str">
        <x:v>downloaded</x:v>
      </x:c>
      <x:c r="G112" s="31" t="str">
        <x:v>text_extracted</x:v>
      </x:c>
      <x:c r="H112" s="31" t="n">
        <x:v>6</x:v>
      </x:c>
    </x:row>
    <x:row r="113">
      <x:c r="A113" s="31" t="str">
        <x:v>r0100_smpc</x:v>
      </x:c>
      <x:c r="B113" s="31" t="str">
        <x:v>dextromethorphan_hydrobromide</x:v>
      </x:c>
      <x:c r="C113" s="31" t="str">
        <x:v>SMPC</x:v>
      </x:c>
      <x:c r="D113" s="31" t="str">
        <x:v>2024-11-21</x:v>
      </x:c>
      <x:c r="E113" s="37" t="str">
        <x:v>https://drug.fda.moph.go.th/media.php?id=810067905235525632&amp;name=SMPC_Dextromethorphan_Lozenge.pdf</x:v>
      </x:c>
      <x:c r="F113" s="31" t="str">
        <x:v>downloaded</x:v>
      </x:c>
      <x:c r="G113" s="31" t="str">
        <x:v>text_extracted</x:v>
      </x:c>
      <x:c r="H113" s="31" t="n">
        <x:v>12</x:v>
      </x:c>
    </x:row>
    <x:row r="114">
      <x:c r="A114" s="31" t="str">
        <x:v>r0101_smpc</x:v>
      </x:c>
      <x:c r="B114" s="31" t="str">
        <x:v>dextromethorphan_hydrobromide</x:v>
      </x:c>
      <x:c r="C114" s="31" t="str">
        <x:v>SMPC</x:v>
      </x:c>
      <x:c r="D114" s="31" t="str">
        <x:v>2024-11-21</x:v>
      </x:c>
      <x:c r="E114" s="37" t="str">
        <x:v>https://drug.fda.moph.go.th/media.php?id=810068299789508608&amp;name=SMPC_Dextromethorphan_Syrup.pdf</x:v>
      </x:c>
      <x:c r="F114" s="31" t="str">
        <x:v>downloaded</x:v>
      </x:c>
      <x:c r="G114" s="31" t="str">
        <x:v>text_extracted</x:v>
      </x:c>
      <x:c r="H114" s="31" t="n">
        <x:v>11</x:v>
      </x:c>
    </x:row>
    <x:row r="115">
      <x:c r="A115" s="31" t="str">
        <x:v>r0102_pil</x:v>
      </x:c>
      <x:c r="B115" s="31" t="str">
        <x:v>diclofenac</x:v>
      </x:c>
      <x:c r="C115" s="31" t="str">
        <x:v>PIL</x:v>
      </x:c>
      <x:c r="D115" s="31" t="str">
        <x:v>2025-03-19</x:v>
      </x:c>
      <x:c r="E115" s="37" t="str">
        <x:v>https://drug.fda.moph.go.th/media.php?id=808522809746792448&amp;name=Diclofenac_Gel_PIL.pdf</x:v>
      </x:c>
      <x:c r="F115" s="31" t="str">
        <x:v>downloaded</x:v>
      </x:c>
      <x:c r="G115" s="31" t="str">
        <x:v>text_extracted</x:v>
      </x:c>
      <x:c r="H115" s="31" t="n">
        <x:v>3</x:v>
      </x:c>
    </x:row>
    <x:row r="116">
      <x:c r="A116" s="31" t="str">
        <x:v>r0103_smpc</x:v>
      </x:c>
      <x:c r="B116" s="31" t="str">
        <x:v>diclofenac</x:v>
      </x:c>
      <x:c r="C116" s="31" t="str">
        <x:v>SMPC</x:v>
      </x:c>
      <x:c r="D116" s="31" t="str">
        <x:v>2024-11-27</x:v>
      </x:c>
      <x:c r="E116" s="37" t="str">
        <x:v>https://drug.fda.moph.go.th/media.php?id=810068711242342400&amp;name=SMPC_Diclofenac_enteric-coated tables.pdf</x:v>
      </x:c>
      <x:c r="F116" s="31" t="str">
        <x:v>downloaded</x:v>
      </x:c>
      <x:c r="G116" s="31" t="str">
        <x:v>text_extracted</x:v>
      </x:c>
      <x:c r="H116" s="31" t="n">
        <x:v>19</x:v>
      </x:c>
    </x:row>
    <x:row r="117">
      <x:c r="A117" s="31" t="str">
        <x:v>r0104_smpc</x:v>
      </x:c>
      <x:c r="B117" s="31" t="str">
        <x:v>diclofenac</x:v>
      </x:c>
      <x:c r="C117" s="31" t="str">
        <x:v>SMPC</x:v>
      </x:c>
      <x:c r="D117" s="31" t="str">
        <x:v>2024-11-27</x:v>
      </x:c>
      <x:c r="E117" s="37" t="str">
        <x:v>https://drug.fda.moph.go.th/media.php?id=810069032811241472&amp;name=SMPC_Diclofenac_Prolonged-Release capsules.pdf</x:v>
      </x:c>
      <x:c r="F117" s="31" t="str">
        <x:v>downloaded</x:v>
      </x:c>
      <x:c r="G117" s="31" t="str">
        <x:v>text_extracted</x:v>
      </x:c>
      <x:c r="H117" s="31" t="n">
        <x:v>19</x:v>
      </x:c>
    </x:row>
    <x:row r="118">
      <x:c r="A118" s="31" t="str">
        <x:v>r0105_smpc</x:v>
      </x:c>
      <x:c r="B118" s="31" t="str">
        <x:v>diclofenac</x:v>
      </x:c>
      <x:c r="C118" s="31" t="str">
        <x:v>SMPC</x:v>
      </x:c>
      <x:c r="D118" s="31" t="str">
        <x:v>2024-11-27</x:v>
      </x:c>
      <x:c r="E118" s="37" t="str">
        <x:v>https://drug.fda.moph.go.th/media.php?id=810069388655992832&amp;name=SMPC_Diclofenac_Prolonged-Release tablets.pdf</x:v>
      </x:c>
      <x:c r="F118" s="31" t="str">
        <x:v>downloaded</x:v>
      </x:c>
      <x:c r="G118" s="31" t="str">
        <x:v>text_extracted</x:v>
      </x:c>
      <x:c r="H118" s="31" t="n">
        <x:v>18</x:v>
      </x:c>
    </x:row>
    <x:row r="119">
      <x:c r="A119" s="31" t="str">
        <x:v>r0106_pil</x:v>
      </x:c>
      <x:c r="B119" s="31" t="str">
        <x:v>dicloxacillin</x:v>
      </x:c>
      <x:c r="C119" s="31" t="str">
        <x:v>PIL</x:v>
      </x:c>
      <x:c r="D119" s="31" t="str">
        <x:v>2025-03-19</x:v>
      </x:c>
      <x:c r="E119" s="37" t="str">
        <x:v>https://drug.fda.moph.go.th/media.php?id=808523777259479040&amp;name=Dicloxacillin_capsulehard_PIL.pdf</x:v>
      </x:c>
      <x:c r="F119" s="31" t="str">
        <x:v>downloaded</x:v>
      </x:c>
      <x:c r="G119" s="31" t="str">
        <x:v>text_extracted</x:v>
      </x:c>
      <x:c r="H119" s="31" t="n">
        <x:v>1</x:v>
      </x:c>
    </x:row>
    <x:row r="120">
      <x:c r="A120" s="31" t="str">
        <x:v>r0107_pil</x:v>
      </x:c>
      <x:c r="B120" s="31" t="str">
        <x:v>dicloxacillin</x:v>
      </x:c>
      <x:c r="C120" s="31" t="str">
        <x:v>PIL</x:v>
      </x:c>
      <x:c r="D120" s="31" t="str">
        <x:v>2025-03-19</x:v>
      </x:c>
      <x:c r="E120" s="37" t="str">
        <x:v>https://drug.fda.moph.go.th/media.php?id=808538988444000256&amp;name=Dicloxacillin_drysyrup_PIL.pdf</x:v>
      </x:c>
      <x:c r="F120" s="31" t="str">
        <x:v>downloaded</x:v>
      </x:c>
      <x:c r="G120" s="31" t="str">
        <x:v>text_extracted</x:v>
      </x:c>
      <x:c r="H120" s="31" t="n">
        <x:v>1</x:v>
      </x:c>
    </x:row>
    <x:row r="121">
      <x:c r="A121" s="31" t="str">
        <x:v>r0108_pil</x:v>
      </x:c>
      <x:c r="B121" s="31" t="str">
        <x:v>dicycloverine</x:v>
      </x:c>
      <x:c r="C121" s="31" t="str">
        <x:v>PIL</x:v>
      </x:c>
      <x:c r="D121" s="31" t="str">
        <x:v>2023-08-04</x:v>
      </x:c>
      <x:c r="E121" s="37" t="str">
        <x:v>https://drug.fda.moph.go.th/media.php?id=730341737037438976&amp;name=pil_Dicycloverine hydrochloride (TABLET)10 mg, 20 mg.pdf</x:v>
      </x:c>
      <x:c r="F121" s="31" t="str">
        <x:v>downloaded</x:v>
      </x:c>
      <x:c r="G121" s="31" t="str">
        <x:v>text_extracted</x:v>
      </x:c>
      <x:c r="H121" s="31" t="n">
        <x:v>1</x:v>
      </x:c>
    </x:row>
    <x:row r="122">
      <x:c r="A122" s="31" t="str">
        <x:v>r0108_smpc</x:v>
      </x:c>
      <x:c r="B122" s="31" t="str">
        <x:v>dicycloverine</x:v>
      </x:c>
      <x:c r="C122" s="31" t="str">
        <x:v>SMPC</x:v>
      </x:c>
      <x:c r="D122" s="31" t="str">
        <x:v>2024-11-21</x:v>
      </x:c>
      <x:c r="E122" s="37" t="str">
        <x:v>https://drug.fda.moph.go.th/media.php?id=810069763324780544&amp;name=SMPC_Dicycloverine_tablets.pdf</x:v>
      </x:c>
      <x:c r="F122" s="31" t="str">
        <x:v>downloaded</x:v>
      </x:c>
      <x:c r="G122" s="31" t="str">
        <x:v>text_extracted</x:v>
      </x:c>
      <x:c r="H122" s="31" t="n">
        <x:v>5</x:v>
      </x:c>
    </x:row>
    <x:row r="123">
      <x:c r="A123" s="31" t="str">
        <x:v>r0109_pil</x:v>
      </x:c>
      <x:c r="B123" s="31" t="str">
        <x:v>digoxin</x:v>
      </x:c>
      <x:c r="C123" s="31" t="str">
        <x:v>PIL</x:v>
      </x:c>
      <x:c r="D123" s="31" t="str">
        <x:v>2023-08-09</x:v>
      </x:c>
      <x:c r="E123" s="37" t="str">
        <x:v>https://drug.fda.moph.go.th/media.php?id=730342077547814912&amp;name=pil_Digoxin (TABLET 0.125 mg).pdf</x:v>
      </x:c>
      <x:c r="F123" s="31" t="str">
        <x:v>downloaded</x:v>
      </x:c>
      <x:c r="G123" s="31" t="str">
        <x:v>text_extracted</x:v>
      </x:c>
      <x:c r="H123" s="31" t="n">
        <x:v>1</x:v>
      </x:c>
    </x:row>
    <x:row r="124">
      <x:c r="A124" s="31" t="str">
        <x:v>r0109_smpc</x:v>
      </x:c>
      <x:c r="B124" s="31" t="str">
        <x:v>digoxin</x:v>
      </x:c>
      <x:c r="C124" s="31" t="str">
        <x:v>SMPC</x:v>
      </x:c>
      <x:c r="D124" s="31" t="str">
        <x:v>2024-11-20</x:v>
      </x:c>
      <x:c r="E124" s="37" t="str">
        <x:v>https://drug.fda.moph.go.th/media.php?id=810070238065467392&amp;name=SMPC_Digoxin_Tablets.pdf</x:v>
      </x:c>
      <x:c r="F124" s="31" t="str">
        <x:v>downloaded</x:v>
      </x:c>
      <x:c r="G124" s="31" t="str">
        <x:v>text_extracted</x:v>
      </x:c>
      <x:c r="H124" s="31" t="n">
        <x:v>31</x:v>
      </x:c>
    </x:row>
    <x:row r="125">
      <x:c r="A125" s="31" t="str">
        <x:v>r0110_pil</x:v>
      </x:c>
      <x:c r="B125" s="31" t="str">
        <x:v>diltiazem</x:v>
      </x:c>
      <x:c r="C125" s="31" t="str">
        <x:v>PIL</x:v>
      </x:c>
      <x:c r="D125" s="31" t="str">
        <x:v>2023-08-09</x:v>
      </x:c>
      <x:c r="E125" s="37" t="str">
        <x:v>https://drug.fda.moph.go.th/media.php?id=730342282607337472&amp;name=pil_Diltiazem hydrochloride (tablet 30 mg, 60 mg).pdf</x:v>
      </x:c>
      <x:c r="F125" s="31" t="str">
        <x:v>downloaded</x:v>
      </x:c>
      <x:c r="G125" s="31" t="str">
        <x:v>text_extracted</x:v>
      </x:c>
      <x:c r="H125" s="31" t="n">
        <x:v>1</x:v>
      </x:c>
    </x:row>
    <x:row r="126">
      <x:c r="A126" s="31" t="str">
        <x:v>r0111_smpc</x:v>
      </x:c>
      <x:c r="B126" s="31" t="str">
        <x:v>dimenhydrinate</x:v>
      </x:c>
      <x:c r="C126" s="31" t="str">
        <x:v>SMPC</x:v>
      </x:c>
      <x:c r="D126" s="31" t="str">
        <x:v>2024-11-27</x:v>
      </x:c>
      <x:c r="E126" s="37" t="str">
        <x:v>https://drug.fda.moph.go.th/media.php?id=810072093092880384&amp;name=SMPC_Dimenhydrinate_Tablets.pdf</x:v>
      </x:c>
      <x:c r="F126" s="31" t="str">
        <x:v>downloaded</x:v>
      </x:c>
      <x:c r="G126" s="31" t="str">
        <x:v>text_extracted</x:v>
      </x:c>
      <x:c r="H126" s="31" t="n">
        <x:v>6</x:v>
      </x:c>
    </x:row>
    <x:row r="127">
      <x:c r="A127" s="31" t="str">
        <x:v>r0112_pil</x:v>
      </x:c>
      <x:c r="B127" s="31" t="str">
        <x:v>dimenhydrinate</x:v>
      </x:c>
      <x:c r="C127" s="31" t="str">
        <x:v>PIL</x:v>
      </x:c>
      <x:c r="D127" s="31" t="str">
        <x:v>2024-03-15</x:v>
      </x:c>
      <x:c r="E127" s="37" t="str">
        <x:v>https://drug.fda.moph.go.th/media.php?id=733952637929660416&amp;name=PIL Dimenhydrinate(15032024).pdf</x:v>
      </x:c>
      <x:c r="F127" s="31" t="str">
        <x:v>downloaded</x:v>
      </x:c>
      <x:c r="G127" s="31" t="str">
        <x:v>text_extracted</x:v>
      </x:c>
      <x:c r="H127" s="31" t="n">
        <x:v>1</x:v>
      </x:c>
    </x:row>
    <x:row r="128">
      <x:c r="A128" s="31" t="str">
        <x:v>r0113_smpc</x:v>
      </x:c>
      <x:c r="B128" s="31" t="str">
        <x:v>dipotassium</x:v>
      </x:c>
      <x:c r="C128" s="31" t="str">
        <x:v>SMPC</x:v>
      </x:c>
      <x:c r="D128" s="31" t="str">
        <x:v>2024-11-22</x:v>
      </x:c>
      <x:c r="E128" s="37" t="str">
        <x:v>https://drug.fda.moph.go.th/media.php?id=810072479354724352&amp;name=SMPC_Dipotassium phosphate_concentrate for solution for infusion.pdf</x:v>
      </x:c>
      <x:c r="F128" s="31" t="str">
        <x:v>downloaded</x:v>
      </x:c>
      <x:c r="G128" s="31" t="str">
        <x:v>text_extracted</x:v>
      </x:c>
      <x:c r="H128" s="31" t="n">
        <x:v>13</x:v>
      </x:c>
    </x:row>
    <x:row r="129">
      <x:c r="A129" s="31" t="str">
        <x:v>r0114_smpc</x:v>
      </x:c>
      <x:c r="B129" s="31" t="str">
        <x:v>disulfiram</x:v>
      </x:c>
      <x:c r="C129" s="31" t="str">
        <x:v>SMPC</x:v>
      </x:c>
      <x:c r="D129" s="31" t="str">
        <x:v>2024-11-26</x:v>
      </x:c>
      <x:c r="E129" s="37" t="str">
        <x:v>https://drug.fda.moph.go.th/media.php?id=810072772666597376&amp;name=SMPC_Disulfiram_Tablets.pdf</x:v>
      </x:c>
      <x:c r="F129" s="31" t="str">
        <x:v>downloaded</x:v>
      </x:c>
      <x:c r="G129" s="31" t="str">
        <x:v>text_extracted</x:v>
      </x:c>
      <x:c r="H129" s="31" t="n">
        <x:v>10</x:v>
      </x:c>
    </x:row>
    <x:row r="130">
      <x:c r="A130" s="31" t="str">
        <x:v>r0115_smpc</x:v>
      </x:c>
      <x:c r="B130" s="31" t="str">
        <x:v>docusate</x:v>
      </x:c>
      <x:c r="C130" s="31" t="str">
        <x:v>SMPC</x:v>
      </x:c>
      <x:c r="D130" s="31" t="str">
        <x:v>2024-11-22</x:v>
      </x:c>
      <x:c r="E130" s="37" t="str">
        <x:v>https://drug.fda.moph.go.th/media.php?id=810073111226621952&amp;name=SMPC_Docusate sodium_Oral solution.pdf</x:v>
      </x:c>
      <x:c r="F130" s="31" t="str">
        <x:v>downloaded</x:v>
      </x:c>
      <x:c r="G130" s="31" t="str">
        <x:v>text_extracted</x:v>
      </x:c>
      <x:c r="H130" s="31" t="n">
        <x:v>6</x:v>
      </x:c>
    </x:row>
    <x:row r="131">
      <x:c r="A131" s="31" t="str">
        <x:v>r0116_pil</x:v>
      </x:c>
      <x:c r="B131" s="31" t="str">
        <x:v>domperidone</x:v>
      </x:c>
      <x:c r="C131" s="31" t="str">
        <x:v>PIL</x:v>
      </x:c>
      <x:c r="D131" s="31" t="str">
        <x:v>2025-03-19</x:v>
      </x:c>
      <x:c r="E131" s="37" t="str">
        <x:v>https://drug.fda.moph.go.th/media.php?id=808539868891324416&amp;name=Domperidone_Suspension_PIL.pdf</x:v>
      </x:c>
      <x:c r="F131" s="31" t="str">
        <x:v>downloaded</x:v>
      </x:c>
      <x:c r="G131" s="31" t="str">
        <x:v>text_extracted</x:v>
      </x:c>
      <x:c r="H131" s="31" t="n">
        <x:v>3</x:v>
      </x:c>
    </x:row>
    <x:row r="132">
      <x:c r="A132" s="31" t="str">
        <x:v>r0116_smpc</x:v>
      </x:c>
      <x:c r="B132" s="31" t="str">
        <x:v>domperidone</x:v>
      </x:c>
      <x:c r="C132" s="31" t="str">
        <x:v>SMPC</x:v>
      </x:c>
      <x:c r="D132" s="31" t="str">
        <x:v>2024-11-22</x:v>
      </x:c>
      <x:c r="E132" s="37" t="str">
        <x:v>https://drug.fda.moph.go.th/media.php?id=810073662739849216&amp;name=SMPC_Domperidone_oral suspension.pdf</x:v>
      </x:c>
      <x:c r="F132" s="31" t="str">
        <x:v>downloaded</x:v>
      </x:c>
      <x:c r="G132" s="31" t="str">
        <x:v>text_extracted</x:v>
      </x:c>
      <x:c r="H132" s="31" t="n">
        <x:v>18</x:v>
      </x:c>
    </x:row>
    <x:row r="133">
      <x:c r="A133" s="31" t="str">
        <x:v>r0117_smpc</x:v>
      </x:c>
      <x:c r="B133" s="31" t="str">
        <x:v>domperidone</x:v>
      </x:c>
      <x:c r="C133" s="31" t="str">
        <x:v>SMPC</x:v>
      </x:c>
      <x:c r="D133" s="31" t="str">
        <x:v>2024-11-22</x:v>
      </x:c>
      <x:c r="E133" s="37" t="str">
        <x:v>https://drug.fda.moph.go.th/media.php?id=810074048620011520&amp;name=SMPC_Domperidone_Film-coated Tablets.pdf</x:v>
      </x:c>
      <x:c r="F133" s="31" t="str">
        <x:v>downloaded</x:v>
      </x:c>
      <x:c r="G133" s="31" t="str">
        <x:v>text_extracted</x:v>
      </x:c>
      <x:c r="H133" s="31" t="n">
        <x:v>15</x:v>
      </x:c>
    </x:row>
    <x:row r="134">
      <x:c r="A134" s="31" t="str">
        <x:v>r0118_smpc</x:v>
      </x:c>
      <x:c r="B134" s="31" t="str">
        <x:v>domperidone</x:v>
      </x:c>
      <x:c r="C134" s="31" t="str">
        <x:v>SMPC</x:v>
      </x:c>
      <x:c r="D134" s="31" t="str">
        <x:v>2024-11-22</x:v>
      </x:c>
      <x:c r="E134" s="37" t="str">
        <x:v>https://drug.fda.moph.go.th/media.php?id=810074487256129536&amp;name=SMPC_Domperidone_Tablets.pdf</x:v>
      </x:c>
      <x:c r="F134" s="31" t="str">
        <x:v>downloaded</x:v>
      </x:c>
      <x:c r="G134" s="31" t="str">
        <x:v>text_extracted</x:v>
      </x:c>
      <x:c r="H134" s="31" t="n">
        <x:v>15</x:v>
      </x:c>
    </x:row>
    <x:row r="135">
      <x:c r="A135" s="31" t="str">
        <x:v>r0119_pil</x:v>
      </x:c>
      <x:c r="B135" s="31" t="str">
        <x:v>doxycycline_hyclate</x:v>
      </x:c>
      <x:c r="C135" s="31" t="str">
        <x:v>PIL</x:v>
      </x:c>
      <x:c r="D135" s="31" t="str">
        <x:v>2023-11-09</x:v>
      </x:c>
      <x:c r="E135" s="37" t="str">
        <x:v>https://drug.fda.moph.go.th/media.php?id=725943662810374144&amp;name=pil_Doxycycline hyclate (CAPSULE, HARD - TABLET - ENTERIC COATED TABLET).pdf</x:v>
      </x:c>
      <x:c r="F135" s="31" t="str">
        <x:v>downloaded</x:v>
      </x:c>
      <x:c r="G135" s="31" t="str">
        <x:v>text_extracted</x:v>
      </x:c>
      <x:c r="H135" s="31" t="n">
        <x:v>2</x:v>
      </x:c>
    </x:row>
    <x:row r="136">
      <x:c r="A136" s="31" t="str">
        <x:v>r0119_smpc</x:v>
      </x:c>
      <x:c r="B136" s="31" t="str">
        <x:v>doxycycline_hyclate</x:v>
      </x:c>
      <x:c r="C136" s="31" t="str">
        <x:v>SMPC</x:v>
      </x:c>
      <x:c r="D136" s="31" t="str">
        <x:v>2024-11-26</x:v>
      </x:c>
      <x:c r="E136" s="37" t="str">
        <x:v>https://drug.fda.moph.go.th/media.php?id=810074802814590976&amp;name=SMPC_Doxycycline_Tablet.pdf</x:v>
      </x:c>
      <x:c r="F136" s="31" t="str">
        <x:v>downloaded</x:v>
      </x:c>
      <x:c r="G136" s="31" t="str">
        <x:v>text_extracted</x:v>
      </x:c>
      <x:c r="H136" s="31" t="n">
        <x:v>15</x:v>
      </x:c>
    </x:row>
    <x:row r="137">
      <x:c r="A137" s="31" t="str">
        <x:v>r0120_smpc</x:v>
      </x:c>
      <x:c r="B137" s="31" t="str">
        <x:v>econazole</x:v>
      </x:c>
      <x:c r="C137" s="31" t="str">
        <x:v>SMPC</x:v>
      </x:c>
      <x:c r="D137" s="31" t="str">
        <x:v>2024-11-22</x:v>
      </x:c>
      <x:c r="E137" s="37" t="str">
        <x:v>https://drug.fda.moph.go.th/media.php?id=810075199797075968&amp;name=SMPC_Econazole_Cream.pdf</x:v>
      </x:c>
      <x:c r="F137" s="31" t="str">
        <x:v>downloaded</x:v>
      </x:c>
      <x:c r="G137" s="31" t="str">
        <x:v>text_extracted</x:v>
      </x:c>
      <x:c r="H137" s="31" t="n">
        <x:v>9</x:v>
      </x:c>
    </x:row>
    <x:row r="138">
      <x:c r="A138" s="31" t="str">
        <x:v>r0121_smpc</x:v>
      </x:c>
      <x:c r="B138" s="31" t="str">
        <x:v>econazole</x:v>
      </x:c>
      <x:c r="C138" s="31" t="str">
        <x:v>SMPC</x:v>
      </x:c>
      <x:c r="D138" s="31" t="str">
        <x:v>2024-11-22</x:v>
      </x:c>
      <x:c r="E138" s="37" t="str">
        <x:v>https://drug.fda.moph.go.th/media.php?id=810075506014822400&amp;name=SMPC_Econazole_Vaginal cream.pdf</x:v>
      </x:c>
      <x:c r="F138" s="31" t="str">
        <x:v>downloaded</x:v>
      </x:c>
      <x:c r="G138" s="31" t="str">
        <x:v>text_extracted</x:v>
      </x:c>
      <x:c r="H138" s="31" t="n">
        <x:v>8</x:v>
      </x:c>
    </x:row>
    <x:row r="139">
      <x:c r="A139" s="31" t="str">
        <x:v>r0122_smpc</x:v>
      </x:c>
      <x:c r="B139" s="31" t="str">
        <x:v>enalapril</x:v>
      </x:c>
      <x:c r="C139" s="31" t="str">
        <x:v>SMPC</x:v>
      </x:c>
      <x:c r="D139" s="31" t="str">
        <x:v>2024-11-22</x:v>
      </x:c>
      <x:c r="E139" s="37" t="str">
        <x:v>https://drug.fda.moph.go.th/media.php?id=810075899746721792&amp;name=SMPC_Enalapril_Tablets.pdf</x:v>
      </x:c>
      <x:c r="F139" s="31" t="str">
        <x:v>downloaded</x:v>
      </x:c>
      <x:c r="G139" s="31" t="str">
        <x:v>text_extracted</x:v>
      </x:c>
      <x:c r="H139" s="31" t="n">
        <x:v>26</x:v>
      </x:c>
    </x:row>
    <x:row r="140">
      <x:c r="A140" s="31" t="str">
        <x:v>r0123_pil</x:v>
      </x:c>
      <x:c r="B140" s="31" t="str">
        <x:v>ergocalciferol</x:v>
      </x:c>
      <x:c r="C140" s="31" t="str">
        <x:v>PIL</x:v>
      </x:c>
      <x:c r="D140" s="31" t="str">
        <x:v>2023-11-09</x:v>
      </x:c>
      <x:c r="E140" s="37" t="str">
        <x:v>https://drug.fda.moph.go.th/media.php?id=725943692476686336&amp;name=pil_Ergocalciferol (CAPSULE, HARD).pdf</x:v>
      </x:c>
      <x:c r="F140" s="31" t="str">
        <x:v>downloaded</x:v>
      </x:c>
      <x:c r="G140" s="31" t="str">
        <x:v>text_extracted</x:v>
      </x:c>
      <x:c r="H140" s="31" t="n">
        <x:v>1</x:v>
      </x:c>
    </x:row>
    <x:row r="141">
      <x:c r="A141" s="31" t="str">
        <x:v>r0124_pil</x:v>
      </x:c>
      <x:c r="B141" s="31" t="str">
        <x:v>erythromycin</x:v>
      </x:c>
      <x:c r="C141" s="31" t="str">
        <x:v>PIL</x:v>
      </x:c>
      <x:c r="D141" s="31" t="str">
        <x:v>2025-03-19</x:v>
      </x:c>
      <x:c r="E141" s="37" t="str">
        <x:v>https://drug.fda.moph.go.th/media.php?id=808540497957232640&amp;name=Erythromycin_capsulehard_PIL.pdf</x:v>
      </x:c>
      <x:c r="F141" s="31" t="str">
        <x:v>downloaded</x:v>
      </x:c>
      <x:c r="G141" s="31" t="str">
        <x:v>text_extracted</x:v>
      </x:c>
      <x:c r="H141" s="31" t="n">
        <x:v>1</x:v>
      </x:c>
    </x:row>
    <x:row r="142">
      <x:c r="A142" s="31" t="str">
        <x:v>r0125_pil</x:v>
      </x:c>
      <x:c r="B142" s="31" t="str">
        <x:v>erythromycin</x:v>
      </x:c>
      <x:c r="C142" s="31" t="str">
        <x:v>PIL</x:v>
      </x:c>
      <x:c r="D142" s="31" t="str">
        <x:v>2025-03-19</x:v>
      </x:c>
      <x:c r="E142" s="37" t="str">
        <x:v>https://drug.fda.moph.go.th/media.php?id=808540764433948672&amp;name=Erythromycin_drysyrupSuspension_PIL.pdf</x:v>
      </x:c>
      <x:c r="F142" s="31" t="str">
        <x:v>downloaded</x:v>
      </x:c>
      <x:c r="G142" s="31" t="str">
        <x:v>text_extracted</x:v>
      </x:c>
      <x:c r="H142" s="31" t="n">
        <x:v>2</x:v>
      </x:c>
    </x:row>
    <x:row r="143">
      <x:c r="A143" s="31" t="str">
        <x:v>r0126_smpc</x:v>
      </x:c>
      <x:c r="B143" s="31" t="str">
        <x:v>erythromycin</x:v>
      </x:c>
      <x:c r="C143" s="31" t="str">
        <x:v>SMPC</x:v>
      </x:c>
      <x:c r="D143" s="31" t="str">
        <x:v>2024-11-22</x:v>
      </x:c>
      <x:c r="E143" s="37" t="str">
        <x:v>https://drug.fda.moph.go.th/media.php?id=810076416409477120&amp;name=SMPC_Erythromycin_Gastro-resistant tablets.pdf</x:v>
      </x:c>
      <x:c r="F143" s="31" t="str">
        <x:v>downloaded</x:v>
      </x:c>
      <x:c r="G143" s="31" t="str">
        <x:v>text_extracted</x:v>
      </x:c>
      <x:c r="H143" s="31" t="n">
        <x:v>19</x:v>
      </x:c>
    </x:row>
    <x:row r="144">
      <x:c r="A144" s="31" t="str">
        <x:v>r0127_smpc</x:v>
      </x:c>
      <x:c r="B144" s="31" t="str">
        <x:v>erythromycin</x:v>
      </x:c>
      <x:c r="C144" s="31" t="str">
        <x:v>SMPC</x:v>
      </x:c>
      <x:c r="D144" s="31" t="str">
        <x:v>2024-11-22</x:v>
      </x:c>
      <x:c r="E144" s="37" t="str">
        <x:v>https://drug.fda.moph.go.th/media.php?id=810076760694726656&amp;name=SMPC_Erythromycin_film-coated tablets.pdf</x:v>
      </x:c>
      <x:c r="F144" s="31" t="str">
        <x:v>downloaded</x:v>
      </x:c>
      <x:c r="G144" s="31" t="str">
        <x:v>text_extracted</x:v>
      </x:c>
      <x:c r="H144" s="31" t="n">
        <x:v>20</x:v>
      </x:c>
    </x:row>
    <x:row r="145">
      <x:c r="A145" s="31" t="str">
        <x:v>r0128_smpc</x:v>
      </x:c>
      <x:c r="B145" s="31" t="str">
        <x:v>estradiol</x:v>
      </x:c>
      <x:c r="C145" s="31" t="str">
        <x:v>SMPC</x:v>
      </x:c>
      <x:c r="D145" s="31" t="str">
        <x:v>2024-11-27</x:v>
      </x:c>
      <x:c r="E145" s="37" t="str">
        <x:v>https://drug.fda.moph.go.th/media.php?id=810077151993929728&amp;name=SMPC_Estradiol_Tablets.pdf</x:v>
      </x:c>
      <x:c r="F145" s="31" t="str">
        <x:v>downloaded</x:v>
      </x:c>
      <x:c r="G145" s="31" t="str">
        <x:v>text_extracted</x:v>
      </x:c>
      <x:c r="H145" s="31" t="n">
        <x:v>23</x:v>
      </x:c>
    </x:row>
    <x:row r="146">
      <x:c r="A146" s="31" t="str">
        <x:v>r0129_pil</x:v>
      </x:c>
      <x:c r="B146" s="31" t="str">
        <x:v>ethinylestradiol_chlormadinone</x:v>
      </x:c>
      <x:c r="C146" s="31" t="str">
        <x:v>PIL</x:v>
      </x:c>
      <x:c r="D146" s="31" t="str">
        <x:v>2019-10-07</x:v>
      </x:c>
      <x:c r="E146" s="37" t="str">
        <x:v>https://drug.fda.moph.go.th/media.php?id=725941136048398336&amp;name=pil_Ethinylestradiol + Chlormadinone (TABLET).pdf</x:v>
      </x:c>
      <x:c r="F146" s="31" t="str">
        <x:v>downloaded</x:v>
      </x:c>
      <x:c r="G146" s="31" t="str">
        <x:v>text_extracted</x:v>
      </x:c>
      <x:c r="H146" s="31" t="n">
        <x:v>1</x:v>
      </x:c>
    </x:row>
    <x:row r="147">
      <x:c r="A147" s="31" t="str">
        <x:v>r0130_pil</x:v>
      </x:c>
      <x:c r="B147" s="31" t="str">
        <x:v>ethinylestradiol_cyproterone</x:v>
      </x:c>
      <x:c r="C147" s="31" t="str">
        <x:v>PIL</x:v>
      </x:c>
      <x:c r="D147" s="31" t="str">
        <x:v>2019-10-06</x:v>
      </x:c>
      <x:c r="E147" s="37" t="str">
        <x:v>https://drug.fda.moph.go.th/media.php?id=725940717846929408&amp;name=pil_Ethinylestradiol + Cyproterone (TABLET).pdf</x:v>
      </x:c>
      <x:c r="F147" s="31" t="str">
        <x:v>downloaded</x:v>
      </x:c>
      <x:c r="G147" s="31" t="str">
        <x:v>text_extracted</x:v>
      </x:c>
      <x:c r="H147" s="31" t="n">
        <x:v>1</x:v>
      </x:c>
    </x:row>
    <x:row r="148">
      <x:c r="A148" s="31" t="str">
        <x:v>r0131_pil</x:v>
      </x:c>
      <x:c r="B148" s="31" t="str">
        <x:v>ethinylestradiol_desogestrel</x:v>
      </x:c>
      <x:c r="C148" s="31" t="str">
        <x:v>PIL</x:v>
      </x:c>
      <x:c r="D148" s="31" t="str">
        <x:v>2019-10-04</x:v>
      </x:c>
      <x:c r="E148" s="37" t="str">
        <x:v>https://drug.fda.moph.go.th/media.php?id=725941454819696640&amp;name=pil_Ethinylestradiol + Desogestrel (TABLET).pdf</x:v>
      </x:c>
      <x:c r="F148" s="31" t="str">
        <x:v>downloaded</x:v>
      </x:c>
      <x:c r="G148" s="31" t="str">
        <x:v>text_extracted</x:v>
      </x:c>
      <x:c r="H148" s="31" t="n">
        <x:v>1</x:v>
      </x:c>
    </x:row>
    <x:row r="149">
      <x:c r="A149" s="31" t="str">
        <x:v>r0132_pil</x:v>
      </x:c>
      <x:c r="B149" s="31" t="str">
        <x:v>ethinylestradiol_d_norgestrel</x:v>
      </x:c>
      <x:c r="C149" s="31" t="str">
        <x:v>PIL</x:v>
      </x:c>
      <x:c r="D149" s="31" t="str">
        <x:v>2019-10-06</x:v>
      </x:c>
      <x:c r="E149" s="37" t="str">
        <x:v>https://drug.fda.moph.go.th/media.php?id=725940972185329664&amp;name=pil_Ethinylestradiol + D-Norgestrel (TABLET).pdf</x:v>
      </x:c>
      <x:c r="F149" s="31" t="str">
        <x:v>downloaded</x:v>
      </x:c>
      <x:c r="G149" s="31" t="str">
        <x:v>text_extracted</x:v>
      </x:c>
      <x:c r="H149" s="31" t="n">
        <x:v>1</x:v>
      </x:c>
    </x:row>
    <x:row r="150">
      <x:c r="A150" s="31" t="str">
        <x:v>r0133_pil</x:v>
      </x:c>
      <x:c r="B150" s="31" t="str">
        <x:v>ethinylestradiol_drospirenone</x:v>
      </x:c>
      <x:c r="C150" s="31" t="str">
        <x:v>PIL</x:v>
      </x:c>
      <x:c r="D150" s="31" t="str">
        <x:v>2019-10-07</x:v>
      </x:c>
      <x:c r="E150" s="37" t="str">
        <x:v>https://drug.fda.moph.go.th/media.php?id=725941258706624512&amp;name=pil_Ethinylestradiol + Drospirenone (TABLET).pdf</x:v>
      </x:c>
      <x:c r="F150" s="31" t="str">
        <x:v>downloaded</x:v>
      </x:c>
      <x:c r="G150" s="31" t="str">
        <x:v>text_extracted</x:v>
      </x:c>
      <x:c r="H150" s="31" t="n">
        <x:v>1</x:v>
      </x:c>
    </x:row>
    <x:row r="151">
      <x:c r="A151" s="31" t="str">
        <x:v>r0134_pil</x:v>
      </x:c>
      <x:c r="B151" s="31" t="str">
        <x:v>ethinylestradiol_gestodene</x:v>
      </x:c>
      <x:c r="C151" s="31" t="str">
        <x:v>PIL</x:v>
      </x:c>
      <x:c r="D151" s="31" t="str">
        <x:v>2019-10-06</x:v>
      </x:c>
      <x:c r="E151" s="37" t="str">
        <x:v>https://drug.fda.moph.go.th/media.php?id=725940579837550592&amp;name=pil_Ethinylestradiol + Gestodene (TABLET).pdf</x:v>
      </x:c>
      <x:c r="F151" s="31" t="str">
        <x:v>downloaded</x:v>
      </x:c>
      <x:c r="G151" s="31" t="str">
        <x:v>text_extracted</x:v>
      </x:c>
      <x:c r="H151" s="31" t="n">
        <x:v>1</x:v>
      </x:c>
    </x:row>
    <x:row r="152">
      <x:c r="A152" s="31" t="str">
        <x:v>r0135_pil</x:v>
      </x:c>
      <x:c r="B152" s="31" t="str">
        <x:v>ethinylestradiol_levonorgestrel</x:v>
      </x:c>
      <x:c r="C152" s="31" t="str">
        <x:v>PIL</x:v>
      </x:c>
      <x:c r="D152" s="31" t="str">
        <x:v>2019-10-06</x:v>
      </x:c>
      <x:c r="E152" s="37" t="str">
        <x:v>https://drug.fda.moph.go.th/media.php?id=725940848201703424&amp;name=pil_Ethinylestradiol + Levonorgestrel (TABLET).pdf</x:v>
      </x:c>
      <x:c r="F152" s="31" t="str">
        <x:v>downloaded</x:v>
      </x:c>
      <x:c r="G152" s="31" t="str">
        <x:v>text_extracted</x:v>
      </x:c>
      <x:c r="H152" s="31" t="n">
        <x:v>1</x:v>
      </x:c>
    </x:row>
    <x:row r="153">
      <x:c r="A153" s="31" t="str">
        <x:v>r0136_pil</x:v>
      </x:c>
      <x:c r="B153" s="31" t="str">
        <x:v>ethyl_alcohol</x:v>
      </x:c>
      <x:c r="C153" s="31" t="str">
        <x:v>PIL</x:v>
      </x:c>
      <x:c r="D153" s="31" t="str">
        <x:v>2024-03-15</x:v>
      </x:c>
      <x:c r="E153" s="37" t="str">
        <x:v>https://drug.fda.moph.go.th/media.php?id=733927459329810432&amp;name=PIL _ethyl alcohol_ยาเอทิล แอลกอฮอล์ (15032024).pdf</x:v>
      </x:c>
      <x:c r="F153" s="31" t="str">
        <x:v>downloaded</x:v>
      </x:c>
      <x:c r="G153" s="31" t="str">
        <x:v>text_extracted</x:v>
      </x:c>
      <x:c r="H153" s="31" t="n">
        <x:v>1</x:v>
      </x:c>
    </x:row>
    <x:row r="154">
      <x:c r="A154" s="31" t="str">
        <x:v>r0137_smpc</x:v>
      </x:c>
      <x:c r="B154" s="31" t="str">
        <x:v>ethyl_ester_of_iodinated_fatty_acids_of_poppy_seed_oil</x:v>
      </x:c>
      <x:c r="C154" s="31" t="str">
        <x:v>SMPC</x:v>
      </x:c>
      <x:c r="D154" s="31" t="str">
        <x:v>2024-11-27</x:v>
      </x:c>
      <x:c r="E154" s="37" t="str">
        <x:v>https://drug.fda.moph.go.th/media.php?id=810077645797728256&amp;name=SMPC_Ethyl Ester of Iodinated Fatty Acids of Poppy Seed Oil_Solution for Injection.pdf</x:v>
      </x:c>
      <x:c r="F154" s="31" t="str">
        <x:v>downloaded</x:v>
      </x:c>
      <x:c r="G154" s="31" t="str">
        <x:v>text_extracted</x:v>
      </x:c>
      <x:c r="H154" s="31" t="n">
        <x:v>13</x:v>
      </x:c>
    </x:row>
    <x:row r="155">
      <x:c r="A155" s="31" t="str">
        <x:v>r0138_pil</x:v>
      </x:c>
      <x:c r="B155" s="31" t="str">
        <x:v>etoricoxib</x:v>
      </x:c>
      <x:c r="C155" s="31" t="str">
        <x:v>PIL</x:v>
      </x:c>
      <x:c r="D155" s="31" t="str">
        <x:v>2025-03-19</x:v>
      </x:c>
      <x:c r="E155" s="37" t="str">
        <x:v>https://drug.fda.moph.go.th/media.php?id=808541933805903872&amp;name=Etoricoxib_film-coated tablet_PIL.pdf</x:v>
      </x:c>
      <x:c r="F155" s="31" t="str">
        <x:v>downloaded</x:v>
      </x:c>
      <x:c r="G155" s="31" t="str">
        <x:v>text_extracted</x:v>
      </x:c>
      <x:c r="H155" s="31" t="n">
        <x:v>3</x:v>
      </x:c>
    </x:row>
    <x:row r="156">
      <x:c r="A156" s="31" t="str">
        <x:v>r0139_smpc</x:v>
      </x:c>
      <x:c r="B156" s="31" t="str">
        <x:v>eucalyptus_oil</x:v>
      </x:c>
      <x:c r="C156" s="31" t="str">
        <x:v>SMPC</x:v>
      </x:c>
      <x:c r="D156" s="31" t="str">
        <x:v>2024-11-27</x:v>
      </x:c>
      <x:c r="E156" s="37" t="str">
        <x:v>https://drug.fda.moph.go.th/media.php?id=810078101643075584&amp;name=SMPC_Eucalyptus oil_essential oil.pdf</x:v>
      </x:c>
      <x:c r="F156" s="31" t="str">
        <x:v>downloaded</x:v>
      </x:c>
      <x:c r="G156" s="31" t="str">
        <x:v>text_extracted</x:v>
      </x:c>
      <x:c r="H156" s="31" t="n">
        <x:v>4</x:v>
      </x:c>
    </x:row>
    <x:row r="157">
      <x:c r="A157" s="31" t="str">
        <x:v>r0140_pil</x:v>
      </x:c>
      <x:c r="B157" s="31" t="str">
        <x:v>famotidine</x:v>
      </x:c>
      <x:c r="C157" s="31" t="str">
        <x:v>PIL</x:v>
      </x:c>
      <x:c r="D157" s="31" t="str">
        <x:v>2023-08-09</x:v>
      </x:c>
      <x:c r="E157" s="37" t="str">
        <x:v>https://drug.fda.moph.go.th/media.php?id=730344683175288832&amp;name=pil_Famotidine (Tablet 20 mg, 40 mg).pdf</x:v>
      </x:c>
      <x:c r="F157" s="31" t="str">
        <x:v>downloaded</x:v>
      </x:c>
      <x:c r="G157" s="31" t="str">
        <x:v>text_extracted</x:v>
      </x:c>
      <x:c r="H157" s="31" t="n">
        <x:v>1</x:v>
      </x:c>
    </x:row>
    <x:row r="158">
      <x:c r="A158" s="31" t="str">
        <x:v>r0141_smpc</x:v>
      </x:c>
      <x:c r="B158" s="31" t="str">
        <x:v>felodipine</x:v>
      </x:c>
      <x:c r="C158" s="31" t="str">
        <x:v>SMPC</x:v>
      </x:c>
      <x:c r="D158" s="31" t="str">
        <x:v>2024-11-22</x:v>
      </x:c>
      <x:c r="E158" s="37" t="str">
        <x:v>https://drug.fda.moph.go.th/media.php?id=810078823658954752&amp;name=SMPC_Felodipine_prolonged release tablets.pdf</x:v>
      </x:c>
      <x:c r="F158" s="31" t="str">
        <x:v>downloaded</x:v>
      </x:c>
      <x:c r="G158" s="31" t="str">
        <x:v>text_extracted</x:v>
      </x:c>
      <x:c r="H158" s="31" t="n">
        <x:v>15</x:v>
      </x:c>
    </x:row>
    <x:row r="159">
      <x:c r="A159" s="31" t="str">
        <x:v>r0142_pil</x:v>
      </x:c>
      <x:c r="B159" s="31" t="str">
        <x:v>fenofibrate</x:v>
      </x:c>
      <x:c r="C159" s="31" t="str">
        <x:v>PIL</x:v>
      </x:c>
      <x:c r="D159" s="31" t="str">
        <x:v>2025-03-19</x:v>
      </x:c>
      <x:c r="E159" s="37" t="str">
        <x:v>https://drug.fda.moph.go.th/media.php?id=808542706069544960&amp;name=Fenofibrate_capsule, tablet_PIL.pdf</x:v>
      </x:c>
      <x:c r="F159" s="31" t="str">
        <x:v>downloaded</x:v>
      </x:c>
      <x:c r="G159" s="31" t="str">
        <x:v>text_extracted</x:v>
      </x:c>
      <x:c r="H159" s="31" t="n">
        <x:v>2</x:v>
      </x:c>
    </x:row>
    <x:row r="160">
      <x:c r="A160" s="31" t="str">
        <x:v>r0143_smpc</x:v>
      </x:c>
      <x:c r="B160" s="31" t="str">
        <x:v>ferrous</x:v>
      </x:c>
      <x:c r="C160" s="31" t="str">
        <x:v>SMPC</x:v>
      </x:c>
      <x:c r="D160" s="31" t="str">
        <x:v>2024-11-22</x:v>
      </x:c>
      <x:c r="E160" s="37" t="str">
        <x:v>https://drug.fda.moph.go.th/media.php?id=810079316368039936&amp;name=SMPC_Ferrous fumarate_Tablets.pdf</x:v>
      </x:c>
      <x:c r="F160" s="31" t="str">
        <x:v>downloaded</x:v>
      </x:c>
      <x:c r="G160" s="31" t="str">
        <x:v>text_extracted</x:v>
      </x:c>
      <x:c r="H160" s="31" t="n">
        <x:v>9</x:v>
      </x:c>
    </x:row>
    <x:row r="161">
      <x:c r="A161" s="31" t="str">
        <x:v>r0144_smpc</x:v>
      </x:c>
      <x:c r="B161" s="31" t="str">
        <x:v>ferrous</x:v>
      </x:c>
      <x:c r="C161" s="31" t="str">
        <x:v>SMPC</x:v>
      </x:c>
      <x:c r="D161" s="31" t="str">
        <x:v>2024-11-22</x:v>
      </x:c>
      <x:c r="E161" s="37" t="str">
        <x:v>https://drug.fda.moph.go.th/media.php?id=810079681742249984&amp;name=SMPC_Ferrous fumarate_ syrup.pdf</x:v>
      </x:c>
      <x:c r="F161" s="31" t="str">
        <x:v>downloaded</x:v>
      </x:c>
      <x:c r="G161" s="31" t="str">
        <x:v>text_extracted</x:v>
      </x:c>
      <x:c r="H161" s="31" t="n">
        <x:v>9</x:v>
      </x:c>
    </x:row>
    <x:row r="162">
      <x:c r="A162" s="31" t="str">
        <x:v>r0145_smpc</x:v>
      </x:c>
      <x:c r="B162" s="31" t="str">
        <x:v>ferrous</x:v>
      </x:c>
      <x:c r="C162" s="31" t="str">
        <x:v>SMPC</x:v>
      </x:c>
      <x:c r="D162" s="31" t="str">
        <x:v>2024-11-22</x:v>
      </x:c>
      <x:c r="E162" s="37" t="str">
        <x:v>https://drug.fda.moph.go.th/media.php?id=810081060158316544&amp;name=SMPC_Ferrous sulfate_film-coated tablets.pdf</x:v>
      </x:c>
      <x:c r="F162" s="31" t="str">
        <x:v>downloaded</x:v>
      </x:c>
      <x:c r="G162" s="31" t="str">
        <x:v>text_extracted</x:v>
      </x:c>
      <x:c r="H162" s="31" t="n">
        <x:v>13</x:v>
      </x:c>
    </x:row>
    <x:row r="163">
      <x:c r="A163" s="31" t="str">
        <x:v>r0146_pil</x:v>
      </x:c>
      <x:c r="B163" s="31" t="str">
        <x:v>ferrous</x:v>
      </x:c>
      <x:c r="C163" s="31" t="str">
        <x:v>PIL</x:v>
      </x:c>
      <x:c r="D163" s="31" t="str">
        <x:v>2024-03-15</x:v>
      </x:c>
      <x:c r="E163" s="37" t="str">
        <x:v>https://drug.fda.moph.go.th/media.php?id=733948183713030144&amp;name=PIL ยาเม็ดบำรุงโลหิต Ferrous sulfate (15032024).pdf</x:v>
      </x:c>
      <x:c r="F163" s="31" t="str">
        <x:v>downloaded</x:v>
      </x:c>
      <x:c r="G163" s="31" t="str">
        <x:v>text_extracted</x:v>
      </x:c>
      <x:c r="H163" s="31" t="n">
        <x:v>1</x:v>
      </x:c>
    </x:row>
    <x:row r="164">
      <x:c r="A164" s="31" t="str">
        <x:v>r0147_smpc</x:v>
      </x:c>
      <x:c r="B164" s="31" t="str">
        <x:v>fluocinolone_acetonide</x:v>
      </x:c>
      <x:c r="C164" s="31" t="str">
        <x:v>SMPC</x:v>
      </x:c>
      <x:c r="D164" s="31" t="str">
        <x:v>2024-11-22</x:v>
      </x:c>
      <x:c r="E164" s="37" t="str">
        <x:v>https://drug.fda.moph.go.th/media.php?id=810172555817263104&amp;name=SMPC_Fluocinolone acetonide_cream.pdf</x:v>
      </x:c>
      <x:c r="F164" s="31" t="str">
        <x:v>downloaded</x:v>
      </x:c>
      <x:c r="G164" s="31" t="str">
        <x:v>text_extracted</x:v>
      </x:c>
      <x:c r="H164" s="31" t="n">
        <x:v>7</x:v>
      </x:c>
    </x:row>
    <x:row r="165">
      <x:c r="A165" s="31" t="str">
        <x:v>r0148_smpc</x:v>
      </x:c>
      <x:c r="B165" s="31" t="str">
        <x:v>fluorouracil</x:v>
      </x:c>
      <x:c r="C165" s="31" t="str">
        <x:v>SMPC</x:v>
      </x:c>
      <x:c r="D165" s="31" t="str">
        <x:v>2024-11-26</x:v>
      </x:c>
      <x:c r="E165" s="37" t="str">
        <x:v>https://drug.fda.moph.go.th/media.php?id=810172919505362944&amp;name=SMPC_Fluorouracil_Solution for Injection or Infusion.pdf</x:v>
      </x:c>
      <x:c r="F165" s="31" t="str">
        <x:v>downloaded</x:v>
      </x:c>
      <x:c r="G165" s="31" t="str">
        <x:v>text_extracted</x:v>
      </x:c>
      <x:c r="H165" s="31" t="n">
        <x:v>26</x:v>
      </x:c>
    </x:row>
    <x:row r="166">
      <x:c r="A166" s="31" t="str">
        <x:v>r0149_smpc</x:v>
      </x:c>
      <x:c r="B166" s="31" t="str">
        <x:v>fluoxetine</x:v>
      </x:c>
      <x:c r="C166" s="31" t="str">
        <x:v>SMPC</x:v>
      </x:c>
      <x:c r="D166" s="31" t="str">
        <x:v>2024-11-26</x:v>
      </x:c>
      <x:c r="E166" s="37" t="str">
        <x:v>https://drug.fda.moph.go.th/media.php?id=810173242932338688&amp;name=SMPC_Fluoxetine_Capsules.pdf</x:v>
      </x:c>
      <x:c r="F166" s="31" t="str">
        <x:v>downloaded</x:v>
      </x:c>
      <x:c r="G166" s="31" t="str">
        <x:v>text_extracted</x:v>
      </x:c>
      <x:c r="H166" s="31" t="n">
        <x:v>27</x:v>
      </x:c>
    </x:row>
    <x:row r="167">
      <x:c r="A167" s="31" t="str">
        <x:v>r0150_pil</x:v>
      </x:c>
      <x:c r="B167" s="31" t="str">
        <x:v>folic_acid</x:v>
      </x:c>
      <x:c r="C167" s="31" t="str">
        <x:v>PIL</x:v>
      </x:c>
      <x:c r="D167" s="31" t="str">
        <x:v>2023-11-09</x:v>
      </x:c>
      <x:c r="E167" s="37" t="str">
        <x:v>https://drug.fda.moph.go.th/media.php?id=730358561472913408&amp;name=pil_Folic acid (TABLET).pdf</x:v>
      </x:c>
      <x:c r="F167" s="31" t="str">
        <x:v>downloaded</x:v>
      </x:c>
      <x:c r="G167" s="31" t="str">
        <x:v>text_extracted</x:v>
      </x:c>
      <x:c r="H167" s="31" t="n">
        <x:v>1</x:v>
      </x:c>
    </x:row>
    <x:row r="168">
      <x:c r="A168" s="31" t="str">
        <x:v>r0151_smpc</x:v>
      </x:c>
      <x:c r="B168" s="31" t="str">
        <x:v>follitropin_alfa</x:v>
      </x:c>
      <x:c r="C168" s="31" t="str">
        <x:v>SMPC</x:v>
      </x:c>
      <x:c r="D168" s="31" t="str">
        <x:v>2024-11-27</x:v>
      </x:c>
      <x:c r="E168" s="37" t="str">
        <x:v>https://drug.fda.moph.go.th/media.php?id=810173725403127808&amp;name=SMPC_Follitropin alfa_solution for infusion.pdf</x:v>
      </x:c>
      <x:c r="F168" s="31" t="str">
        <x:v>downloaded</x:v>
      </x:c>
      <x:c r="G168" s="31" t="str">
        <x:v>text_extracted</x:v>
      </x:c>
      <x:c r="H168" s="31" t="n">
        <x:v>18</x:v>
      </x:c>
    </x:row>
    <x:row r="169">
      <x:c r="A169" s="31" t="str">
        <x:v>r0152_pil</x:v>
      </x:c>
      <x:c r="B169" s="31" t="str">
        <x:v>furosemide</x:v>
      </x:c>
      <x:c r="C169" s="31" t="str">
        <x:v>PIL</x:v>
      </x:c>
      <x:c r="D169" s="31" t="str">
        <x:v>2023-08-04</x:v>
      </x:c>
      <x:c r="E169" s="37" t="str">
        <x:v>https://drug.fda.moph.go.th/media.php?id=730358697620021248&amp;name=pil_Furosemide (TABLET 40 mg, 500 mg).pdf</x:v>
      </x:c>
      <x:c r="F169" s="31" t="str">
        <x:v>downloaded</x:v>
      </x:c>
      <x:c r="G169" s="31" t="str">
        <x:v>text_extracted</x:v>
      </x:c>
      <x:c r="H169" s="31" t="n">
        <x:v>1</x:v>
      </x:c>
    </x:row>
    <x:row r="170">
      <x:c r="A170" s="31" t="str">
        <x:v>r0153_pil</x:v>
      </x:c>
      <x:c r="B170" s="31" t="str">
        <x:v>gemfibrozil</x:v>
      </x:c>
      <x:c r="C170" s="31" t="str">
        <x:v>PIL</x:v>
      </x:c>
      <x:c r="D170" s="31" t="str">
        <x:v>2023-08-09</x:v>
      </x:c>
      <x:c r="E170" s="37" t="str">
        <x:v>https://drug.fda.moph.go.th/media.php?id=730359193718104064&amp;name=pil_Gemfibrozil (CAPSULE, HARD 300 mg, 600 mg).pdf</x:v>
      </x:c>
      <x:c r="F170" s="31" t="str">
        <x:v>downloaded</x:v>
      </x:c>
      <x:c r="G170" s="31" t="str">
        <x:v>text_extracted</x:v>
      </x:c>
      <x:c r="H170" s="31" t="n">
        <x:v>1</x:v>
      </x:c>
    </x:row>
    <x:row r="171">
      <x:c r="A171" s="31" t="str">
        <x:v>r0153_smpc</x:v>
      </x:c>
      <x:c r="B171" s="31" t="str">
        <x:v>gemfibrozil</x:v>
      </x:c>
      <x:c r="C171" s="31" t="str">
        <x:v>SMPC</x:v>
      </x:c>
      <x:c r="D171" s="31" t="str">
        <x:v>2024-11-21</x:v>
      </x:c>
      <x:c r="E171" s="37" t="str">
        <x:v>https://drug.fda.moph.go.th/media.php?id=810174072020410368&amp;name=SMPC_Gemfibrozil_hard capsule.pdf</x:v>
      </x:c>
      <x:c r="F171" s="31" t="str">
        <x:v>downloaded</x:v>
      </x:c>
      <x:c r="G171" s="31" t="str">
        <x:v>text_extracted</x:v>
      </x:c>
      <x:c r="H171" s="31" t="n">
        <x:v>22</x:v>
      </x:c>
    </x:row>
    <x:row r="172">
      <x:c r="A172" s="31" t="str">
        <x:v>r0154_pil</x:v>
      </x:c>
      <x:c r="B172" s="31" t="str">
        <x:v>gemfibrozil</x:v>
      </x:c>
      <x:c r="C172" s="31" t="str">
        <x:v>PIL</x:v>
      </x:c>
      <x:c r="D172" s="31" t="str">
        <x:v>2023-08-09</x:v>
      </x:c>
      <x:c r="E172" s="37" t="str">
        <x:v>https://drug.fda.moph.go.th/media.php?id=730358921935593472&amp;name=pil_Gemfibrozil (TABLET 300 mg, 600 mg).pdf</x:v>
      </x:c>
      <x:c r="F172" s="31" t="str">
        <x:v>downloaded</x:v>
      </x:c>
      <x:c r="G172" s="31" t="str">
        <x:v>text_extracted</x:v>
      </x:c>
      <x:c r="H172" s="31" t="n">
        <x:v>1</x:v>
      </x:c>
    </x:row>
    <x:row r="173">
      <x:c r="A173" s="31" t="str">
        <x:v>r0155_pil</x:v>
      </x:c>
      <x:c r="B173" s="31" t="str">
        <x:v>gentamicin</x:v>
      </x:c>
      <x:c r="C173" s="31" t="str">
        <x:v>PIL</x:v>
      </x:c>
      <x:c r="D173" s="31" t="str">
        <x:v>2025-03-19</x:v>
      </x:c>
      <x:c r="E173" s="37" t="str">
        <x:v>https://drug.fda.moph.go.th/media.php?id=808544511717416960&amp;name=Gentamicin_cream_PIL.pdf</x:v>
      </x:c>
      <x:c r="F173" s="31" t="str">
        <x:v>downloaded</x:v>
      </x:c>
      <x:c r="G173" s="31" t="str">
        <x:v>text_extracted</x:v>
      </x:c>
      <x:c r="H173" s="31" t="n">
        <x:v>1</x:v>
      </x:c>
    </x:row>
    <x:row r="174">
      <x:c r="A174" s="31" t="str">
        <x:v>r0156_pil</x:v>
      </x:c>
      <x:c r="B174" s="31" t="str">
        <x:v>gentamicin</x:v>
      </x:c>
      <x:c r="C174" s="31" t="str">
        <x:v>PIL</x:v>
      </x:c>
      <x:c r="D174" s="31" t="str">
        <x:v>2025-03-19</x:v>
      </x:c>
      <x:c r="E174" s="37" t="str">
        <x:v>https://drug.fda.moph.go.th/media.php?id=808544703330000896&amp;name=Gentamicin_liquidOphthalmic_PIL.pdf</x:v>
      </x:c>
      <x:c r="F174" s="31" t="str">
        <x:v>downloaded</x:v>
      </x:c>
      <x:c r="G174" s="31" t="str">
        <x:v>text_extracted</x:v>
      </x:c>
      <x:c r="H174" s="31" t="n">
        <x:v>2</x:v>
      </x:c>
    </x:row>
    <x:row r="175">
      <x:c r="A175" s="31" t="str">
        <x:v>r0156_smpc</x:v>
      </x:c>
      <x:c r="B175" s="31" t="str">
        <x:v>gentamicin</x:v>
      </x:c>
      <x:c r="C175" s="31" t="str">
        <x:v>SMPC</x:v>
      </x:c>
      <x:c r="D175" s="31" t="str">
        <x:v>2024-11-26</x:v>
      </x:c>
      <x:c r="E175" s="37" t="str">
        <x:v>https://drug.fda.moph.go.th/media.php?id=810174409145982976&amp;name=SMPC_Gentamicin_Eye Drops, Solution.pdf</x:v>
      </x:c>
      <x:c r="F175" s="31" t="str">
        <x:v>downloaded</x:v>
      </x:c>
      <x:c r="G175" s="31" t="str">
        <x:v>text_extracted</x:v>
      </x:c>
      <x:c r="H175" s="31" t="n">
        <x:v>7</x:v>
      </x:c>
    </x:row>
    <x:row r="176">
      <x:c r="A176" s="31" t="str">
        <x:v>r0157_smpc</x:v>
      </x:c>
      <x:c r="B176" s="31" t="str">
        <x:v>gentamicin_betamethasone_dipropionate</x:v>
      </x:c>
      <x:c r="C176" s="31" t="str">
        <x:v>SMPC</x:v>
      </x:c>
      <x:c r="D176" s="31" t="str">
        <x:v>2024-11-22</x:v>
      </x:c>
      <x:c r="E176" s="37" t="str">
        <x:v>https://drug.fda.moph.go.th/media.php?id=810174762931331072&amp;name=SMPC_Gentamicin sulfate+betamethasone dipropionate_cream.pdf</x:v>
      </x:c>
      <x:c r="F176" s="31" t="str">
        <x:v>downloaded</x:v>
      </x:c>
      <x:c r="G176" s="31" t="str">
        <x:v>text_extracted</x:v>
      </x:c>
      <x:c r="H176" s="31" t="n">
        <x:v>17</x:v>
      </x:c>
    </x:row>
    <x:row r="177">
      <x:c r="A177" s="31" t="str">
        <x:v>r0158_pil</x:v>
      </x:c>
      <x:c r="B177" s="31" t="str">
        <x:v>gentian_violet</x:v>
      </x:c>
      <x:c r="C177" s="31" t="str">
        <x:v>PIL</x:v>
      </x:c>
      <x:c r="D177" s="31" t="str">
        <x:v>2024-03-15</x:v>
      </x:c>
      <x:c r="E177" s="37" t="str">
        <x:v>https://drug.fda.moph.go.th/media.php?id=733947717088321536&amp;name=PIL_ยา Gentian violet เยนเชี่ยนไวโอเลต_update (15032024).pdf</x:v>
      </x:c>
      <x:c r="F177" s="31" t="str">
        <x:v>downloaded</x:v>
      </x:c>
      <x:c r="G177" s="31" t="str">
        <x:v>text_extracted</x:v>
      </x:c>
      <x:c r="H177" s="31" t="n">
        <x:v>1</x:v>
      </x:c>
    </x:row>
    <x:row r="178">
      <x:c r="A178" s="31" t="str">
        <x:v>r0159_smpc</x:v>
      </x:c>
      <x:c r="B178" s="31" t="str">
        <x:v>gliclazide</x:v>
      </x:c>
      <x:c r="C178" s="31" t="str">
        <x:v>SMPC</x:v>
      </x:c>
      <x:c r="D178" s="31" t="str">
        <x:v>2024-11-26</x:v>
      </x:c>
      <x:c r="E178" s="37" t="str">
        <x:v>https://drug.fda.moph.go.th/media.php?id=810175347420176384&amp;name=SMPC_Gliclazide_Modified-release Tablets.pdf</x:v>
      </x:c>
      <x:c r="F178" s="31" t="str">
        <x:v>downloaded</x:v>
      </x:c>
      <x:c r="G178" s="31" t="str">
        <x:v>text_extracted</x:v>
      </x:c>
      <x:c r="H178" s="31" t="n">
        <x:v>15</x:v>
      </x:c>
    </x:row>
    <x:row r="179">
      <x:c r="A179" s="31" t="str">
        <x:v>r0160_smpc</x:v>
      </x:c>
      <x:c r="B179" s="31" t="str">
        <x:v>gliclazide</x:v>
      </x:c>
      <x:c r="C179" s="31" t="str">
        <x:v>SMPC</x:v>
      </x:c>
      <x:c r="D179" s="31" t="str">
        <x:v>2024-11-22</x:v>
      </x:c>
      <x:c r="E179" s="37" t="str">
        <x:v>https://drug.fda.moph.go.th/media.php?id=810175662185914368&amp;name=SMPC_Gliclazide_Tablets.pdf</x:v>
      </x:c>
      <x:c r="F179" s="31" t="str">
        <x:v>downloaded</x:v>
      </x:c>
      <x:c r="G179" s="31" t="str">
        <x:v>text_extracted</x:v>
      </x:c>
      <x:c r="H179" s="31" t="n">
        <x:v>14</x:v>
      </x:c>
    </x:row>
    <x:row r="180">
      <x:c r="A180" s="31" t="str">
        <x:v>r0161_pil</x:v>
      </x:c>
      <x:c r="B180" s="31" t="str">
        <x:v>glipizide</x:v>
      </x:c>
      <x:c r="C180" s="31" t="str">
        <x:v>PIL</x:v>
      </x:c>
      <x:c r="D180" s="31" t="str">
        <x:v>2023-08-09</x:v>
      </x:c>
      <x:c r="E180" s="37" t="str">
        <x:v>https://drug.fda.moph.go.th/media.php?id=730360834919899136&amp;name=pil_Glipizide (TABLET 5 mg).pdf</x:v>
      </x:c>
      <x:c r="F180" s="31" t="str">
        <x:v>downloaded</x:v>
      </x:c>
      <x:c r="G180" s="31" t="str">
        <x:v>text_extracted</x:v>
      </x:c>
      <x:c r="H180" s="31" t="n">
        <x:v>1</x:v>
      </x:c>
    </x:row>
    <x:row r="181">
      <x:c r="A181" s="31" t="str">
        <x:v>r0161_smpc</x:v>
      </x:c>
      <x:c r="B181" s="31" t="str">
        <x:v>glipizide</x:v>
      </x:c>
      <x:c r="C181" s="31" t="str">
        <x:v>SMPC</x:v>
      </x:c>
      <x:c r="D181" s="31" t="str">
        <x:v>2024-11-21</x:v>
      </x:c>
      <x:c r="E181" s="37" t="str">
        <x:v>https://drug.fda.moph.go.th/media.php?id=810176024078852096&amp;name=SMPC_Glipizide_Tablets.pdf</x:v>
      </x:c>
      <x:c r="F181" s="31" t="str">
        <x:v>downloaded</x:v>
      </x:c>
      <x:c r="G181" s="31" t="str">
        <x:v>text_extracted</x:v>
      </x:c>
      <x:c r="H181" s="31" t="n">
        <x:v>15</x:v>
      </x:c>
    </x:row>
    <x:row r="182">
      <x:c r="A182" s="31" t="str">
        <x:v>r0162_smpc</x:v>
      </x:c>
      <x:c r="B182" s="31" t="str">
        <x:v>glucose</x:v>
      </x:c>
      <x:c r="C182" s="31" t="str">
        <x:v>SMPC</x:v>
      </x:c>
      <x:c r="D182" s="31" t="str">
        <x:v>2024-11-22</x:v>
      </x:c>
      <x:c r="E182" s="37" t="str">
        <x:v>https://drug.fda.moph.go.th/media.php?id=810178026569605120&amp;name=SMPC_Glucose_5_Solution for Infusion.pdf</x:v>
      </x:c>
      <x:c r="F182" s="31" t="str">
        <x:v>downloaded</x:v>
      </x:c>
      <x:c r="G182" s="31" t="str">
        <x:v>text_extracted</x:v>
      </x:c>
      <x:c r="H182" s="31" t="n">
        <x:v>7</x:v>
      </x:c>
    </x:row>
    <x:row r="183">
      <x:c r="A183" s="31" t="str">
        <x:v>r0163_smpc</x:v>
      </x:c>
      <x:c r="B183" s="31" t="str">
        <x:v>glucose</x:v>
      </x:c>
      <x:c r="C183" s="31" t="str">
        <x:v>SMPC</x:v>
      </x:c>
      <x:c r="D183" s="31" t="str">
        <x:v>2024-11-22</x:v>
      </x:c>
      <x:c r="E183" s="37" t="str">
        <x:v>https://drug.fda.moph.go.th/media.php?id=810178343201808384&amp;name=SMPC_Glucose_10_Solution for Infusion.pdf</x:v>
      </x:c>
      <x:c r="F183" s="31" t="str">
        <x:v>downloaded</x:v>
      </x:c>
      <x:c r="G183" s="31" t="str">
        <x:v>text_extracted</x:v>
      </x:c>
      <x:c r="H183" s="31" t="n">
        <x:v>7</x:v>
      </x:c>
    </x:row>
    <x:row r="184">
      <x:c r="A184" s="31" t="str">
        <x:v>r0164_smpc</x:v>
      </x:c>
      <x:c r="B184" s="31" t="str">
        <x:v>glucose</x:v>
      </x:c>
      <x:c r="C184" s="31" t="str">
        <x:v>SMPC</x:v>
      </x:c>
      <x:c r="D184" s="31" t="str">
        <x:v>2024-11-22</x:v>
      </x:c>
      <x:c r="E184" s="37" t="str">
        <x:v>https://drug.fda.moph.go.th/media.php?id=810178680155414528&amp;name=SMPC_Glucose_Solution for Infusion.pdf</x:v>
      </x:c>
      <x:c r="F184" s="31" t="str">
        <x:v>downloaded</x:v>
      </x:c>
      <x:c r="G184" s="31" t="str">
        <x:v>text_extracted</x:v>
      </x:c>
      <x:c r="H184" s="31" t="n">
        <x:v>5</x:v>
      </x:c>
    </x:row>
    <x:row r="185">
      <x:c r="A185" s="31" t="str">
        <x:v>r0165_smpc</x:v>
      </x:c>
      <x:c r="B185" s="31" t="str">
        <x:v>glucose_monohydrate_and</x:v>
      </x:c>
      <x:c r="C185" s="31" t="str">
        <x:v>SMPC</x:v>
      </x:c>
      <x:c r="D185" s="31" t="str">
        <x:v>2024-11-22</x:v>
      </x:c>
      <x:c r="E185" s="37" t="str">
        <x:v>https://drug.fda.moph.go.th/media.php?id=810179446651887616&amp;name=SMPC_Glucose monohydrate+Sodium chloride_Intravenous Fluid.pdf</x:v>
      </x:c>
      <x:c r="F185" s="31" t="str">
        <x:v>downloaded</x:v>
      </x:c>
      <x:c r="G185" s="31" t="str">
        <x:v>text_extracted</x:v>
      </x:c>
      <x:c r="H185" s="31" t="n">
        <x:v>11</x:v>
      </x:c>
    </x:row>
    <x:row r="186">
      <x:c r="A186" s="31" t="str">
        <x:v>r0166_pil</x:v>
      </x:c>
      <x:c r="B186" s="31" t="str">
        <x:v>glycerin</x:v>
      </x:c>
      <x:c r="C186" s="31" t="str">
        <x:v>PIL</x:v>
      </x:c>
      <x:c r="D186" s="31" t="str">
        <x:v>2024-03-15</x:v>
      </x:c>
      <x:c r="E186" s="37" t="str">
        <x:v>https://drug.fda.moph.go.th/media.php?id=733947237566128128&amp;name=PIL ยาระบาย Glycerin ชนิดเหน็บทวาร (15032024).pdf</x:v>
      </x:c>
      <x:c r="F186" s="31" t="str">
        <x:v>downloaded</x:v>
      </x:c>
      <x:c r="G186" s="31" t="str">
        <x:v>text_extracted</x:v>
      </x:c>
      <x:c r="H186" s="31" t="n">
        <x:v>1</x:v>
      </x:c>
    </x:row>
    <x:row r="187">
      <x:c r="A187" s="31" t="str">
        <x:v>r0167_smpc</x:v>
      </x:c>
      <x:c r="B187" s="31" t="str">
        <x:v>glycerol</x:v>
      </x:c>
      <x:c r="C187" s="31" t="str">
        <x:v>SMPC</x:v>
      </x:c>
      <x:c r="D187" s="31" t="str">
        <x:v>2024-11-22</x:v>
      </x:c>
      <x:c r="E187" s="37" t="str">
        <x:v>https://drug.fda.moph.go.th/media.php?id=810180307797024768&amp;name=SMPC_Glycerol_suppositories.pdf</x:v>
      </x:c>
      <x:c r="F187" s="31" t="str">
        <x:v>downloaded</x:v>
      </x:c>
      <x:c r="G187" s="31" t="str">
        <x:v>text_extracted</x:v>
      </x:c>
      <x:c r="H187" s="31" t="n">
        <x:v>4</x:v>
      </x:c>
    </x:row>
    <x:row r="188">
      <x:c r="A188" s="31" t="str">
        <x:v>r0168_pil</x:v>
      </x:c>
      <x:c r="B188" s="31" t="str">
        <x:v>griseofulvin</x:v>
      </x:c>
      <x:c r="C188" s="31" t="str">
        <x:v>PIL</x:v>
      </x:c>
      <x:c r="D188" s="31" t="str">
        <x:v>2023-11-09</x:v>
      </x:c>
      <x:c r="E188" s="37" t="str">
        <x:v>https://drug.fda.moph.go.th/media.php?id=730360993967906816&amp;name=pil_Griseofulvin (TABLETS).pdf</x:v>
      </x:c>
      <x:c r="F188" s="31" t="str">
        <x:v>downloaded</x:v>
      </x:c>
      <x:c r="G188" s="31" t="str">
        <x:v>text_extracted</x:v>
      </x:c>
      <x:c r="H188" s="31" t="n">
        <x:v>2</x:v>
      </x:c>
    </x:row>
    <x:row r="189">
      <x:c r="A189" s="31" t="str">
        <x:v>r0169_smpc</x:v>
      </x:c>
      <x:c r="B189" s="31" t="str">
        <x:v>griseofulvin</x:v>
      </x:c>
      <x:c r="C189" s="31" t="str">
        <x:v>SMPC</x:v>
      </x:c>
      <x:c r="D189" s="31" t="str">
        <x:v>2024-11-21</x:v>
      </x:c>
      <x:c r="E189" s="37" t="str">
        <x:v>https://drug.fda.moph.go.th/media.php?id=810180959625420800&amp;name=SMPC_Griseofulvin_Film-coated tablet.pdf</x:v>
      </x:c>
      <x:c r="F189" s="31" t="str">
        <x:v>downloaded</x:v>
      </x:c>
      <x:c r="G189" s="31" t="str">
        <x:v>text_extracted</x:v>
      </x:c>
      <x:c r="H189" s="31" t="n">
        <x:v>17</x:v>
      </x:c>
    </x:row>
    <x:row r="190">
      <x:c r="A190" s="31" t="str">
        <x:v>r0170_smpc</x:v>
      </x:c>
      <x:c r="B190" s="31" t="str">
        <x:v>guaifenesin</x:v>
      </x:c>
      <x:c r="C190" s="31" t="str">
        <x:v>SMPC</x:v>
      </x:c>
      <x:c r="D190" s="31" t="str">
        <x:v>2024-11-26</x:v>
      </x:c>
      <x:c r="E190" s="37" t="str">
        <x:v>https://drug.fda.moph.go.th/media.php?id=810181310525087744&amp;name=SMPC_Guaifenesin_Syrup.pdf</x:v>
      </x:c>
      <x:c r="F190" s="31" t="str">
        <x:v>downloaded</x:v>
      </x:c>
      <x:c r="G190" s="31" t="str">
        <x:v>text_extracted</x:v>
      </x:c>
      <x:c r="H190" s="31" t="n">
        <x:v>7</x:v>
      </x:c>
    </x:row>
    <x:row r="191">
      <x:c r="A191" s="31" t="str">
        <x:v>r0171_pil</x:v>
      </x:c>
      <x:c r="B191" s="31" t="str">
        <x:v>haloperidol</x:v>
      </x:c>
      <x:c r="C191" s="31" t="str">
        <x:v>PIL</x:v>
      </x:c>
      <x:c r="D191" s="31" t="str">
        <x:v>2025-04-09</x:v>
      </x:c>
      <x:c r="E191" s="37" t="str">
        <x:v>https://drug.fda.moph.go.th/media.php?id=808561551207440384&amp;name=Haloperidol_TABLET_PIL.pdf</x:v>
      </x:c>
      <x:c r="F191" s="31" t="str">
        <x:v>downloaded</x:v>
      </x:c>
      <x:c r="G191" s="31" t="str">
        <x:v>text_extracted</x:v>
      </x:c>
      <x:c r="H191" s="31" t="n">
        <x:v>3</x:v>
      </x:c>
    </x:row>
    <x:row r="192">
      <x:c r="A192" s="31" t="str">
        <x:v>r0172_smpc</x:v>
      </x:c>
      <x:c r="B192" s="31" t="str">
        <x:v>haloperidol</x:v>
      </x:c>
      <x:c r="C192" s="31" t="str">
        <x:v>SMPC</x:v>
      </x:c>
      <x:c r="D192" s="31"/>
      <x:c r="E192" s="37" t="str">
        <x:v>https://drug.fda.moph.go.th/media.php?id=808571302360260608&amp;name=SmPC - Haloperidol ORAL SOLUTION.pdf</x:v>
      </x:c>
      <x:c r="F192" s="31" t="str">
        <x:v>downloaded</x:v>
      </x:c>
      <x:c r="G192" s="31" t="str">
        <x:v>text_extracted</x:v>
      </x:c>
      <x:c r="H192" s="31" t="n">
        <x:v>28</x:v>
      </x:c>
    </x:row>
    <x:row r="193">
      <x:c r="A193" s="31" t="str">
        <x:v>r0173_pil</x:v>
      </x:c>
      <x:c r="B193" s="31" t="str">
        <x:v>hydrochlorothiazide_amiloride</x:v>
      </x:c>
      <x:c r="C193" s="31" t="str">
        <x:v>PIL</x:v>
      </x:c>
      <x:c r="D193" s="31" t="str">
        <x:v>2023-08-09</x:v>
      </x:c>
      <x:c r="E193" s="37" t="str">
        <x:v>https://drug.fda.moph.go.th/media.php?id=730361608181784576&amp;name=pil_Hydrochlorothiazide + Amiloride (TABLET).pdf</x:v>
      </x:c>
      <x:c r="F193" s="31" t="str">
        <x:v>downloaded</x:v>
      </x:c>
      <x:c r="G193" s="31" t="str">
        <x:v>text_extracted</x:v>
      </x:c>
      <x:c r="H193" s="31" t="n">
        <x:v>1</x:v>
      </x:c>
    </x:row>
    <x:row r="194">
      <x:c r="A194" s="31" t="str">
        <x:v>r0173_smpc</x:v>
      </x:c>
      <x:c r="B194" s="31" t="str">
        <x:v>hydrochlorothiazide_amiloride</x:v>
      </x:c>
      <x:c r="C194" s="31" t="str">
        <x:v>SMPC</x:v>
      </x:c>
      <x:c r="D194" s="31" t="str">
        <x:v>2024-11-27</x:v>
      </x:c>
      <x:c r="E194" s="37" t="str">
        <x:v>https://drug.fda.moph.go.th/media.php?id=810380894354415616&amp;name=SMPC_Amiloride+Hydrochlorothiazide _Tablets.pdf</x:v>
      </x:c>
      <x:c r="F194" s="31" t="str">
        <x:v>downloaded</x:v>
      </x:c>
      <x:c r="G194" s="31" t="str">
        <x:v>text_extracted</x:v>
      </x:c>
      <x:c r="H194" s="31" t="n">
        <x:v>21</x:v>
      </x:c>
    </x:row>
    <x:row r="195">
      <x:c r="A195" s="31" t="str">
        <x:v>r0174_pil</x:v>
      </x:c>
      <x:c r="B195" s="31" t="str">
        <x:v>hydrocortisone</x:v>
      </x:c>
      <x:c r="C195" s="31" t="str">
        <x:v>PIL</x:v>
      </x:c>
      <x:c r="D195" s="31" t="str">
        <x:v>2023-11-09</x:v>
      </x:c>
      <x:c r="E195" s="37" t="str">
        <x:v>https://drug.fda.moph.go.th/media.php?id=730361797047099392&amp;name=pil_Hydrocortisone acetate(CREAM).pdf</x:v>
      </x:c>
      <x:c r="F195" s="31" t="str">
        <x:v>downloaded</x:v>
      </x:c>
      <x:c r="G195" s="31" t="str">
        <x:v>text_extracted</x:v>
      </x:c>
      <x:c r="H195" s="31" t="n">
        <x:v>1</x:v>
      </x:c>
    </x:row>
    <x:row r="196">
      <x:c r="A196" s="31" t="str">
        <x:v>r0175_pil</x:v>
      </x:c>
      <x:c r="B196" s="31" t="str">
        <x:v>hydrocortisone_benzocaine_zinc_oxide</x:v>
      </x:c>
      <x:c r="C196" s="31" t="str">
        <x:v>PIL</x:v>
      </x:c>
      <x:c r="D196" s="31" t="str">
        <x:v>2023-11-09</x:v>
      </x:c>
      <x:c r="E196" s="37" t="str">
        <x:v>https://drug.fda.moph.go.th/media.php?id=730361976139685888&amp;name=pil_Hydrocortisone acetate + Benzocaine + Zinc oxide(OINTMENT).pdf</x:v>
      </x:c>
      <x:c r="F196" s="31" t="str">
        <x:v>downloaded</x:v>
      </x:c>
      <x:c r="G196" s="31" t="str">
        <x:v>text_extracted</x:v>
      </x:c>
      <x:c r="H196" s="31" t="n">
        <x:v>1</x:v>
      </x:c>
    </x:row>
    <x:row r="197">
      <x:c r="A197" s="31" t="str">
        <x:v>r0176_pil</x:v>
      </x:c>
      <x:c r="B197" s="31" t="str">
        <x:v>hydrocortisone_benzocaine_zinc_oxide</x:v>
      </x:c>
      <x:c r="C197" s="31" t="str">
        <x:v>PIL</x:v>
      </x:c>
      <x:c r="D197" s="31" t="str">
        <x:v>2023-11-09</x:v>
      </x:c>
      <x:c r="E197" s="37" t="str">
        <x:v>https://drug.fda.moph.go.th/media.php?id=730362134625656832&amp;name=pil_Hydrocortisone acetate + Benzocaine + Zinc oxide(SUPPOSITORIES RECTAL).pdf</x:v>
      </x:c>
      <x:c r="F197" s="31" t="str">
        <x:v>downloaded</x:v>
      </x:c>
      <x:c r="G197" s="31" t="str">
        <x:v>text_extracted</x:v>
      </x:c>
      <x:c r="H197" s="31" t="n">
        <x:v>2</x:v>
      </x:c>
    </x:row>
    <x:row r="198">
      <x:c r="A198" s="31" t="str">
        <x:v>r0177_smpc</x:v>
      </x:c>
      <x:c r="B198" s="31" t="str">
        <x:v>hydrogen_peroxide</x:v>
      </x:c>
      <x:c r="C198" s="31" t="str">
        <x:v>SMPC</x:v>
      </x:c>
      <x:c r="D198" s="31" t="str">
        <x:v>2024-11-22</x:v>
      </x:c>
      <x:c r="E198" s="37" t="str">
        <x:v>https://drug.fda.moph.go.th/media.php?id=810381306692247552&amp;name=SMPC_Hydrogen peroxide_Solution.pdf</x:v>
      </x:c>
      <x:c r="F198" s="31" t="str">
        <x:v>downloaded</x:v>
      </x:c>
      <x:c r="G198" s="31" t="str">
        <x:v>text_extracted</x:v>
      </x:c>
      <x:c r="H198" s="31" t="n">
        <x:v>5</x:v>
      </x:c>
    </x:row>
    <x:row r="199">
      <x:c r="A199" s="31" t="str">
        <x:v>r0178_smpc</x:v>
      </x:c>
      <x:c r="B199" s="31" t="str">
        <x:v>hydroquinone</x:v>
      </x:c>
      <x:c r="C199" s="31" t="str">
        <x:v>SMPC</x:v>
      </x:c>
      <x:c r="D199" s="31" t="str">
        <x:v>2024-11-22</x:v>
      </x:c>
      <x:c r="E199" s="37" t="str">
        <x:v>https://drug.fda.moph.go.th/media.php?id=810381749510086656&amp;name=SMPC_Hydroquinone_Cream.pdf</x:v>
      </x:c>
      <x:c r="F199" s="31" t="str">
        <x:v>downloaded</x:v>
      </x:c>
      <x:c r="G199" s="31" t="str">
        <x:v>text_extracted</x:v>
      </x:c>
      <x:c r="H199" s="31" t="n">
        <x:v>5</x:v>
      </x:c>
    </x:row>
    <x:row r="200">
      <x:c r="A200" s="31" t="str">
        <x:v>r0179_pil</x:v>
      </x:c>
      <x:c r="B200" s="31" t="str">
        <x:v>hydroxyzine</x:v>
      </x:c>
      <x:c r="C200" s="31" t="str">
        <x:v>PIL</x:v>
      </x:c>
      <x:c r="D200" s="31" t="str">
        <x:v>2025-03-19</x:v>
      </x:c>
      <x:c r="E200" s="37" t="str">
        <x:v>https://drug.fda.moph.go.th/media.php?id=808579446234816512&amp;name=Hydroxyzine_compressedTabletFilmCoatedTablet_PIL.pdf</x:v>
      </x:c>
      <x:c r="F200" s="31" t="str">
        <x:v>downloaded</x:v>
      </x:c>
      <x:c r="G200" s="31" t="str">
        <x:v>text_extracted</x:v>
      </x:c>
      <x:c r="H200" s="31" t="n">
        <x:v>3</x:v>
      </x:c>
    </x:row>
    <x:row r="201">
      <x:c r="A201" s="31" t="str">
        <x:v>r0179_smpc</x:v>
      </x:c>
      <x:c r="B201" s="31" t="str">
        <x:v>hydroxyzine</x:v>
      </x:c>
      <x:c r="C201" s="31" t="str">
        <x:v>SMPC</x:v>
      </x:c>
      <x:c r="D201" s="31" t="str">
        <x:v>2024-11-27</x:v>
      </x:c>
      <x:c r="E201" s="37" t="str">
        <x:v>https://drug.fda.moph.go.th/media.php?id=810382200729116672&amp;name=SMPC_Hydroxyzine_Film-coated tablets.pdf</x:v>
      </x:c>
      <x:c r="F201" s="31" t="str">
        <x:v>downloaded</x:v>
      </x:c>
      <x:c r="G201" s="31" t="str">
        <x:v>text_extracted</x:v>
      </x:c>
      <x:c r="H201" s="31" t="n">
        <x:v>23</x:v>
      </x:c>
    </x:row>
    <x:row r="202">
      <x:c r="A202" s="31" t="str">
        <x:v>r0180_pil</x:v>
      </x:c>
      <x:c r="B202" s="31" t="str">
        <x:v>hydroxyzine</x:v>
      </x:c>
      <x:c r="C202" s="31" t="str">
        <x:v>PIL</x:v>
      </x:c>
      <x:c r="D202" s="31" t="str">
        <x:v>2025-03-19</x:v>
      </x:c>
      <x:c r="E202" s="37" t="str">
        <x:v>https://drug.fda.moph.go.th/media.php?id=808579446234816512&amp;name=Hydroxyzine_compressedTabletFilmCoatedTablet_PIL.pdf</x:v>
      </x:c>
      <x:c r="F202" s="31" t="str">
        <x:v>downloaded</x:v>
      </x:c>
      <x:c r="G202" s="31" t="str">
        <x:v>text_extracted</x:v>
      </x:c>
      <x:c r="H202" s="31" t="n">
        <x:v>3</x:v>
      </x:c>
    </x:row>
    <x:row r="203">
      <x:c r="A203" s="31" t="str">
        <x:v>r0181_pil</x:v>
      </x:c>
      <x:c r="B203" s="31" t="str">
        <x:v>hyoscine_n_butylbromide</x:v>
      </x:c>
      <x:c r="C203" s="31" t="str">
        <x:v>PIL</x:v>
      </x:c>
      <x:c r="D203" s="31" t="str">
        <x:v>2023-04-05</x:v>
      </x:c>
      <x:c r="E203" s="37" t="str">
        <x:v>https://drug.fda.moph.go.th/media.php?id=730362820071399424&amp;name=pil_Hyoscine-n-butylbromide (SYRUP 5 mg, 5 ml).pdf</x:v>
      </x:c>
      <x:c r="F203" s="31" t="str">
        <x:v>downloaded</x:v>
      </x:c>
      <x:c r="G203" s="31" t="str">
        <x:v>text_extracted</x:v>
      </x:c>
      <x:c r="H203" s="31" t="n">
        <x:v>1</x:v>
      </x:c>
    </x:row>
    <x:row r="204">
      <x:c r="A204" s="31" t="str">
        <x:v>r0182_pil</x:v>
      </x:c>
      <x:c r="B204" s="31" t="str">
        <x:v>hyoscine_n_butylbromide</x:v>
      </x:c>
      <x:c r="C204" s="31" t="str">
        <x:v>PIL</x:v>
      </x:c>
      <x:c r="D204" s="31" t="str">
        <x:v>2023-04-05</x:v>
      </x:c>
      <x:c r="E204" s="37" t="str">
        <x:v>https://drug.fda.moph.go.th/media.php?id=730362780040962048&amp;name=pil_Hyoscine-n-butylbromide (TABLET 10 mg).pdf</x:v>
      </x:c>
      <x:c r="F204" s="31" t="str">
        <x:v>downloaded</x:v>
      </x:c>
      <x:c r="G204" s="31" t="str">
        <x:v>text_extracted</x:v>
      </x:c>
      <x:c r="H204" s="31" t="n">
        <x:v>1</x:v>
      </x:c>
    </x:row>
    <x:row r="205">
      <x:c r="A205" s="31" t="str">
        <x:v>r0182_smpc</x:v>
      </x:c>
      <x:c r="B205" s="31" t="str">
        <x:v>hyoscine_n_butylbromide</x:v>
      </x:c>
      <x:c r="C205" s="31" t="str">
        <x:v>SMPC</x:v>
      </x:c>
      <x:c r="D205" s="31" t="str">
        <x:v>2024-11-20</x:v>
      </x:c>
      <x:c r="E205" s="37" t="str">
        <x:v>https://drug.fda.moph.go.th/media.php?id=810382625893130240&amp;name=SMPC_Hyoscine butylbromide_coated tablets.pdf</x:v>
      </x:c>
      <x:c r="F205" s="31" t="str">
        <x:v>downloaded</x:v>
      </x:c>
      <x:c r="G205" s="31" t="str">
        <x:v>text_extracted</x:v>
      </x:c>
      <x:c r="H205" s="31" t="n">
        <x:v>9</x:v>
      </x:c>
    </x:row>
    <x:row r="206">
      <x:c r="A206" s="31" t="str">
        <x:v>r0183_smpc</x:v>
      </x:c>
      <x:c r="B206" s="31" t="str">
        <x:v>hyoscine_n_butylbromide</x:v>
      </x:c>
      <x:c r="C206" s="31" t="str">
        <x:v>SMPC</x:v>
      </x:c>
      <x:c r="D206" s="31" t="str">
        <x:v>2024-11-20</x:v>
      </x:c>
      <x:c r="E206" s="37" t="str">
        <x:v>https://drug.fda.moph.go.th/media.php?id=810383049660440576&amp;name=SMPC_Hyoscine butylbromide_Solution for Injection.pdf</x:v>
      </x:c>
      <x:c r="F206" s="31" t="str">
        <x:v>downloaded</x:v>
      </x:c>
      <x:c r="G206" s="31" t="str">
        <x:v>text_extracted</x:v>
      </x:c>
      <x:c r="H206" s="31" t="n">
        <x:v>9</x:v>
      </x:c>
    </x:row>
    <x:row r="207">
      <x:c r="A207" s="31" t="str">
        <x:v>r0184_pil</x:v>
      </x:c>
      <x:c r="B207" s="31" t="str">
        <x:v>ibuprofen</x:v>
      </x:c>
      <x:c r="C207" s="31" t="str">
        <x:v>PIL</x:v>
      </x:c>
      <x:c r="D207" s="31" t="str">
        <x:v>2025-03-19</x:v>
      </x:c>
      <x:c r="E207" s="37" t="str">
        <x:v>https://drug.fda.moph.go.th/media.php?id=808580724096638976&amp;name=Ibuprofen_filmcotedtabletCapsulehard_PIL.pdf</x:v>
      </x:c>
      <x:c r="F207" s="31" t="str">
        <x:v>downloaded</x:v>
      </x:c>
      <x:c r="G207" s="31" t="str">
        <x:v>text_extracted</x:v>
      </x:c>
      <x:c r="H207" s="31" t="n">
        <x:v>2</x:v>
      </x:c>
    </x:row>
    <x:row r="208">
      <x:c r="A208" s="31" t="str">
        <x:v>r0184_smpc</x:v>
      </x:c>
      <x:c r="B208" s="31" t="str">
        <x:v>ibuprofen</x:v>
      </x:c>
      <x:c r="C208" s="31" t="str">
        <x:v>SMPC</x:v>
      </x:c>
      <x:c r="D208" s="31" t="str">
        <x:v>2024-11-27</x:v>
      </x:c>
      <x:c r="E208" s="37" t="str">
        <x:v>https://drug.fda.moph.go.th/media.php?id=810383770954899456&amp;name=SMPC_Ibuprofen_capsules.pdf</x:v>
      </x:c>
      <x:c r="F208" s="31" t="str">
        <x:v>downloaded</x:v>
      </x:c>
      <x:c r="G208" s="31" t="str">
        <x:v>text_extracted</x:v>
      </x:c>
      <x:c r="H208" s="31" t="n">
        <x:v>16</x:v>
      </x:c>
    </x:row>
    <x:row r="209">
      <x:c r="A209" s="31" t="str">
        <x:v>r0185_pil</x:v>
      </x:c>
      <x:c r="B209" s="31" t="str">
        <x:v>ibuprofen</x:v>
      </x:c>
      <x:c r="C209" s="31" t="str">
        <x:v>PIL</x:v>
      </x:c>
      <x:c r="D209" s="31" t="str">
        <x:v>2025-03-19</x:v>
      </x:c>
      <x:c r="E209" s="37" t="str">
        <x:v>https://drug.fda.moph.go.th/media.php?id=808580915113631744&amp;name=Ibuprofen_suspensionSyrup_PIL.pdf</x:v>
      </x:c>
      <x:c r="F209" s="31" t="str">
        <x:v>downloaded</x:v>
      </x:c>
      <x:c r="G209" s="31" t="str">
        <x:v>text_extracted</x:v>
      </x:c>
      <x:c r="H209" s="31" t="n">
        <x:v>2</x:v>
      </x:c>
    </x:row>
    <x:row r="210">
      <x:c r="A210" s="31" t="str">
        <x:v>r0186_smpc</x:v>
      </x:c>
      <x:c r="B210" s="31" t="str">
        <x:v>indapamide</x:v>
      </x:c>
      <x:c r="C210" s="31" t="str">
        <x:v>SMPC</x:v>
      </x:c>
      <x:c r="D210" s="31" t="str">
        <x:v>2024-11-22</x:v>
      </x:c>
      <x:c r="E210" s="37" t="str">
        <x:v>https://drug.fda.moph.go.th/media.php?id=810384338393899008&amp;name=SMPC_Indapamide_Tablets.pdf</x:v>
      </x:c>
      <x:c r="F210" s="31" t="str">
        <x:v>downloaded</x:v>
      </x:c>
      <x:c r="G210" s="31" t="str">
        <x:v>text_extracted</x:v>
      </x:c>
      <x:c r="H210" s="31" t="n">
        <x:v>16</x:v>
      </x:c>
    </x:row>
    <x:row r="211">
      <x:c r="A211" s="31" t="str">
        <x:v>r0187_pil</x:v>
      </x:c>
      <x:c r="B211" s="31" t="str">
        <x:v>indomethacin</x:v>
      </x:c>
      <x:c r="C211" s="31" t="str">
        <x:v>PIL</x:v>
      </x:c>
      <x:c r="D211" s="31" t="str">
        <x:v>2025-03-19</x:v>
      </x:c>
      <x:c r="E211" s="37" t="str">
        <x:v>https://drug.fda.moph.go.th/media.php?id=808581297256669184&amp;name=Indomethacin_capsuleCompressedTabletFilmCoatedTabletSugarCoatedTablet_PIL.pdf</x:v>
      </x:c>
      <x:c r="F211" s="31" t="str">
        <x:v>downloaded</x:v>
      </x:c>
      <x:c r="G211" s="31" t="str">
        <x:v>text_extracted</x:v>
      </x:c>
      <x:c r="H211" s="31" t="n">
        <x:v>3</x:v>
      </x:c>
    </x:row>
    <x:row r="212">
      <x:c r="A212" s="31" t="str">
        <x:v>r0187_smpc</x:v>
      </x:c>
      <x:c r="B212" s="31" t="str">
        <x:v>indomethacin</x:v>
      </x:c>
      <x:c r="C212" s="31" t="str">
        <x:v>SMPC</x:v>
      </x:c>
      <x:c r="D212" s="31" t="str">
        <x:v>2024-11-27</x:v>
      </x:c>
      <x:c r="E212" s="37" t="str">
        <x:v>https://drug.fda.moph.go.th/media.php?id=810384768385556480&amp;name=SMPC_Indometacin_Capsules.pdf</x:v>
      </x:c>
      <x:c r="F212" s="31" t="str">
        <x:v>downloaded</x:v>
      </x:c>
      <x:c r="G212" s="31" t="str">
        <x:v>text_extracted</x:v>
      </x:c>
      <x:c r="H212" s="31" t="n">
        <x:v>20</x:v>
      </x:c>
    </x:row>
    <x:row r="213">
      <x:c r="A213" s="31" t="str">
        <x:v>r0188_pil</x:v>
      </x:c>
      <x:c r="B213" s="31" t="str">
        <x:v>indomethacin</x:v>
      </x:c>
      <x:c r="C213" s="31" t="str">
        <x:v>PIL</x:v>
      </x:c>
      <x:c r="D213" s="31" t="str">
        <x:v>2025-03-19</x:v>
      </x:c>
      <x:c r="E213" s="37" t="str">
        <x:v>https://drug.fda.moph.go.th/media.php?id=808581297256669184&amp;name=Indomethacin_capsuleCompressedTabletFilmCoatedTabletSugarCoatedTablet_PIL.pdf</x:v>
      </x:c>
      <x:c r="F213" s="31" t="str">
        <x:v>downloaded</x:v>
      </x:c>
      <x:c r="G213" s="31" t="str">
        <x:v>text_extracted</x:v>
      </x:c>
      <x:c r="H213" s="31" t="n">
        <x:v>3</x:v>
      </x:c>
    </x:row>
    <x:row r="214">
      <x:c r="A214" s="31" t="str">
        <x:v>r0189_pil</x:v>
      </x:c>
      <x:c r="B214" s="31" t="str">
        <x:v>indomethacin</x:v>
      </x:c>
      <x:c r="C214" s="31" t="str">
        <x:v>PIL</x:v>
      </x:c>
      <x:c r="D214" s="31" t="str">
        <x:v>2025-03-19</x:v>
      </x:c>
      <x:c r="E214" s="37" t="str">
        <x:v>https://drug.fda.moph.go.th/media.php?id=808581297256669184&amp;name=Indomethacin_capsuleCompressedTabletFilmCoatedTabletSugarCoatedTablet_PIL.pdf</x:v>
      </x:c>
      <x:c r="F214" s="31" t="str">
        <x:v>downloaded</x:v>
      </x:c>
      <x:c r="G214" s="31" t="str">
        <x:v>text_extracted</x:v>
      </x:c>
      <x:c r="H214" s="31" t="n">
        <x:v>3</x:v>
      </x:c>
    </x:row>
    <x:row r="215">
      <x:c r="A215" s="31" t="str">
        <x:v>r0190_pil</x:v>
      </x:c>
      <x:c r="B215" s="31" t="str">
        <x:v>indomethacin</x:v>
      </x:c>
      <x:c r="C215" s="31" t="str">
        <x:v>PIL</x:v>
      </x:c>
      <x:c r="D215" s="31" t="str">
        <x:v>2025-03-19</x:v>
      </x:c>
      <x:c r="E215" s="37" t="str">
        <x:v>https://drug.fda.moph.go.th/media.php?id=808581297256669184&amp;name=Indomethacin_capsuleCompressedTabletFilmCoatedTabletSugarCoatedTablet_PIL.pdf</x:v>
      </x:c>
      <x:c r="F215" s="31" t="str">
        <x:v>downloaded</x:v>
      </x:c>
      <x:c r="G215" s="31" t="str">
        <x:v>text_extracted</x:v>
      </x:c>
      <x:c r="H215" s="31" t="n">
        <x:v>3</x:v>
      </x:c>
    </x:row>
    <x:row r="216">
      <x:c r="A216" s="31" t="str">
        <x:v>r0191_smpc</x:v>
      </x:c>
      <x:c r="B216" s="31" t="str">
        <x:v>insulin</x:v>
      </x:c>
      <x:c r="C216" s="31" t="str">
        <x:v>SMPC</x:v>
      </x:c>
      <x:c r="D216" s="31" t="str">
        <x:v>2024-11-22</x:v>
      </x:c>
      <x:c r="E216" s="37" t="str">
        <x:v>https://drug.fda.moph.go.th/media.php?id=810385239439450112&amp;name=SMPC_Insulin_suspension for injection in vial.pdf</x:v>
      </x:c>
      <x:c r="F216" s="31" t="str">
        <x:v>downloaded</x:v>
      </x:c>
      <x:c r="G216" s="31" t="str">
        <x:v>text_extracted</x:v>
      </x:c>
      <x:c r="H216" s="31" t="n">
        <x:v>11</x:v>
      </x:c>
    </x:row>
    <x:row r="217">
      <x:c r="A217" s="31" t="str">
        <x:v>r0192_smpc</x:v>
      </x:c>
      <x:c r="B217" s="31" t="str">
        <x:v>intermittent_peritoneal_dialysis</x:v>
      </x:c>
      <x:c r="C217" s="31" t="str">
        <x:v>SMPC</x:v>
      </x:c>
      <x:c r="D217" s="31" t="str">
        <x:v>2024-11-22</x:v>
      </x:c>
      <x:c r="E217" s="37" t="str">
        <x:v>https://drug.fda.moph.go.th/media.php?id=810385732450525184&amp;name=SMPC_Intermittent peritoneal dialysis_solution for peritoneal dialysis.pdf</x:v>
      </x:c>
      <x:c r="F217" s="31" t="str">
        <x:v>downloaded</x:v>
      </x:c>
      <x:c r="G217" s="31" t="str">
        <x:v>text_extracted</x:v>
      </x:c>
      <x:c r="H217" s="31" t="n">
        <x:v>16</x:v>
      </x:c>
    </x:row>
    <x:row r="218">
      <x:c r="A218" s="31" t="str">
        <x:v>r0193_smpc</x:v>
      </x:c>
      <x:c r="B218" s="31" t="str">
        <x:v>iobitridol</x:v>
      </x:c>
      <x:c r="C218" s="31" t="str">
        <x:v>SMPC</x:v>
      </x:c>
      <x:c r="D218" s="31" t="str">
        <x:v>2024-11-27</x:v>
      </x:c>
      <x:c r="E218" s="37" t="str">
        <x:v>https://drug.fda.moph.go.th/media.php?id=810386169421504512&amp;name=SMPC_Iobitridol_Solution for Injection.pdf</x:v>
      </x:c>
      <x:c r="F218" s="31" t="str">
        <x:v>downloaded</x:v>
      </x:c>
      <x:c r="G218" s="31" t="str">
        <x:v>text_extracted</x:v>
      </x:c>
      <x:c r="H218" s="31" t="n">
        <x:v>20</x:v>
      </x:c>
    </x:row>
    <x:row r="219">
      <x:c r="A219" s="31" t="str">
        <x:v>r0194_smpc</x:v>
      </x:c>
      <x:c r="B219" s="31" t="str">
        <x:v>iobitridol</x:v>
      </x:c>
      <x:c r="C219" s="31" t="str">
        <x:v>SMPC</x:v>
      </x:c>
      <x:c r="D219" s="31" t="str">
        <x:v>2024-11-27</x:v>
      </x:c>
      <x:c r="E219" s="37" t="str">
        <x:v>https://drug.fda.moph.go.th/media.php?id=810386659307823104&amp;name=SMPC_Iobitridol_350_Solution for Injection.pdf</x:v>
      </x:c>
      <x:c r="F219" s="31" t="str">
        <x:v>downloaded</x:v>
      </x:c>
      <x:c r="G219" s="31" t="str">
        <x:v>text_extracted</x:v>
      </x:c>
      <x:c r="H219" s="31" t="n">
        <x:v>19</x:v>
      </x:c>
    </x:row>
    <x:row r="220">
      <x:c r="A220" s="31" t="str">
        <x:v>r0195_smpc</x:v>
      </x:c>
      <x:c r="B220" s="31" t="str">
        <x:v>isoniazid</x:v>
      </x:c>
      <x:c r="C220" s="31" t="str">
        <x:v>SMPC</x:v>
      </x:c>
      <x:c r="D220" s="31" t="str">
        <x:v>2024-11-27</x:v>
      </x:c>
      <x:c r="E220" s="37" t="str">
        <x:v>https://drug.fda.moph.go.th/media.php?id=810387533576937472&amp;name=SMPC_Isoniazid_Solutions for injections or infusions.pdf</x:v>
      </x:c>
      <x:c r="F220" s="31" t="str">
        <x:v>downloaded</x:v>
      </x:c>
      <x:c r="G220" s="31" t="str">
        <x:v>text_extracted</x:v>
      </x:c>
      <x:c r="H220" s="31" t="n">
        <x:v>9</x:v>
      </x:c>
    </x:row>
    <x:row r="221">
      <x:c r="A221" s="31" t="str">
        <x:v>r0196_pil</x:v>
      </x:c>
      <x:c r="B221" s="31" t="str">
        <x:v>isopropyl_alcohol</x:v>
      </x:c>
      <x:c r="C221" s="31" t="str">
        <x:v>PIL</x:v>
      </x:c>
      <x:c r="D221" s="31" t="str">
        <x:v>2024-03-15</x:v>
      </x:c>
      <x:c r="E221" s="37" t="str">
        <x:v>https://drug.fda.moph.go.th/media.php?id=733946047012937728&amp;name=PIL Isopropyl alcohol  (15032024).pdf</x:v>
      </x:c>
      <x:c r="F221" s="31" t="str">
        <x:v>downloaded</x:v>
      </x:c>
      <x:c r="G221" s="31" t="str">
        <x:v>text_extracted</x:v>
      </x:c>
      <x:c r="H221" s="31" t="n">
        <x:v>1</x:v>
      </x:c>
    </x:row>
    <x:row r="222">
      <x:c r="A222" s="31" t="str">
        <x:v>r0197_pil</x:v>
      </x:c>
      <x:c r="B222" s="31" t="str">
        <x:v>isosorbide_dinitrate</x:v>
      </x:c>
      <x:c r="C222" s="31" t="str">
        <x:v>PIL</x:v>
      </x:c>
      <x:c r="D222" s="31" t="str">
        <x:v>2023-08-04</x:v>
      </x:c>
      <x:c r="E222" s="37" t="str">
        <x:v>https://drug.fda.moph.go.th/media.php?id=730434793078136832&amp;name=pil_Isosorbide dinitrate (TABLET 10 mg, 20 mg).pdf</x:v>
      </x:c>
      <x:c r="F222" s="31" t="str">
        <x:v>downloaded</x:v>
      </x:c>
      <x:c r="G222" s="31" t="str">
        <x:v>text_extracted</x:v>
      </x:c>
      <x:c r="H222" s="31" t="n">
        <x:v>1</x:v>
      </x:c>
    </x:row>
    <x:row r="223">
      <x:c r="A223" s="31" t="str">
        <x:v>r0197_smpc</x:v>
      </x:c>
      <x:c r="B223" s="31" t="str">
        <x:v>isosorbide_dinitrate</x:v>
      </x:c>
      <x:c r="C223" s="31" t="str">
        <x:v>SMPC</x:v>
      </x:c>
      <x:c r="D223" s="31" t="str">
        <x:v>2024-11-22</x:v>
      </x:c>
      <x:c r="E223" s="37" t="str">
        <x:v>https://drug.fda.moph.go.th/media.php?id=810397718936690688&amp;name=SMPC_Isosorbide dinitrate_Tablets.pdf</x:v>
      </x:c>
      <x:c r="F223" s="31" t="str">
        <x:v>downloaded</x:v>
      </x:c>
      <x:c r="G223" s="31" t="str">
        <x:v>text_extracted</x:v>
      </x:c>
      <x:c r="H223" s="31" t="n">
        <x:v>12</x:v>
      </x:c>
    </x:row>
    <x:row r="224">
      <x:c r="A224" s="31" t="str">
        <x:v>r0198_pil</x:v>
      </x:c>
      <x:c r="B224" s="31" t="str">
        <x:v>isosorbide_mononitrate</x:v>
      </x:c>
      <x:c r="C224" s="31" t="str">
        <x:v>PIL</x:v>
      </x:c>
      <x:c r="D224" s="31" t="str">
        <x:v>2023-08-04</x:v>
      </x:c>
      <x:c r="E224" s="37" t="str">
        <x:v>https://drug.fda.moph.go.th/media.php?id=730434938595319808&amp;name=pil_Isosorbide mononitrate (TAVLET 10 mg, 20 mg).pdf</x:v>
      </x:c>
      <x:c r="F224" s="31" t="str">
        <x:v>downloaded</x:v>
      </x:c>
      <x:c r="G224" s="31" t="str">
        <x:v>text_extracted</x:v>
      </x:c>
      <x:c r="H224" s="31" t="n">
        <x:v>1</x:v>
      </x:c>
    </x:row>
    <x:row r="225">
      <x:c r="A225" s="31" t="str">
        <x:v>r0199_smpc</x:v>
      </x:c>
      <x:c r="B225" s="31" t="str">
        <x:v>isosorbide_mononitrate</x:v>
      </x:c>
      <x:c r="C225" s="31" t="str">
        <x:v>SMPC</x:v>
      </x:c>
      <x:c r="D225" s="31" t="str">
        <x:v>2024-11-27</x:v>
      </x:c>
      <x:c r="E225" s="37" t="str">
        <x:v>https://drug.fda.moph.go.th/media.php?id=810398158122262528&amp;name=SMPC_Isosorbide mononitrate_Tablets.pdf</x:v>
      </x:c>
      <x:c r="F225" s="31" t="str">
        <x:v>downloaded</x:v>
      </x:c>
      <x:c r="G225" s="31" t="str">
        <x:v>text_extracted</x:v>
      </x:c>
      <x:c r="H225" s="31" t="n">
        <x:v>11</x:v>
      </x:c>
    </x:row>
    <x:row r="226">
      <x:c r="A226" s="31" t="str">
        <x:v>r0200_pil</x:v>
      </x:c>
      <x:c r="B226" s="31" t="str">
        <x:v>ispaghula_husk</x:v>
      </x:c>
      <x:c r="C226" s="31" t="str">
        <x:v>PIL</x:v>
      </x:c>
      <x:c r="D226" s="31" t="str">
        <x:v>2023-03-29</x:v>
      </x:c>
      <x:c r="E226" s="37" t="str">
        <x:v>https://drug.fda.moph.go.th/media.php?id=730435056207798272&amp;name=pil_Ispaghula husk (GRANULES 2.45 g, 3.5 g).pdf</x:v>
      </x:c>
      <x:c r="F226" s="31" t="str">
        <x:v>downloaded</x:v>
      </x:c>
      <x:c r="G226" s="31" t="str">
        <x:v>text_extracted</x:v>
      </x:c>
      <x:c r="H226" s="31" t="n">
        <x:v>1</x:v>
      </x:c>
    </x:row>
    <x:row r="227">
      <x:c r="A227" s="31" t="str">
        <x:v>r0201_smpc</x:v>
      </x:c>
      <x:c r="B227" s="31" t="str">
        <x:v>itraconazole</x:v>
      </x:c>
      <x:c r="C227" s="31" t="str">
        <x:v>SMPC</x:v>
      </x:c>
      <x:c r="D227" s="31" t="str">
        <x:v>2024-11-27</x:v>
      </x:c>
      <x:c r="E227" s="37" t="str">
        <x:v>https://drug.fda.moph.go.th/media.php?id=810398699489468416&amp;name=SMPC_Itraconazole_Hard capsules.pdf</x:v>
      </x:c>
      <x:c r="F227" s="31" t="str">
        <x:v>downloaded</x:v>
      </x:c>
      <x:c r="G227" s="31" t="str">
        <x:v>text_extracted</x:v>
      </x:c>
      <x:c r="H227" s="31" t="n">
        <x:v>28</x:v>
      </x:c>
    </x:row>
    <x:row r="228">
      <x:c r="A228" s="31" t="str">
        <x:v>r0202_pil</x:v>
      </x:c>
      <x:c r="B228" s="31" t="str">
        <x:v>ketoconazole</x:v>
      </x:c>
      <x:c r="C228" s="31" t="str">
        <x:v>PIL</x:v>
      </x:c>
      <x:c r="D228" s="31" t="str">
        <x:v>2025-03-19</x:v>
      </x:c>
      <x:c r="E228" s="37" t="str">
        <x:v>https://drug.fda.moph.go.th/media.php?id=808584936914296832&amp;name=Ketoconazole_shampoo_PIL.pdf</x:v>
      </x:c>
      <x:c r="F228" s="31" t="str">
        <x:v>downloaded</x:v>
      </x:c>
      <x:c r="G228" s="31" t="str">
        <x:v>text_extracted</x:v>
      </x:c>
      <x:c r="H228" s="31" t="n">
        <x:v>1</x:v>
      </x:c>
    </x:row>
    <x:row r="229">
      <x:c r="A229" s="31" t="str">
        <x:v>r0202_smpc</x:v>
      </x:c>
      <x:c r="B229" s="31" t="str">
        <x:v>ketoconazole</x:v>
      </x:c>
      <x:c r="C229" s="31" t="str">
        <x:v>SMPC</x:v>
      </x:c>
      <x:c r="D229" s="31" t="str">
        <x:v>2024-11-22</x:v>
      </x:c>
      <x:c r="E229" s="37" t="str">
        <x:v>https://drug.fda.moph.go.th/media.php?id=810399234116427776&amp;name=SMPC_Ketoconazole_shampoo.pdf</x:v>
      </x:c>
      <x:c r="F229" s="31" t="str">
        <x:v>downloaded</x:v>
      </x:c>
      <x:c r="G229" s="31" t="str">
        <x:v>text_extracted</x:v>
      </x:c>
      <x:c r="H229" s="31" t="n">
        <x:v>6</x:v>
      </x:c>
    </x:row>
    <x:row r="230">
      <x:c r="A230" s="31" t="str">
        <x:v>r0203_pil</x:v>
      </x:c>
      <x:c r="B230" s="31" t="str">
        <x:v>ketoconazole</x:v>
      </x:c>
      <x:c r="C230" s="31" t="str">
        <x:v>PIL</x:v>
      </x:c>
      <x:c r="D230" s="31" t="str">
        <x:v>2025-03-19</x:v>
      </x:c>
      <x:c r="E230" s="37" t="str">
        <x:v>https://drug.fda.moph.go.th/media.php?id=808585206637404160&amp;name=Ketoconazole_cream_PIL.pdf</x:v>
      </x:c>
      <x:c r="F230" s="31" t="str">
        <x:v>downloaded</x:v>
      </x:c>
      <x:c r="G230" s="31" t="str">
        <x:v>text_extracted</x:v>
      </x:c>
      <x:c r="H230" s="31" t="n">
        <x:v>1</x:v>
      </x:c>
    </x:row>
    <x:row r="231">
      <x:c r="A231" s="31" t="str">
        <x:v>r0204_pil</x:v>
      </x:c>
      <x:c r="B231" s="31" t="str">
        <x:v>ketotifen</x:v>
      </x:c>
      <x:c r="C231" s="31" t="str">
        <x:v>PIL</x:v>
      </x:c>
      <x:c r="D231" s="31" t="str">
        <x:v>2025-03-19</x:v>
      </x:c>
      <x:c r="E231" s="37" t="str">
        <x:v>https://drug.fda.moph.go.th/media.php?id=808589764562395136&amp;name=Ketotifen_compressedTablet_PIL.pdf</x:v>
      </x:c>
      <x:c r="F231" s="31" t="str">
        <x:v>downloaded</x:v>
      </x:c>
      <x:c r="G231" s="31" t="str">
        <x:v>text_extracted</x:v>
      </x:c>
      <x:c r="H231" s="31" t="n">
        <x:v>3</x:v>
      </x:c>
    </x:row>
    <x:row r="232">
      <x:c r="A232" s="31" t="str">
        <x:v>r0204_smpc</x:v>
      </x:c>
      <x:c r="B232" s="31" t="str">
        <x:v>ketotifen</x:v>
      </x:c>
      <x:c r="C232" s="31" t="str">
        <x:v>SMPC</x:v>
      </x:c>
      <x:c r="D232" s="31" t="str">
        <x:v>2024-11-27</x:v>
      </x:c>
      <x:c r="E232" s="37" t="str">
        <x:v>https://drug.fda.moph.go.th/media.php?id=810399779447250944&amp;name=SMPC_Ketotifen_Tablets.pdf</x:v>
      </x:c>
      <x:c r="F232" s="31" t="str">
        <x:v>downloaded</x:v>
      </x:c>
      <x:c r="G232" s="31" t="str">
        <x:v>text_extracted</x:v>
      </x:c>
      <x:c r="H232" s="31" t="n">
        <x:v>11</x:v>
      </x:c>
    </x:row>
    <x:row r="233">
      <x:c r="A233" s="31" t="str">
        <x:v>r0205_pil</x:v>
      </x:c>
      <x:c r="B233" s="31" t="str">
        <x:v>ketotifen</x:v>
      </x:c>
      <x:c r="C233" s="31" t="str">
        <x:v>PIL</x:v>
      </x:c>
      <x:c r="D233" s="31" t="str">
        <x:v>2025-03-19</x:v>
      </x:c>
      <x:c r="E233" s="37" t="str">
        <x:v>https://drug.fda.moph.go.th/media.php?id=808590033043988480&amp;name=Ketotifen_SyrupElixir_PIL.pdf</x:v>
      </x:c>
      <x:c r="F233" s="31" t="str">
        <x:v>downloaded</x:v>
      </x:c>
      <x:c r="G233" s="31" t="str">
        <x:v>text_extracted</x:v>
      </x:c>
      <x:c r="H233" s="31" t="n">
        <x:v>3</x:v>
      </x:c>
    </x:row>
    <x:row r="234">
      <x:c r="A234" s="31" t="str">
        <x:v>r0206_pil</x:v>
      </x:c>
      <x:c r="B234" s="31" t="str">
        <x:v>lansoprazole</x:v>
      </x:c>
      <x:c r="C234" s="31" t="str">
        <x:v>PIL</x:v>
      </x:c>
      <x:c r="D234" s="31" t="str">
        <x:v>2025-03-19</x:v>
      </x:c>
      <x:c r="E234" s="37" t="str">
        <x:v>https://drug.fda.moph.go.th/media.php?id=808590240561373184&amp;name=Lansoprazole_orodisperse tablet_PIL.pdf</x:v>
      </x:c>
      <x:c r="F234" s="31" t="str">
        <x:v>downloaded</x:v>
      </x:c>
      <x:c r="G234" s="31" t="str">
        <x:v>text_extracted</x:v>
      </x:c>
      <x:c r="H234" s="31" t="n">
        <x:v>1</x:v>
      </x:c>
    </x:row>
    <x:row r="235">
      <x:c r="A235" s="31" t="str">
        <x:v>r0207_smpc</x:v>
      </x:c>
      <x:c r="B235" s="31" t="str">
        <x:v>lavender_oil</x:v>
      </x:c>
      <x:c r="C235" s="31" t="str">
        <x:v>SMPC</x:v>
      </x:c>
      <x:c r="D235" s="31" t="str">
        <x:v>2024-11-29</x:v>
      </x:c>
      <x:c r="E235" s="37" t="str">
        <x:v>https://drug.fda.moph.go.th/media.php?id=810400412350947328&amp;name=SMPC_Lavender oil_Capsules.pdf</x:v>
      </x:c>
      <x:c r="F235" s="31" t="str">
        <x:v>downloaded</x:v>
      </x:c>
      <x:c r="G235" s="31" t="str">
        <x:v>text_extracted</x:v>
      </x:c>
      <x:c r="H235" s="31" t="n">
        <x:v>5</x:v>
      </x:c>
    </x:row>
    <x:row r="236">
      <x:c r="A236" s="31" t="str">
        <x:v>r0208_smpc</x:v>
      </x:c>
      <x:c r="B236" s="31" t="str">
        <x:v>lenograstim</x:v>
      </x:c>
      <x:c r="C236" s="31" t="str">
        <x:v>SMPC</x:v>
      </x:c>
      <x:c r="D236" s="31" t="str">
        <x:v>2024-11-22</x:v>
      </x:c>
      <x:c r="E236" s="37" t="str">
        <x:v>https://drug.fda.moph.go.th/media.php?id=810403090216919040&amp;name=SMPC_Lenograstim_powder and solvent for solution for injection-infusion.pdf</x:v>
      </x:c>
      <x:c r="F236" s="31" t="str">
        <x:v>downloaded</x:v>
      </x:c>
      <x:c r="G236" s="31" t="str">
        <x:v>text_extracted</x:v>
      </x:c>
      <x:c r="H236" s="31" t="n">
        <x:v>29</x:v>
      </x:c>
    </x:row>
    <x:row r="237">
      <x:c r="A237" s="31" t="str">
        <x:v>r0209_pil</x:v>
      </x:c>
      <x:c r="B237" s="31" t="str">
        <x:v>levodopa_benserazide</x:v>
      </x:c>
      <x:c r="C237" s="31" t="str">
        <x:v>PIL</x:v>
      </x:c>
      <x:c r="D237" s="31" t="str">
        <x:v>2025-03-19</x:v>
      </x:c>
      <x:c r="E237" s="37" t="str">
        <x:v>https://drug.fda.moph.go.th/media.php?id=808595702568591360&amp;name=Levodopa-Benseraside_orodispersible_PIL.pdf</x:v>
      </x:c>
      <x:c r="F237" s="31" t="str">
        <x:v>downloaded</x:v>
      </x:c>
      <x:c r="G237" s="31" t="str">
        <x:v>text_extracted</x:v>
      </x:c>
      <x:c r="H237" s="31" t="n">
        <x:v>2</x:v>
      </x:c>
    </x:row>
    <x:row r="238">
      <x:c r="A238" s="31" t="str">
        <x:v>r0210_pil</x:v>
      </x:c>
      <x:c r="B238" s="31" t="str">
        <x:v>levothyroxine</x:v>
      </x:c>
      <x:c r="C238" s="31" t="str">
        <x:v>PIL</x:v>
      </x:c>
      <x:c r="D238" s="31" t="str">
        <x:v>2023-08-04</x:v>
      </x:c>
      <x:c r="E238" s="37" t="str">
        <x:v>https://drug.fda.moph.go.th/media.php?id=730438170746953728&amp;name=pil_Levothyroxine sodium (TABLET 50 mcg, 100 mcg).pdf</x:v>
      </x:c>
      <x:c r="F238" s="31" t="str">
        <x:v>downloaded</x:v>
      </x:c>
      <x:c r="G238" s="31" t="str">
        <x:v>text_extracted</x:v>
      </x:c>
      <x:c r="H238" s="31" t="n">
        <x:v>1</x:v>
      </x:c>
    </x:row>
    <x:row r="239">
      <x:c r="A239" s="31" t="str">
        <x:v>r0211_smpc</x:v>
      </x:c>
      <x:c r="B239" s="31" t="str">
        <x:v>lidocaine</x:v>
      </x:c>
      <x:c r="C239" s="31" t="str">
        <x:v>SMPC</x:v>
      </x:c>
      <x:c r="D239" s="31" t="str">
        <x:v>2024-11-29</x:v>
      </x:c>
      <x:c r="E239" s="37" t="str">
        <x:v>https://drug.fda.moph.go.th/media.php?id=810403816229969920&amp;name=SMPC_Lidocaine Hydrochloride_solutions for injections or infusions.pdf</x:v>
      </x:c>
      <x:c r="F239" s="31" t="str">
        <x:v>downloaded</x:v>
      </x:c>
      <x:c r="G239" s="31" t="str">
        <x:v>text_extracted</x:v>
      </x:c>
      <x:c r="H239" s="31" t="n">
        <x:v>14</x:v>
      </x:c>
    </x:row>
    <x:row r="240">
      <x:c r="A240" s="31" t="str">
        <x:v>r0212_smpc</x:v>
      </x:c>
      <x:c r="B240" s="31" t="str">
        <x:v>liquid_paraffin</x:v>
      </x:c>
      <x:c r="C240" s="31" t="str">
        <x:v>SMPC</x:v>
      </x:c>
      <x:c r="D240" s="31" t="str">
        <x:v>2024-11-22</x:v>
      </x:c>
      <x:c r="E240" s="37" t="str">
        <x:v>https://drug.fda.moph.go.th/media.php?id=810404231990353920&amp;name=SMPC_Liquid paraffin_Emulsion.pdf</x:v>
      </x:c>
      <x:c r="F240" s="31" t="str">
        <x:v>downloaded</x:v>
      </x:c>
      <x:c r="G240" s="31" t="str">
        <x:v>text_extracted</x:v>
      </x:c>
      <x:c r="H240" s="31" t="n">
        <x:v>4</x:v>
      </x:c>
    </x:row>
    <x:row r="241">
      <x:c r="A241" s="31" t="str">
        <x:v>r0213_pil</x:v>
      </x:c>
      <x:c r="B241" s="31" t="str">
        <x:v>lisinopril</x:v>
      </x:c>
      <x:c r="C241" s="31" t="str">
        <x:v>PIL</x:v>
      </x:c>
      <x:c r="D241" s="31" t="str">
        <x:v>2023-08-04</x:v>
      </x:c>
      <x:c r="E241" s="37" t="str">
        <x:v>https://drug.fda.moph.go.th/media.php?id=730438387122708480&amp;name=pil_Lisinopril (TABLET 5 mg, 10 mg, 20 mg).pdf</x:v>
      </x:c>
      <x:c r="F241" s="31" t="str">
        <x:v>downloaded</x:v>
      </x:c>
      <x:c r="G241" s="31" t="str">
        <x:v>text_extracted</x:v>
      </x:c>
      <x:c r="H241" s="31" t="n">
        <x:v>1</x:v>
      </x:c>
    </x:row>
    <x:row r="242">
      <x:c r="A242" s="31" t="str">
        <x:v>r0213_smpc</x:v>
      </x:c>
      <x:c r="B242" s="31" t="str">
        <x:v>lisinopril</x:v>
      </x:c>
      <x:c r="C242" s="31" t="str">
        <x:v>SMPC</x:v>
      </x:c>
      <x:c r="D242" s="31" t="str">
        <x:v>2024-11-22</x:v>
      </x:c>
      <x:c r="E242" s="37" t="str">
        <x:v>https://drug.fda.moph.go.th/media.php?id=810405133153345536&amp;name=SMPC_Lisinopril_Tablets.pdf</x:v>
      </x:c>
      <x:c r="F242" s="31" t="str">
        <x:v>downloaded</x:v>
      </x:c>
      <x:c r="G242" s="31" t="str">
        <x:v>text_extracted</x:v>
      </x:c>
      <x:c r="H242" s="31" t="n">
        <x:v>26</x:v>
      </x:c>
    </x:row>
    <x:row r="243">
      <x:c r="A243" s="31" t="str">
        <x:v>r0214_pil</x:v>
      </x:c>
      <x:c r="B243" s="31" t="str">
        <x:v>loperamide</x:v>
      </x:c>
      <x:c r="C243" s="31" t="str">
        <x:v>PIL</x:v>
      </x:c>
      <x:c r="D243" s="31" t="str">
        <x:v>2023-08-04</x:v>
      </x:c>
      <x:c r="E243" s="37" t="str">
        <x:v>https://drug.fda.moph.go.th/media.php?id=730438529573855232&amp;name=pil_Loperamide (TABLET 2 mg).pdf</x:v>
      </x:c>
      <x:c r="F243" s="31" t="str">
        <x:v>downloaded</x:v>
      </x:c>
      <x:c r="G243" s="31" t="str">
        <x:v>text_extracted</x:v>
      </x:c>
      <x:c r="H243" s="31" t="n">
        <x:v>1</x:v>
      </x:c>
    </x:row>
    <x:row r="244">
      <x:c r="A244" s="31" t="str">
        <x:v>r0214_smpc</x:v>
      </x:c>
      <x:c r="B244" s="31" t="str">
        <x:v>loperamide</x:v>
      </x:c>
      <x:c r="C244" s="31" t="str">
        <x:v>SMPC</x:v>
      </x:c>
      <x:c r="D244" s="31" t="str">
        <x:v>2024-11-20</x:v>
      </x:c>
      <x:c r="E244" s="37" t="str">
        <x:v>https://drug.fda.moph.go.th/media.php?id=810406546952560640&amp;name=SMPC_Loperamide_Tablets.pdf</x:v>
      </x:c>
      <x:c r="F244" s="31" t="str">
        <x:v>downloaded</x:v>
      </x:c>
      <x:c r="G244" s="31" t="str">
        <x:v>text_extracted</x:v>
      </x:c>
      <x:c r="H244" s="31" t="n">
        <x:v>12</x:v>
      </x:c>
    </x:row>
    <x:row r="245">
      <x:c r="A245" s="31" t="str">
        <x:v>r0215_pil</x:v>
      </x:c>
      <x:c r="B245" s="31" t="str">
        <x:v>loperamide</x:v>
      </x:c>
      <x:c r="C245" s="31" t="str">
        <x:v>PIL</x:v>
      </x:c>
      <x:c r="D245" s="31" t="str">
        <x:v>2025-03-19</x:v>
      </x:c>
      <x:c r="E245" s="37" t="str">
        <x:v>https://drug.fda.moph.go.th/media.php?id=808596182745096192&amp;name=Loperamide_Capsule_PIL.pdf</x:v>
      </x:c>
      <x:c r="F245" s="31" t="str">
        <x:v>downloaded</x:v>
      </x:c>
      <x:c r="G245" s="31" t="str">
        <x:v>text_extracted</x:v>
      </x:c>
      <x:c r="H245" s="31" t="n">
        <x:v>2</x:v>
      </x:c>
    </x:row>
    <x:row r="246">
      <x:c r="A246" s="31" t="str">
        <x:v>r0216_pil</x:v>
      </x:c>
      <x:c r="B246" s="31" t="str">
        <x:v>magnesium_hydroxide</x:v>
      </x:c>
      <x:c r="C246" s="31" t="str">
        <x:v>PIL</x:v>
      </x:c>
      <x:c r="D246" s="31" t="str">
        <x:v>2024-03-15</x:v>
      </x:c>
      <x:c r="E246" s="37" t="str">
        <x:v>https://drug.fda.moph.go.th/media.php?id=733945016032043008&amp;name=PIL_Magnesium hydroxide ยาระบายแมกนีเซี (15032024).pdf</x:v>
      </x:c>
      <x:c r="F246" s="31" t="str">
        <x:v>downloaded</x:v>
      </x:c>
      <x:c r="G246" s="31" t="str">
        <x:v>text_extracted</x:v>
      </x:c>
      <x:c r="H246" s="31" t="n">
        <x:v>1</x:v>
      </x:c>
    </x:row>
    <x:row r="247">
      <x:c r="A247" s="31" t="str">
        <x:v>r0216_smpc</x:v>
      </x:c>
      <x:c r="B247" s="31" t="str">
        <x:v>magnesium_hydroxide</x:v>
      </x:c>
      <x:c r="C247" s="31" t="str">
        <x:v>SMPC</x:v>
      </x:c>
      <x:c r="D247" s="31" t="str">
        <x:v>2024-11-21</x:v>
      </x:c>
      <x:c r="E247" s="37" t="str">
        <x:v>https://drug.fda.moph.go.th/media.php?id=810406985441878016&amp;name=SMPC_Magnesium hydroxide_Oral suspension.pdf</x:v>
      </x:c>
      <x:c r="F247" s="31" t="str">
        <x:v>downloaded</x:v>
      </x:c>
      <x:c r="G247" s="31" t="str">
        <x:v>text_extracted</x:v>
      </x:c>
      <x:c r="H247" s="31" t="n">
        <x:v>4</x:v>
      </x:c>
    </x:row>
    <x:row r="248">
      <x:c r="A248" s="31" t="str">
        <x:v>r0217_smpc</x:v>
      </x:c>
      <x:c r="B248" s="31" t="str">
        <x:v>magnesium</x:v>
      </x:c>
      <x:c r="C248" s="31" t="str">
        <x:v>SMPC</x:v>
      </x:c>
      <x:c r="D248" s="31" t="str">
        <x:v>2024-11-22</x:v>
      </x:c>
      <x:c r="E248" s="37" t="str">
        <x:v>https://drug.fda.moph.go.th/media.php?id=810407556395704320&amp;name=SMPC_Magnesium sulfate_Solution for Injection or Infusion.pdf</x:v>
      </x:c>
      <x:c r="F248" s="31" t="str">
        <x:v>downloaded</x:v>
      </x:c>
      <x:c r="G248" s="31" t="str">
        <x:v>text_extracted</x:v>
      </x:c>
      <x:c r="H248" s="31" t="n">
        <x:v>15</x:v>
      </x:c>
    </x:row>
    <x:row r="249">
      <x:c r="A249" s="31" t="str">
        <x:v>r0218_smpc</x:v>
      </x:c>
      <x:c r="B249" s="31" t="str">
        <x:v>magnesium_trisilicate</x:v>
      </x:c>
      <x:c r="C249" s="31" t="str">
        <x:v>SMPC</x:v>
      </x:c>
      <x:c r="D249" s="31" t="str">
        <x:v>2024-11-25</x:v>
      </x:c>
      <x:c r="E249" s="37" t="str">
        <x:v>https://drug.fda.moph.go.th/media.php?id=810407998043332608&amp;name=SMPC_Magnesium trisilicate_Tablets.pdf</x:v>
      </x:c>
      <x:c r="F249" s="31" t="str">
        <x:v>downloaded</x:v>
      </x:c>
      <x:c r="G249" s="31" t="str">
        <x:v>text_extracted</x:v>
      </x:c>
      <x:c r="H249" s="31" t="n">
        <x:v>7</x:v>
      </x:c>
    </x:row>
    <x:row r="250">
      <x:c r="A250" s="31" t="str">
        <x:v>r0219_smpc</x:v>
      </x:c>
      <x:c r="B250" s="31" t="str">
        <x:v>magnesium_trisilicate</x:v>
      </x:c>
      <x:c r="C250" s="31" t="str">
        <x:v>SMPC</x:v>
      </x:c>
      <x:c r="D250" s="31" t="str">
        <x:v>2024-11-25</x:v>
      </x:c>
      <x:c r="E250" s="37" t="str">
        <x:v>https://drug.fda.moph.go.th/media.php?id=810408508334940160&amp;name=SMPC_Magnesium trisilicate_Chewable Tablets.pdf</x:v>
      </x:c>
      <x:c r="F250" s="31" t="str">
        <x:v>downloaded</x:v>
      </x:c>
      <x:c r="G250" s="31" t="str">
        <x:v>text_extracted</x:v>
      </x:c>
      <x:c r="H250" s="31" t="n">
        <x:v>5</x:v>
      </x:c>
    </x:row>
    <x:row r="251">
      <x:c r="A251" s="31" t="str">
        <x:v>r0220_smpc</x:v>
      </x:c>
      <x:c r="B251" s="31" t="str">
        <x:v>mannitol</x:v>
      </x:c>
      <x:c r="C251" s="31" t="str">
        <x:v>SMPC</x:v>
      </x:c>
      <x:c r="D251" s="31" t="str">
        <x:v>2024-11-22</x:v>
      </x:c>
      <x:c r="E251" s="37" t="str">
        <x:v>https://drug.fda.moph.go.th/media.php?id=810409159391584256&amp;name=SMPC_Mannitol_Solution for Infusion.pdf</x:v>
      </x:c>
      <x:c r="F251" s="31" t="str">
        <x:v>downloaded</x:v>
      </x:c>
      <x:c r="G251" s="31" t="str">
        <x:v>text_extracted</x:v>
      </x:c>
      <x:c r="H251" s="31" t="n">
        <x:v>17</x:v>
      </x:c>
    </x:row>
    <x:row r="252">
      <x:c r="A252" s="31" t="str">
        <x:v>r0221_smpc</x:v>
      </x:c>
      <x:c r="B252" s="31" t="str">
        <x:v>mebendazole</x:v>
      </x:c>
      <x:c r="C252" s="31" t="str">
        <x:v>SMPC</x:v>
      </x:c>
      <x:c r="D252" s="31" t="str">
        <x:v>2024-11-29</x:v>
      </x:c>
      <x:c r="E252" s="37" t="str">
        <x:v>https://drug.fda.moph.go.th/media.php?id=810409612485468160&amp;name=SMPC_Mebendazole_oral suspension.pdf</x:v>
      </x:c>
      <x:c r="F252" s="31" t="str">
        <x:v>downloaded</x:v>
      </x:c>
      <x:c r="G252" s="31" t="str">
        <x:v>text_extracted</x:v>
      </x:c>
      <x:c r="H252" s="31" t="n">
        <x:v>9</x:v>
      </x:c>
    </x:row>
    <x:row r="253">
      <x:c r="A253" s="31" t="str">
        <x:v>r0222_pil</x:v>
      </x:c>
      <x:c r="B253" s="31" t="str">
        <x:v>mebendazole</x:v>
      </x:c>
      <x:c r="C253" s="31" t="str">
        <x:v>PIL</x:v>
      </x:c>
      <x:c r="D253" s="31" t="str">
        <x:v>2024-03-15</x:v>
      </x:c>
      <x:c r="E253" s="37" t="str">
        <x:v>https://drug.fda.moph.go.th/media.php?id=733943326377648128&amp;name=PIL_Mebendazole ยาถ่ายพยาธิตัวกลม (15032024).pdf</x:v>
      </x:c>
      <x:c r="F253" s="31" t="str">
        <x:v>downloaded</x:v>
      </x:c>
      <x:c r="G253" s="31" t="str">
        <x:v>text_extracted</x:v>
      </x:c>
      <x:c r="H253" s="31" t="n">
        <x:v>1</x:v>
      </x:c>
    </x:row>
    <x:row r="254">
      <x:c r="A254" s="31" t="str">
        <x:v>r0223_pil</x:v>
      </x:c>
      <x:c r="B254" s="31" t="str">
        <x:v>mebeverine</x:v>
      </x:c>
      <x:c r="C254" s="31" t="str">
        <x:v>PIL</x:v>
      </x:c>
      <x:c r="D254" s="31" t="str">
        <x:v>2023-08-04</x:v>
      </x:c>
      <x:c r="E254" s="37" t="str">
        <x:v>https://drug.fda.moph.go.th/media.php?id=730439513196863488&amp;name=pil_Mebeverine hydrochloride (FILM COATED TABLET 135 mg).pdf</x:v>
      </x:c>
      <x:c r="F254" s="31" t="str">
        <x:v>downloaded</x:v>
      </x:c>
      <x:c r="G254" s="31" t="str">
        <x:v>text_extracted</x:v>
      </x:c>
      <x:c r="H254" s="31" t="n">
        <x:v>1</x:v>
      </x:c>
    </x:row>
    <x:row r="255">
      <x:c r="A255" s="31" t="str">
        <x:v>r0224_pil</x:v>
      </x:c>
      <x:c r="B255" s="31" t="str">
        <x:v>mebhydrolin</x:v>
      </x:c>
      <x:c r="C255" s="31" t="str">
        <x:v>PIL</x:v>
      </x:c>
      <x:c r="D255" s="31" t="str">
        <x:v>2025-08-15</x:v>
      </x:c>
      <x:c r="E255" s="37" t="str">
        <x:v>https://drug.fda.moph.go.th/media.php?id=808597501648183296&amp;name=Mebhydrolin_capsule_PIL.pdf</x:v>
      </x:c>
      <x:c r="F255" s="31" t="str">
        <x:v>downloaded</x:v>
      </x:c>
      <x:c r="G255" s="31" t="str">
        <x:v>text_extracted</x:v>
      </x:c>
      <x:c r="H255" s="31" t="n">
        <x:v>3</x:v>
      </x:c>
    </x:row>
    <x:row r="256">
      <x:c r="A256" s="31" t="str">
        <x:v>r0225_pil</x:v>
      </x:c>
      <x:c r="B256" s="31" t="str">
        <x:v>medroxyprogesterone</x:v>
      </x:c>
      <x:c r="C256" s="31" t="str">
        <x:v>PIL</x:v>
      </x:c>
      <x:c r="D256" s="31" t="str">
        <x:v>2023-11-09</x:v>
      </x:c>
      <x:c r="E256" s="37" t="str">
        <x:v>https://drug.fda.moph.go.th/media.php?id=730440517598453760&amp;name=pil_Medroxyprogesterone acetate(SUSPENSION FOR INJECTION).pdf</x:v>
      </x:c>
      <x:c r="F256" s="31" t="str">
        <x:v>downloaded</x:v>
      </x:c>
      <x:c r="G256" s="31" t="str">
        <x:v>text_extracted</x:v>
      </x:c>
      <x:c r="H256" s="31" t="n">
        <x:v>1</x:v>
      </x:c>
    </x:row>
    <x:row r="257">
      <x:c r="A257" s="31" t="str">
        <x:v>r0225_smpc</x:v>
      </x:c>
      <x:c r="B257" s="31" t="str">
        <x:v>medroxyprogesterone</x:v>
      </x:c>
      <x:c r="C257" s="31" t="str">
        <x:v>SMPC</x:v>
      </x:c>
      <x:c r="D257" s="31" t="str">
        <x:v>2024-11-27</x:v>
      </x:c>
      <x:c r="E257" s="37" t="str">
        <x:v>https://drug.fda.moph.go.th/media.php?id=810410089709182976&amp;name=SMPC_Medroxyprogesterone acetate_Suspension for Injection.pdf</x:v>
      </x:c>
      <x:c r="F257" s="31" t="str">
        <x:v>downloaded</x:v>
      </x:c>
      <x:c r="G257" s="31" t="str">
        <x:v>text_extracted</x:v>
      </x:c>
      <x:c r="H257" s="31" t="n">
        <x:v>20</x:v>
      </x:c>
    </x:row>
    <x:row r="258">
      <x:c r="A258" s="31" t="str">
        <x:v>r0226_smpc</x:v>
      </x:c>
      <x:c r="B258" s="31" t="str">
        <x:v>mefenamic_acid</x:v>
      </x:c>
      <x:c r="C258" s="31" t="str">
        <x:v>SMPC</x:v>
      </x:c>
      <x:c r="D258" s="31" t="str">
        <x:v>2024-11-29</x:v>
      </x:c>
      <x:c r="E258" s="37" t="str">
        <x:v>https://drug.fda.moph.go.th/media.php?id=810410734201741312&amp;name=SMPC_Mefenamic acid_Capsules.pdf</x:v>
      </x:c>
      <x:c r="F258" s="31" t="str">
        <x:v>downloaded</x:v>
      </x:c>
      <x:c r="G258" s="31" t="str">
        <x:v>text_extracted</x:v>
      </x:c>
      <x:c r="H258" s="31" t="n">
        <x:v>17</x:v>
      </x:c>
    </x:row>
    <x:row r="259">
      <x:c r="A259" s="31" t="str">
        <x:v>r0227_smpc</x:v>
      </x:c>
      <x:c r="B259" s="31" t="str">
        <x:v>menthol_eucalyptus_oil</x:v>
      </x:c>
      <x:c r="C259" s="31" t="str">
        <x:v>SMPC</x:v>
      </x:c>
      <x:c r="D259" s="31" t="str">
        <x:v>2024-11-29</x:v>
      </x:c>
      <x:c r="E259" s="37" t="str">
        <x:v>https://drug.fda.moph.go.th/media.php?id=810411159340589056&amp;name=SMPC_Menthol and Eucalyptus_Inhalation.pdf</x:v>
      </x:c>
      <x:c r="F259" s="31" t="str">
        <x:v>downloaded</x:v>
      </x:c>
      <x:c r="G259" s="31" t="str">
        <x:v>text_extracted</x:v>
      </x:c>
      <x:c r="H259" s="31" t="n">
        <x:v>4</x:v>
      </x:c>
    </x:row>
    <x:row r="260">
      <x:c r="A260" s="31" t="str">
        <x:v>r0228_smpc</x:v>
      </x:c>
      <x:c r="B260" s="31" t="str">
        <x:v>metformin</x:v>
      </x:c>
      <x:c r="C260" s="31" t="str">
        <x:v>SMPC</x:v>
      </x:c>
      <x:c r="D260" s="31" t="str">
        <x:v>2024-11-22</x:v>
      </x:c>
      <x:c r="E260" s="37" t="str">
        <x:v>https://drug.fda.moph.go.th/media.php?id=810411685197258752&amp;name=SMPC_Metformin_Film-coated Tablet.pdf</x:v>
      </x:c>
      <x:c r="F260" s="31" t="str">
        <x:v>downloaded</x:v>
      </x:c>
      <x:c r="G260" s="31" t="str">
        <x:v>text_extracted</x:v>
      </x:c>
      <x:c r="H260" s="31" t="n">
        <x:v>16</x:v>
      </x:c>
    </x:row>
    <x:row r="261">
      <x:c r="A261" s="31" t="str">
        <x:v>r0229_pil</x:v>
      </x:c>
      <x:c r="B261" s="31" t="str">
        <x:v>methimazole_thiamazole</x:v>
      </x:c>
      <x:c r="C261" s="31" t="str">
        <x:v>PIL</x:v>
      </x:c>
      <x:c r="D261" s="31" t="str">
        <x:v>2023-08-04</x:v>
      </x:c>
      <x:c r="E261" s="37" t="str">
        <x:v>https://drug.fda.moph.go.th/media.php?id=730440659181379584&amp;name=pil_Methimazole (Thiamazole) (TABLET 5 mg).pdf</x:v>
      </x:c>
      <x:c r="F261" s="31" t="str">
        <x:v>downloaded</x:v>
      </x:c>
      <x:c r="G261" s="31" t="str">
        <x:v>text_extracted</x:v>
      </x:c>
      <x:c r="H261" s="31" t="n">
        <x:v>1</x:v>
      </x:c>
    </x:row>
    <x:row r="262">
      <x:c r="A262" s="31" t="str">
        <x:v>r0230_smpc</x:v>
      </x:c>
      <x:c r="B262" s="31" t="str">
        <x:v>methocarbamol</x:v>
      </x:c>
      <x:c r="C262" s="31" t="str">
        <x:v>SMPC</x:v>
      </x:c>
      <x:c r="D262" s="31" t="str">
        <x:v>2024-11-25</x:v>
      </x:c>
      <x:c r="E262" s="37" t="str">
        <x:v>https://drug.fda.moph.go.th/media.php?id=810412334496489472&amp;name=SMPC_Methocarbamol_Film-coated Tablet.pdf</x:v>
      </x:c>
      <x:c r="F262" s="31" t="str">
        <x:v>downloaded</x:v>
      </x:c>
      <x:c r="G262" s="31" t="str">
        <x:v>text_extracted</x:v>
      </x:c>
      <x:c r="H262" s="31" t="n">
        <x:v>12</x:v>
      </x:c>
    </x:row>
    <x:row r="263">
      <x:c r="A263" s="31" t="str">
        <x:v>r0231_pil</x:v>
      </x:c>
      <x:c r="B263" s="31" t="str">
        <x:v>methyldopa</x:v>
      </x:c>
      <x:c r="C263" s="31" t="str">
        <x:v>PIL</x:v>
      </x:c>
      <x:c r="D263" s="31" t="str">
        <x:v>2023-08-04</x:v>
      </x:c>
      <x:c r="E263" s="37" t="str">
        <x:v>https://drug.fda.moph.go.th/media.php?id=730440782443585536&amp;name=pil_Methyldopa (TABLET 125 mg, 250 mg).pdf</x:v>
      </x:c>
      <x:c r="F263" s="31" t="str">
        <x:v>downloaded</x:v>
      </x:c>
      <x:c r="G263" s="31" t="str">
        <x:v>text_extracted</x:v>
      </x:c>
      <x:c r="H263" s="31" t="n">
        <x:v>1</x:v>
      </x:c>
    </x:row>
    <x:row r="264">
      <x:c r="A264" s="31" t="str">
        <x:v>r0232_pil</x:v>
      </x:c>
      <x:c r="B264" s="31" t="str">
        <x:v>methylergometrine</x:v>
      </x:c>
      <x:c r="C264" s="31" t="str">
        <x:v>PIL</x:v>
      </x:c>
      <x:c r="D264" s="31" t="str">
        <x:v>2023-11-09</x:v>
      </x:c>
      <x:c r="E264" s="37" t="str">
        <x:v>https://drug.fda.moph.go.th/media.php?id=730440912047579136&amp;name=pil_Methylergometrine maleate (STERILE SOLUTION FOR INJECTION).pdf</x:v>
      </x:c>
      <x:c r="F264" s="31" t="str">
        <x:v>downloaded</x:v>
      </x:c>
      <x:c r="G264" s="31" t="str">
        <x:v>text_extracted</x:v>
      </x:c>
      <x:c r="H264" s="31" t="n">
        <x:v>1</x:v>
      </x:c>
    </x:row>
    <x:row r="265">
      <x:c r="A265" s="31" t="str">
        <x:v>r0233_smpc</x:v>
      </x:c>
      <x:c r="B265" s="31" t="str">
        <x:v>methylprednisolone</x:v>
      </x:c>
      <x:c r="C265" s="31" t="str">
        <x:v>SMPC</x:v>
      </x:c>
      <x:c r="D265" s="31" t="str">
        <x:v>2024-11-29</x:v>
      </x:c>
      <x:c r="E265" s="37" t="str">
        <x:v>https://drug.fda.moph.go.th/media.php?id=810412748335882240&amp;name=SMPC_Methylprednisolone_Powders for solutions for injections or infusions.pdf</x:v>
      </x:c>
      <x:c r="F265" s="31" t="str">
        <x:v>downloaded</x:v>
      </x:c>
      <x:c r="G265" s="31" t="str">
        <x:v>text_extracted</x:v>
      </x:c>
      <x:c r="H265" s="31" t="n">
        <x:v>31</x:v>
      </x:c>
    </x:row>
    <x:row r="266">
      <x:c r="A266" s="31" t="str">
        <x:v>r0234_pil</x:v>
      </x:c>
      <x:c r="B266" s="31" t="str">
        <x:v>metoclopramide</x:v>
      </x:c>
      <x:c r="C266" s="31" t="str">
        <x:v>PIL</x:v>
      </x:c>
      <x:c r="D266" s="31" t="str">
        <x:v>2025-03-19</x:v>
      </x:c>
      <x:c r="E266" s="37" t="str">
        <x:v>https://drug.fda.moph.go.th/media.php?id=808598096819920896&amp;name=MetoclopramideHydrochloride_compressedTablet_PIL.pdf</x:v>
      </x:c>
      <x:c r="F266" s="31" t="str">
        <x:v>downloaded</x:v>
      </x:c>
      <x:c r="G266" s="31" t="str">
        <x:v>text_extracted</x:v>
      </x:c>
      <x:c r="H266" s="31" t="n">
        <x:v>3</x:v>
      </x:c>
    </x:row>
    <x:row r="267">
      <x:c r="A267" s="31" t="str">
        <x:v>r0235_pil</x:v>
      </x:c>
      <x:c r="B267" s="31" t="str">
        <x:v>metoclopramide</x:v>
      </x:c>
      <x:c r="C267" s="31" t="str">
        <x:v>PIL</x:v>
      </x:c>
      <x:c r="D267" s="31" t="str">
        <x:v>2023-08-04</x:v>
      </x:c>
      <x:c r="E267" s="37" t="str">
        <x:v>https://drug.fda.moph.go.th/media.php?id=730441114384998400&amp;name=pil_Metoclopramide hydrochloride (SYRUP 5 mg,5 ml).pdf</x:v>
      </x:c>
      <x:c r="F267" s="31" t="str">
        <x:v>downloaded</x:v>
      </x:c>
      <x:c r="G267" s="31" t="str">
        <x:v>text_extracted</x:v>
      </x:c>
      <x:c r="H267" s="31" t="n">
        <x:v>1</x:v>
      </x:c>
    </x:row>
    <x:row r="268">
      <x:c r="A268" s="31" t="str">
        <x:v>r0236_pil</x:v>
      </x:c>
      <x:c r="B268" s="31" t="str">
        <x:v>metoclopramide</x:v>
      </x:c>
      <x:c r="C268" s="31" t="str">
        <x:v>PIL</x:v>
      </x:c>
      <x:c r="D268" s="31" t="str">
        <x:v>2023-08-04</x:v>
      </x:c>
      <x:c r="E268" s="37" t="str">
        <x:v>https://drug.fda.moph.go.th/media.php?id=730441069484974080&amp;name=pil_Metoclopramide hydrochloride (TABLET 10 mg).pdf</x:v>
      </x:c>
      <x:c r="F268" s="31" t="str">
        <x:v>downloaded</x:v>
      </x:c>
      <x:c r="G268" s="31" t="str">
        <x:v>text_extracted</x:v>
      </x:c>
      <x:c r="H268" s="31" t="n">
        <x:v>1</x:v>
      </x:c>
    </x:row>
    <x:row r="269">
      <x:c r="A269" s="31" t="str">
        <x:v>r0236_smpc</x:v>
      </x:c>
      <x:c r="B269" s="31" t="str">
        <x:v>metoclopramide</x:v>
      </x:c>
      <x:c r="C269" s="31" t="str">
        <x:v>SMPC</x:v>
      </x:c>
      <x:c r="D269" s="31" t="str">
        <x:v>2024-11-26</x:v>
      </x:c>
      <x:c r="E269" s="37" t="str">
        <x:v>https://drug.fda.moph.go.th/media.php?id=810414829838934016&amp;name=SMPC_Metoclopramide_Tablets.pdf</x:v>
      </x:c>
      <x:c r="F269" s="31" t="str">
        <x:v>downloaded</x:v>
      </x:c>
      <x:c r="G269" s="31" t="str">
        <x:v>text_extracted</x:v>
      </x:c>
      <x:c r="H269" s="31" t="n">
        <x:v>15</x:v>
      </x:c>
    </x:row>
    <x:row r="270">
      <x:c r="A270" s="31" t="str">
        <x:v>r0237_smpc</x:v>
      </x:c>
      <x:c r="B270" s="31" t="str">
        <x:v>metoclopramide</x:v>
      </x:c>
      <x:c r="C270" s="31" t="str">
        <x:v>SMPC</x:v>
      </x:c>
      <x:c r="D270" s="31" t="str">
        <x:v>2024-11-26</x:v>
      </x:c>
      <x:c r="E270" s="37" t="str">
        <x:v>https://drug.fda.moph.go.th/media.php?id=810415338977107968&amp;name=SMPC_Metoclopramide_solution for infusion.pdf</x:v>
      </x:c>
      <x:c r="F270" s="31" t="str">
        <x:v>downloaded</x:v>
      </x:c>
      <x:c r="G270" s="31" t="str">
        <x:v>text_extracted</x:v>
      </x:c>
      <x:c r="H270" s="31" t="n">
        <x:v>19</x:v>
      </x:c>
    </x:row>
    <x:row r="271">
      <x:c r="A271" s="31" t="str">
        <x:v>r0238_smpc</x:v>
      </x:c>
      <x:c r="B271" s="31" t="str">
        <x:v>metoclopramide</x:v>
      </x:c>
      <x:c r="C271" s="31" t="str">
        <x:v>SMPC</x:v>
      </x:c>
      <x:c r="D271" s="31" t="str">
        <x:v>2024-11-26</x:v>
      </x:c>
      <x:c r="E271" s="37" t="str">
        <x:v>https://drug.fda.moph.go.th/media.php?id=810416020589256704&amp;name=SMPC_Metoclopramide_Oral Solution.pdf</x:v>
      </x:c>
      <x:c r="F271" s="31" t="str">
        <x:v>downloaded</x:v>
      </x:c>
      <x:c r="G271" s="31" t="str">
        <x:v>text_extracted</x:v>
      </x:c>
      <x:c r="H271" s="31" t="n">
        <x:v>13</x:v>
      </x:c>
    </x:row>
    <x:row r="272">
      <x:c r="A272" s="31" t="str">
        <x:v>r0239_pil</x:v>
      </x:c>
      <x:c r="B272" s="31" t="str">
        <x:v>metronidazole</x:v>
      </x:c>
      <x:c r="C272" s="31" t="str">
        <x:v>PIL</x:v>
      </x:c>
      <x:c r="D272" s="31" t="str">
        <x:v>2025-03-19</x:v>
      </x:c>
      <x:c r="E272" s="37" t="str">
        <x:v>https://drug.fda.moph.go.th/media.php?id=808598399409594368&amp;name=Metronidazole_compressedTabletFilmeCoatedTablet_PIL.pdf</x:v>
      </x:c>
      <x:c r="F272" s="31" t="str">
        <x:v>downloaded</x:v>
      </x:c>
      <x:c r="G272" s="31" t="str">
        <x:v>text_extracted</x:v>
      </x:c>
      <x:c r="H272" s="31" t="n">
        <x:v>3</x:v>
      </x:c>
    </x:row>
    <x:row r="273">
      <x:c r="A273" s="31" t="str">
        <x:v>r0239_smpc</x:v>
      </x:c>
      <x:c r="B273" s="31" t="str">
        <x:v>metronidazole</x:v>
      </x:c>
      <x:c r="C273" s="31" t="str">
        <x:v>SMPC</x:v>
      </x:c>
      <x:c r="D273" s="31" t="str">
        <x:v>2024-11-29</x:v>
      </x:c>
      <x:c r="E273" s="37" t="str">
        <x:v>https://drug.fda.moph.go.th/media.php?id=810416555195244544&amp;name=SMPC_Metronidazole_Tablets.pdf</x:v>
      </x:c>
      <x:c r="F273" s="31" t="str">
        <x:v>downloaded</x:v>
      </x:c>
      <x:c r="G273" s="31" t="str">
        <x:v>text_extracted</x:v>
      </x:c>
      <x:c r="H273" s="31" t="n">
        <x:v>13</x:v>
      </x:c>
    </x:row>
    <x:row r="274">
      <x:c r="A274" s="31" t="str">
        <x:v>r0240_smpc</x:v>
      </x:c>
      <x:c r="B274" s="31" t="str">
        <x:v>metronidazole</x:v>
      </x:c>
      <x:c r="C274" s="31" t="str">
        <x:v>SMPC</x:v>
      </x:c>
      <x:c r="D274" s="31" t="str">
        <x:v>2024-11-29</x:v>
      </x:c>
      <x:c r="E274" s="37" t="str">
        <x:v>https://drug.fda.moph.go.th/media.php?id=810416973254107136&amp;name=SMPC_Metronidazole_Solutions for injections or infusions.pdf</x:v>
      </x:c>
      <x:c r="F274" s="31" t="str">
        <x:v>downloaded</x:v>
      </x:c>
      <x:c r="G274" s="31" t="str">
        <x:v>text_extracted</x:v>
      </x:c>
      <x:c r="H274" s="31" t="n">
        <x:v>18</x:v>
      </x:c>
    </x:row>
    <x:row r="275">
      <x:c r="A275" s="31" t="str">
        <x:v>r0241_smpc</x:v>
      </x:c>
      <x:c r="B275" s="31" t="str">
        <x:v>mianserin</x:v>
      </x:c>
      <x:c r="C275" s="31" t="str">
        <x:v>SMPC</x:v>
      </x:c>
      <x:c r="D275" s="31" t="str">
        <x:v>2024-11-29</x:v>
      </x:c>
      <x:c r="E275" s="37" t="str">
        <x:v>https://drug.fda.moph.go.th/media.php?id=810417450431684608&amp;name=SMPC_Mianserin_Tablets.pdf</x:v>
      </x:c>
      <x:c r="F275" s="31" t="str">
        <x:v>downloaded</x:v>
      </x:c>
      <x:c r="G275" s="31" t="str">
        <x:v>text_extracted</x:v>
      </x:c>
      <x:c r="H275" s="31" t="n">
        <x:v>14</x:v>
      </x:c>
    </x:row>
    <x:row r="276">
      <x:c r="A276" s="31" t="str">
        <x:v>r0242_smpc</x:v>
      </x:c>
      <x:c r="B276" s="31" t="str">
        <x:v>miconazole</x:v>
      </x:c>
      <x:c r="C276" s="31" t="str">
        <x:v>SMPC</x:v>
      </x:c>
      <x:c r="D276" s="31" t="str">
        <x:v>2024-11-22</x:v>
      </x:c>
      <x:c r="E276" s="37" t="str">
        <x:v>https://drug.fda.moph.go.th/media.php?id=810417927433101312&amp;name=SMPC_Miconazole_Oral gel.pdf</x:v>
      </x:c>
      <x:c r="F276" s="31" t="str">
        <x:v>downloaded</x:v>
      </x:c>
      <x:c r="G276" s="31" t="str">
        <x:v>text_extracted</x:v>
      </x:c>
      <x:c r="H276" s="31" t="n">
        <x:v>11</x:v>
      </x:c>
    </x:row>
    <x:row r="277">
      <x:c r="A277" s="31" t="str">
        <x:v>r0243_smpc</x:v>
      </x:c>
      <x:c r="B277" s="31" t="str">
        <x:v>miconazole</x:v>
      </x:c>
      <x:c r="C277" s="31" t="str">
        <x:v>SMPC</x:v>
      </x:c>
      <x:c r="D277" s="31" t="str">
        <x:v>2024-11-26</x:v>
      </x:c>
      <x:c r="E277" s="37" t="str">
        <x:v>https://drug.fda.moph.go.th/media.php?id=810418354249670656&amp;name=SMPC_Miconazole_Cream.pdf</x:v>
      </x:c>
      <x:c r="F277" s="31" t="str">
        <x:v>downloaded</x:v>
      </x:c>
      <x:c r="G277" s="31" t="str">
        <x:v>text_extracted</x:v>
      </x:c>
      <x:c r="H277" s="31" t="n">
        <x:v>7</x:v>
      </x:c>
    </x:row>
    <x:row r="278">
      <x:c r="A278" s="31" t="str">
        <x:v>r0244_smpc</x:v>
      </x:c>
      <x:c r="B278" s="31" t="str">
        <x:v>miconazole_hydrocortisone</x:v>
      </x:c>
      <x:c r="C278" s="31" t="str">
        <x:v>SMPC</x:v>
      </x:c>
      <x:c r="D278" s="31" t="str">
        <x:v>2024-11-22</x:v>
      </x:c>
      <x:c r="E278" s="37" t="str">
        <x:v>https://drug.fda.moph.go.th/media.php?id=810418770794389504&amp;name=SMPC_Miconazole+hydrocortisone_Cream.pdf</x:v>
      </x:c>
      <x:c r="F278" s="31" t="str">
        <x:v>downloaded</x:v>
      </x:c>
      <x:c r="G278" s="31" t="str">
        <x:v>text_extracted</x:v>
      </x:c>
      <x:c r="H278" s="31" t="n">
        <x:v>10</x:v>
      </x:c>
    </x:row>
    <x:row r="279">
      <x:c r="A279" s="31" t="str">
        <x:v>r0245_pil</x:v>
      </x:c>
      <x:c r="B279" s="31" t="str">
        <x:v>milk_of_magnesia</x:v>
      </x:c>
      <x:c r="C279" s="31" t="str">
        <x:v>PIL</x:v>
      </x:c>
      <x:c r="D279" s="31" t="str">
        <x:v>2024-03-15</x:v>
      </x:c>
      <x:c r="E279" s="37" t="str">
        <x:v>https://drug.fda.moph.go.th/media.php?id=733942889922568192&amp;name=PIL_Milk of Magnesia_(15032024).pdf</x:v>
      </x:c>
      <x:c r="F279" s="31" t="str">
        <x:v>downloaded</x:v>
      </x:c>
      <x:c r="G279" s="31" t="str">
        <x:v>text_extracted</x:v>
      </x:c>
      <x:c r="H279" s="31" t="n">
        <x:v>1</x:v>
      </x:c>
    </x:row>
    <x:row r="280">
      <x:c r="A280" s="31" t="str">
        <x:v>r0246_pil</x:v>
      </x:c>
      <x:c r="B280" s="31" t="str">
        <x:v>minoxidil</x:v>
      </x:c>
      <x:c r="C280" s="31" t="str">
        <x:v>PIL</x:v>
      </x:c>
      <x:c r="D280" s="31" t="str">
        <x:v>2025-03-19</x:v>
      </x:c>
      <x:c r="E280" s="37" t="str">
        <x:v>https://drug.fda.moph.go.th/media.php?id=808598734081499136&amp;name=Minoxidil_2_LotionAqueoussolution_PIL.pdf</x:v>
      </x:c>
      <x:c r="F280" s="31" t="str">
        <x:v>downloaded</x:v>
      </x:c>
      <x:c r="G280" s="31" t="str">
        <x:v>text_extracted</x:v>
      </x:c>
      <x:c r="H280" s="31" t="n">
        <x:v>1</x:v>
      </x:c>
    </x:row>
    <x:row r="281">
      <x:c r="A281" s="31" t="str">
        <x:v>r0247_pil</x:v>
      </x:c>
      <x:c r="B281" s="31" t="str">
        <x:v>minoxidil</x:v>
      </x:c>
      <x:c r="C281" s="31" t="str">
        <x:v>PIL</x:v>
      </x:c>
      <x:c r="D281" s="31" t="str">
        <x:v>2026-06-08</x:v>
      </x:c>
      <x:c r="E281" s="37" t="str">
        <x:v>https://drug.fda.moph.go.th/media.php?id=904601734335307776&amp;name=10. Ref PIL_Minoxidil lotion 5_.pdf</x:v>
      </x:c>
      <x:c r="F281" s="31" t="str">
        <x:v>downloaded</x:v>
      </x:c>
      <x:c r="G281" s="31" t="str">
        <x:v>text_extracted</x:v>
      </x:c>
      <x:c r="H281" s="31" t="n">
        <x:v>1</x:v>
      </x:c>
    </x:row>
    <x:row r="282">
      <x:c r="A282" s="31" t="str">
        <x:v>r0248_pil</x:v>
      </x:c>
      <x:c r="B282" s="31" t="str">
        <x:v>minoxidil</x:v>
      </x:c>
      <x:c r="C282" s="31" t="str">
        <x:v>PIL</x:v>
      </x:c>
      <x:c r="D282" s="31" t="str">
        <x:v>2025-03-19</x:v>
      </x:c>
      <x:c r="E282" s="37" t="str">
        <x:v>https://drug.fda.moph.go.th/media.php?id=808599071341289472&amp;name=Minoxidil_tablet_PIL.pdf</x:v>
      </x:c>
      <x:c r="F282" s="31" t="str">
        <x:v>downloaded</x:v>
      </x:c>
      <x:c r="G282" s="31" t="str">
        <x:v>text_extracted</x:v>
      </x:c>
      <x:c r="H282" s="31" t="n">
        <x:v>1</x:v>
      </x:c>
    </x:row>
    <x:row r="283">
      <x:c r="A283" s="31" t="str">
        <x:v>r0249_smpc</x:v>
      </x:c>
      <x:c r="B283" s="31" t="str">
        <x:v>mucopolysaccharide_polysulphate</x:v>
      </x:c>
      <x:c r="C283" s="31" t="str">
        <x:v>SMPC</x:v>
      </x:c>
      <x:c r="D283" s="31" t="str">
        <x:v>2024-11-27</x:v>
      </x:c>
      <x:c r="E283" s="37" t="str">
        <x:v>https://drug.fda.moph.go.th/media.php?id=810420646990454784&amp;name=SMPC_Mucopolysaccharide _Cream.pdf</x:v>
      </x:c>
      <x:c r="F283" s="31" t="str">
        <x:v>downloaded</x:v>
      </x:c>
      <x:c r="G283" s="31" t="str">
        <x:v>text_extracted</x:v>
      </x:c>
      <x:c r="H283" s="31" t="n">
        <x:v>6</x:v>
      </x:c>
    </x:row>
    <x:row r="284">
      <x:c r="A284" s="31" t="str">
        <x:v>r0250_pil</x:v>
      </x:c>
      <x:c r="B284" s="31" t="str">
        <x:v>multivitamin</x:v>
      </x:c>
      <x:c r="C284" s="31" t="str">
        <x:v>PIL</x:v>
      </x:c>
      <x:c r="D284" s="31" t="str">
        <x:v>2025-03-19</x:v>
      </x:c>
      <x:c r="E284" s="37" t="str">
        <x:v>https://drug.fda.moph.go.th/media.php?id=808599891721986048&amp;name=Multivitamin_drop_PIL.pdf</x:v>
      </x:c>
      <x:c r="F284" s="31" t="str">
        <x:v>downloaded</x:v>
      </x:c>
      <x:c r="G284" s="31" t="str">
        <x:v>text_extracted</x:v>
      </x:c>
      <x:c r="H284" s="31" t="n">
        <x:v>2</x:v>
      </x:c>
    </x:row>
    <x:row r="285">
      <x:c r="A285" s="31" t="str">
        <x:v>r0251_pil</x:v>
      </x:c>
      <x:c r="B285" s="31" t="str">
        <x:v>multivitamin</x:v>
      </x:c>
      <x:c r="C285" s="31" t="str">
        <x:v>PIL</x:v>
      </x:c>
      <x:c r="D285" s="31" t="str">
        <x:v>2025-03-19</x:v>
      </x:c>
      <x:c r="E285" s="37" t="str">
        <x:v>https://drug.fda.moph.go.th/media.php?id=808600132265320448&amp;name=Multivitamin_syrup_PIL.pdf</x:v>
      </x:c>
      <x:c r="F285" s="31" t="str">
        <x:v>downloaded</x:v>
      </x:c>
      <x:c r="G285" s="31" t="str">
        <x:v>text_extracted</x:v>
      </x:c>
      <x:c r="H285" s="31" t="n">
        <x:v>2</x:v>
      </x:c>
    </x:row>
    <x:row r="286">
      <x:c r="A286" s="31" t="str">
        <x:v>r0252_pil</x:v>
      </x:c>
      <x:c r="B286" s="31" t="str">
        <x:v>multivitamins</x:v>
      </x:c>
      <x:c r="C286" s="31" t="str">
        <x:v>PIL</x:v>
      </x:c>
      <x:c r="D286" s="31" t="str">
        <x:v>2024-04-10</x:v>
      </x:c>
      <x:c r="E286" s="37" t="str">
        <x:v>https://drug.fda.moph.go.th/media.php?id=733942030962663424&amp;name=56 PIL_Multivitamins ชนิดเม็ดและแคปซูล_(11042024).pdf</x:v>
      </x:c>
      <x:c r="F286" s="31" t="str">
        <x:v>downloaded</x:v>
      </x:c>
      <x:c r="G286" s="31" t="str">
        <x:v>text_extracted</x:v>
      </x:c>
      <x:c r="H286" s="31" t="n">
        <x:v>1</x:v>
      </x:c>
    </x:row>
    <x:row r="287">
      <x:c r="A287" s="31" t="str">
        <x:v>r0253_smpc</x:v>
      </x:c>
      <x:c r="B287" s="31" t="str">
        <x:v>naproxen</x:v>
      </x:c>
      <x:c r="C287" s="31" t="str">
        <x:v>SMPC</x:v>
      </x:c>
      <x:c r="D287" s="31" t="str">
        <x:v>2024-11-29</x:v>
      </x:c>
      <x:c r="E287" s="37" t="str">
        <x:v>https://drug.fda.moph.go.th/media.php?id=810422587254513664&amp;name=SMPC_Naproxen_Tablets.pdf</x:v>
      </x:c>
      <x:c r="F287" s="31" t="str">
        <x:v>downloaded</x:v>
      </x:c>
      <x:c r="G287" s="31" t="str">
        <x:v>text_extracted</x:v>
      </x:c>
      <x:c r="H287" s="31" t="n">
        <x:v>18</x:v>
      </x:c>
    </x:row>
    <x:row r="288">
      <x:c r="A288" s="31" t="str">
        <x:v>r0254_pil</x:v>
      </x:c>
      <x:c r="B288" s="31" t="str">
        <x:v>nicotinic_acid</x:v>
      </x:c>
      <x:c r="C288" s="31" t="str">
        <x:v>PIL</x:v>
      </x:c>
      <x:c r="D288" s="31" t="str">
        <x:v>2023-11-09</x:v>
      </x:c>
      <x:c r="E288" s="37" t="str">
        <x:v>https://drug.fda.moph.go.th/media.php?id=730445941231984640&amp;name=pil_Nicotinic acid (TABLET).pdf</x:v>
      </x:c>
      <x:c r="F288" s="31" t="str">
        <x:v>downloaded</x:v>
      </x:c>
      <x:c r="G288" s="31" t="str">
        <x:v>text_extracted</x:v>
      </x:c>
      <x:c r="H288" s="31" t="n">
        <x:v>1</x:v>
      </x:c>
    </x:row>
    <x:row r="289">
      <x:c r="A289" s="31" t="str">
        <x:v>r0255_smpc</x:v>
      </x:c>
      <x:c r="B289" s="31" t="str">
        <x:v>nimodipine</x:v>
      </x:c>
      <x:c r="C289" s="31" t="str">
        <x:v>SMPC</x:v>
      </x:c>
      <x:c r="D289" s="31" t="str">
        <x:v>2024-11-22</x:v>
      </x:c>
      <x:c r="E289" s="37" t="str">
        <x:v>https://drug.fda.moph.go.th/media.php?id=810423093272125440&amp;name=SMPC_Nimodipine_Solution for Infusion.pdf</x:v>
      </x:c>
      <x:c r="F289" s="31" t="str">
        <x:v>downloaded</x:v>
      </x:c>
      <x:c r="G289" s="31" t="str">
        <x:v>text_extracted</x:v>
      </x:c>
      <x:c r="H289" s="31" t="n">
        <x:v>13</x:v>
      </x:c>
    </x:row>
    <x:row r="290">
      <x:c r="A290" s="31" t="str">
        <x:v>r0256_smpc</x:v>
      </x:c>
      <x:c r="B290" s="31" t="str">
        <x:v>norethisterone_ethinylestradiol</x:v>
      </x:c>
      <x:c r="C290" s="31" t="str">
        <x:v>SMPC</x:v>
      </x:c>
      <x:c r="D290" s="31" t="str">
        <x:v>2025-05-14</x:v>
      </x:c>
      <x:c r="E290" s="37" t="str">
        <x:v>https://drug.fda.moph.go.th/media.php?id=810423555446677504&amp;name=SMPC_Norethisterone+ethinylestradiol_Tablets.pdf</x:v>
      </x:c>
      <x:c r="F290" s="31" t="str">
        <x:v>downloaded</x:v>
      </x:c>
      <x:c r="G290" s="31" t="str">
        <x:v>text_extracted</x:v>
      </x:c>
      <x:c r="H290" s="31" t="n">
        <x:v>13</x:v>
      </x:c>
    </x:row>
    <x:row r="291">
      <x:c r="A291" s="31" t="str">
        <x:v>r0257_smpc</x:v>
      </x:c>
      <x:c r="B291" s="31" t="str">
        <x:v>nortriptyline</x:v>
      </x:c>
      <x:c r="C291" s="31" t="str">
        <x:v>SMPC</x:v>
      </x:c>
      <x:c r="D291" s="31" t="str">
        <x:v>2024-11-27</x:v>
      </x:c>
      <x:c r="E291" s="37" t="str">
        <x:v>https://drug.fda.moph.go.th/media.php?id=810424052261986304&amp;name=SMPC_Nortriptyline_Film-coated Tablet.pdf</x:v>
      </x:c>
      <x:c r="F291" s="31" t="str">
        <x:v>downloaded</x:v>
      </x:c>
      <x:c r="G291" s="31" t="str">
        <x:v>text_extracted</x:v>
      </x:c>
      <x:c r="H291" s="31" t="n">
        <x:v>20</x:v>
      </x:c>
    </x:row>
    <x:row r="292">
      <x:c r="A292" s="31" t="str">
        <x:v>r0258_pil</x:v>
      </x:c>
      <x:c r="B292" s="31" t="str">
        <x:v>nystatin</x:v>
      </x:c>
      <x:c r="C292" s="31" t="str">
        <x:v>PIL</x:v>
      </x:c>
      <x:c r="D292" s="31" t="str">
        <x:v>2023-11-09</x:v>
      </x:c>
      <x:c r="E292" s="37" t="str">
        <x:v>https://drug.fda.moph.go.th/media.php?id=730446059045789696&amp;name=pil_Nystatin(VAGINAL SUPPOSITORIES).pdf</x:v>
      </x:c>
      <x:c r="F292" s="31" t="str">
        <x:v>downloaded</x:v>
      </x:c>
      <x:c r="G292" s="31" t="str">
        <x:v>text_extracted</x:v>
      </x:c>
      <x:c r="H292" s="31" t="n">
        <x:v>2</x:v>
      </x:c>
    </x:row>
    <x:row r="293">
      <x:c r="A293" s="31" t="str">
        <x:v>r0259_smpc</x:v>
      </x:c>
      <x:c r="B293" s="31" t="str">
        <x:v>nystatin</x:v>
      </x:c>
      <x:c r="C293" s="31" t="str">
        <x:v>SMPC</x:v>
      </x:c>
      <x:c r="D293" s="31" t="str">
        <x:v>2024-11-21</x:v>
      </x:c>
      <x:c r="E293" s="37" t="str">
        <x:v>https://drug.fda.moph.go.th/media.php?id=810424746264109056&amp;name=SMPC_Nystatin_Vaginal Tablets.pdf</x:v>
      </x:c>
      <x:c r="F293" s="31" t="str">
        <x:v>downloaded</x:v>
      </x:c>
      <x:c r="G293" s="31" t="str">
        <x:v>text_extracted</x:v>
      </x:c>
      <x:c r="H293" s="31" t="n">
        <x:v>4</x:v>
      </x:c>
    </x:row>
    <x:row r="294">
      <x:c r="A294" s="31" t="str">
        <x:v>r0260_smpc</x:v>
      </x:c>
      <x:c r="B294" s="31" t="str">
        <x:v>ofloxacin</x:v>
      </x:c>
      <x:c r="C294" s="31" t="str">
        <x:v>SMPC</x:v>
      </x:c>
      <x:c r="D294" s="31" t="str">
        <x:v>2024-11-26</x:v>
      </x:c>
      <x:c r="E294" s="37" t="str">
        <x:v>https://drug.fda.moph.go.th/media.php?id=810425338315284480&amp;name=SMPC_Ofloxacin_Film-coated Tablet.pdf</x:v>
      </x:c>
      <x:c r="F294" s="31" t="str">
        <x:v>downloaded</x:v>
      </x:c>
      <x:c r="G294" s="31" t="str">
        <x:v>text_extracted</x:v>
      </x:c>
      <x:c r="H294" s="31" t="n">
        <x:v>36</x:v>
      </x:c>
    </x:row>
    <x:row r="295">
      <x:c r="A295" s="31" t="str">
        <x:v>r0261_smpc</x:v>
      </x:c>
      <x:c r="B295" s="31" t="str">
        <x:v>ofloxacin</x:v>
      </x:c>
      <x:c r="C295" s="31" t="str">
        <x:v>SMPC</x:v>
      </x:c>
      <x:c r="D295" s="31" t="str">
        <x:v>2024-11-26</x:v>
      </x:c>
      <x:c r="E295" s="37" t="str">
        <x:v>https://drug.fda.moph.go.th/media.php?id=810425581312286720&amp;name=SMPC_Ofloxacin_Tablet.pdf</x:v>
      </x:c>
      <x:c r="F295" s="31" t="str">
        <x:v>downloaded</x:v>
      </x:c>
      <x:c r="G295" s="31" t="str">
        <x:v>text_extracted</x:v>
      </x:c>
      <x:c r="H295" s="31" t="n">
        <x:v>27</x:v>
      </x:c>
    </x:row>
    <x:row r="296">
      <x:c r="A296" s="31" t="str">
        <x:v>r0262_smpc</x:v>
      </x:c>
      <x:c r="B296" s="31" t="str">
        <x:v>omeprazole</x:v>
      </x:c>
      <x:c r="C296" s="31" t="str">
        <x:v>SMPC</x:v>
      </x:c>
      <x:c r="D296" s="31" t="str">
        <x:v>2024-11-22</x:v>
      </x:c>
      <x:c r="E296" s="37" t="str">
        <x:v>https://drug.fda.moph.go.th/media.php?id=810426319253938176&amp;name=SMPC_Omeprazole_Hard Gastro-resistant Capsule.pdf</x:v>
      </x:c>
      <x:c r="F296" s="31" t="str">
        <x:v>downloaded</x:v>
      </x:c>
      <x:c r="G296" s="31" t="str">
        <x:v>text_extracted</x:v>
      </x:c>
      <x:c r="H296" s="31" t="n">
        <x:v>23</x:v>
      </x:c>
    </x:row>
    <x:row r="297">
      <x:c r="A297" s="31" t="str">
        <x:v>r0263_pil</x:v>
      </x:c>
      <x:c r="B297" s="31" t="str">
        <x:v>oral_rehydration_salt</x:v>
      </x:c>
      <x:c r="C297" s="31" t="str">
        <x:v>PIL</x:v>
      </x:c>
      <x:c r="D297" s="31" t="str">
        <x:v>2024-03-15</x:v>
      </x:c>
      <x:c r="E297" s="37" t="str">
        <x:v>https://drug.fda.moph.go.th/media.php?id=733941522013233152&amp;name=PIL_Oral rehydration salt_ผงน้ำตาลเกลือแร่ (15032024).pdf</x:v>
      </x:c>
      <x:c r="F297" s="31" t="str">
        <x:v>downloaded</x:v>
      </x:c>
      <x:c r="G297" s="31" t="str">
        <x:v>text_extracted</x:v>
      </x:c>
      <x:c r="H297" s="31" t="n">
        <x:v>1</x:v>
      </x:c>
    </x:row>
    <x:row r="298">
      <x:c r="A298" s="31" t="str">
        <x:v>r0264_smpc</x:v>
      </x:c>
      <x:c r="B298" s="31" t="str">
        <x:v>oxytetracycline</x:v>
      </x:c>
      <x:c r="C298" s="31" t="str">
        <x:v>SMPC</x:v>
      </x:c>
      <x:c r="D298" s="31" t="str">
        <x:v>2024-11-29</x:v>
      </x:c>
      <x:c r="E298" s="37" t="str">
        <x:v>https://drug.fda.moph.go.th/media.php?id=810426784758767616&amp;name=SMPC_Oxytetracycline_Capsules.pdf</x:v>
      </x:c>
      <x:c r="F298" s="31" t="str">
        <x:v>downloaded</x:v>
      </x:c>
      <x:c r="G298" s="31" t="str">
        <x:v>text_extracted</x:v>
      </x:c>
      <x:c r="H298" s="31" t="n">
        <x:v>11</x:v>
      </x:c>
    </x:row>
    <x:row r="299">
      <x:c r="A299" s="31" t="str">
        <x:v>r0265_pil</x:v>
      </x:c>
      <x:c r="B299" s="31" t="str">
        <x:v>paracetamol</x:v>
      </x:c>
      <x:c r="C299" s="31" t="str">
        <x:v>PIL</x:v>
      </x:c>
      <x:c r="D299" s="31" t="str">
        <x:v>2025-03-19</x:v>
      </x:c>
      <x:c r="E299" s="37" t="str">
        <x:v>https://drug.fda.moph.go.th/media.php?id=808600728649211904&amp;name=Paracetamol_suspension_PIL.pdf</x:v>
      </x:c>
      <x:c r="F299" s="31" t="str">
        <x:v>downloaded</x:v>
      </x:c>
      <x:c r="G299" s="31" t="str">
        <x:v>text_extracted</x:v>
      </x:c>
      <x:c r="H299" s="31" t="n">
        <x:v>3</x:v>
      </x:c>
    </x:row>
    <x:row r="300">
      <x:c r="A300" s="31" t="str">
        <x:v>r0266_smpc</x:v>
      </x:c>
      <x:c r="B300" s="31" t="str">
        <x:v>paracetamol</x:v>
      </x:c>
      <x:c r="C300" s="31" t="str">
        <x:v>SMPC</x:v>
      </x:c>
      <x:c r="D300" s="31" t="str">
        <x:v>2024-11-27</x:v>
      </x:c>
      <x:c r="E300" s="37" t="str">
        <x:v>https://drug.fda.moph.go.th/media.php?id=810427720377966592&amp;name=SMPC_Paracetamol_Capsules.pdf</x:v>
      </x:c>
      <x:c r="F300" s="31" t="str">
        <x:v>downloaded</x:v>
      </x:c>
      <x:c r="G300" s="31" t="str">
        <x:v>text_extracted</x:v>
      </x:c>
      <x:c r="H300" s="31" t="n">
        <x:v>17</x:v>
      </x:c>
    </x:row>
    <x:row r="301">
      <x:c r="A301" s="31" t="str">
        <x:v>r0267_smpc</x:v>
      </x:c>
      <x:c r="B301" s="31" t="str">
        <x:v>paracetamol</x:v>
      </x:c>
      <x:c r="C301" s="31" t="str">
        <x:v>SMPC</x:v>
      </x:c>
      <x:c r="D301" s="31" t="str">
        <x:v>2024-11-27</x:v>
      </x:c>
      <x:c r="E301" s="37" t="str">
        <x:v>https://drug.fda.moph.go.th/media.php?id=810428236826812416&amp;name=SMPC_Paracetamol_Elixir.pdf</x:v>
      </x:c>
      <x:c r="F301" s="31" t="str">
        <x:v>downloaded</x:v>
      </x:c>
      <x:c r="G301" s="31" t="str">
        <x:v>text_extracted</x:v>
      </x:c>
      <x:c r="H301" s="31" t="n">
        <x:v>17</x:v>
      </x:c>
    </x:row>
    <x:row r="302">
      <x:c r="A302" s="31" t="str">
        <x:v>r0268_smpc</x:v>
      </x:c>
      <x:c r="B302" s="31" t="str">
        <x:v>paracetamol</x:v>
      </x:c>
      <x:c r="C302" s="31" t="str">
        <x:v>SMPC</x:v>
      </x:c>
      <x:c r="D302" s="31" t="str">
        <x:v>2024-11-27</x:v>
      </x:c>
      <x:c r="E302" s="37" t="str">
        <x:v>https://drug.fda.moph.go.th/media.php?id=810428697118121984&amp;name=SMPC_Paracetamol_Solutions for injections or infusions.pdf</x:v>
      </x:c>
      <x:c r="F302" s="31" t="str">
        <x:v>downloaded</x:v>
      </x:c>
      <x:c r="G302" s="31" t="str">
        <x:v>text_extracted</x:v>
      </x:c>
      <x:c r="H302" s="31" t="n">
        <x:v>21</x:v>
      </x:c>
    </x:row>
    <x:row r="303">
      <x:c r="A303" s="31" t="str">
        <x:v>r0269_smpc</x:v>
      </x:c>
      <x:c r="B303" s="31" t="str">
        <x:v>paracetamol</x:v>
      </x:c>
      <x:c r="C303" s="31" t="str">
        <x:v>SMPC</x:v>
      </x:c>
      <x:c r="D303" s="31" t="str">
        <x:v>2024-11-27</x:v>
      </x:c>
      <x:c r="E303" s="37" t="str">
        <x:v>https://drug.fda.moph.go.th/media.php?id=810429112165474304&amp;name=SMPC_Paracetamol_Syrup.pdf</x:v>
      </x:c>
      <x:c r="F303" s="31" t="str">
        <x:v>downloaded</x:v>
      </x:c>
      <x:c r="G303" s="31" t="str">
        <x:v>text_extracted</x:v>
      </x:c>
      <x:c r="H303" s="31" t="n">
        <x:v>17</x:v>
      </x:c>
    </x:row>
    <x:row r="304">
      <x:c r="A304" s="31" t="str">
        <x:v>r0270_pil</x:v>
      </x:c>
      <x:c r="B304" s="31" t="str">
        <x:v>paracetamol</x:v>
      </x:c>
      <x:c r="C304" s="31" t="str">
        <x:v>PIL</x:v>
      </x:c>
      <x:c r="D304" s="31"/>
      <x:c r="E304" s="37" t="str">
        <x:v>https://drug.fda.moph.go.th/media.php?id=733925689249636352&amp;name=PIL_para 120mg-5ml Syr.pdf</x:v>
      </x:c>
      <x:c r="F304" s="31" t="str">
        <x:v>downloaded</x:v>
      </x:c>
      <x:c r="G304" s="31" t="str">
        <x:v>text_extracted</x:v>
      </x:c>
      <x:c r="H304" s="31" t="n">
        <x:v>1</x:v>
      </x:c>
    </x:row>
    <x:row r="305">
      <x:c r="A305" s="31" t="str">
        <x:v>r0271_pil</x:v>
      </x:c>
      <x:c r="B305" s="31" t="str">
        <x:v>paracetamol</x:v>
      </x:c>
      <x:c r="C305" s="31" t="str">
        <x:v>PIL</x:v>
      </x:c>
      <x:c r="D305" s="31"/>
      <x:c r="E305" s="37" t="str">
        <x:v>https://drug.fda.moph.go.th/media.php?id=733925715686334464&amp;name=PIL_para 325 mg tab.pdf</x:v>
      </x:c>
      <x:c r="F305" s="31" t="str">
        <x:v>downloaded</x:v>
      </x:c>
      <x:c r="G305" s="31" t="str">
        <x:v>text_extracted</x:v>
      </x:c>
      <x:c r="H305" s="31" t="n">
        <x:v>1</x:v>
      </x:c>
    </x:row>
    <x:row r="306">
      <x:c r="A306" s="31" t="str">
        <x:v>r0272_pil</x:v>
      </x:c>
      <x:c r="B306" s="31" t="str">
        <x:v>paracetamol</x:v>
      </x:c>
      <x:c r="C306" s="31" t="str">
        <x:v>PIL</x:v>
      </x:c>
      <x:c r="D306" s="31"/>
      <x:c r="E306" s="37" t="str">
        <x:v>https://drug.fda.moph.go.th/media.php?id=733925745348452352&amp;name=PIL_para 500 mg tab.pdf</x:v>
      </x:c>
      <x:c r="F306" s="31" t="str">
        <x:v>downloaded</x:v>
      </x:c>
      <x:c r="G306" s="31" t="str">
        <x:v>text_extracted</x:v>
      </x:c>
      <x:c r="H306" s="31" t="n">
        <x:v>1</x:v>
      </x:c>
    </x:row>
    <x:row r="307">
      <x:c r="A307" s="31" t="str">
        <x:v>r0273_smpc</x:v>
      </x:c>
      <x:c r="B307" s="31" t="str">
        <x:v>paracetamol</x:v>
      </x:c>
      <x:c r="C307" s="31" t="str">
        <x:v>SMPC</x:v>
      </x:c>
      <x:c r="D307" s="31" t="str">
        <x:v>2024-11-27</x:v>
      </x:c>
      <x:c r="E307" s="37" t="str">
        <x:v>https://drug.fda.moph.go.th/media.php?id=810429959502962688&amp;name=SMPC_Paracetamol_suspension.pdf</x:v>
      </x:c>
      <x:c r="F307" s="31" t="str">
        <x:v>downloaded</x:v>
      </x:c>
      <x:c r="G307" s="31" t="str">
        <x:v>text_extracted</x:v>
      </x:c>
      <x:c r="H307" s="31" t="n">
        <x:v>17</x:v>
      </x:c>
    </x:row>
    <x:row r="308">
      <x:c r="A308" s="31" t="str">
        <x:v>r0274_smpc</x:v>
      </x:c>
      <x:c r="B308" s="31" t="str">
        <x:v>paracetamol</x:v>
      </x:c>
      <x:c r="C308" s="31" t="str">
        <x:v>SMPC</x:v>
      </x:c>
      <x:c r="D308" s="31" t="str">
        <x:v>2024-11-27</x:v>
      </x:c>
      <x:c r="E308" s="37" t="str">
        <x:v>https://drug.fda.moph.go.th/media.php?id=810430466103582720&amp;name=SMPC_Paracetamol_Tablet.pdf</x:v>
      </x:c>
      <x:c r="F308" s="31" t="str">
        <x:v>downloaded</x:v>
      </x:c>
      <x:c r="G308" s="31" t="str">
        <x:v>text_extracted</x:v>
      </x:c>
      <x:c r="H308" s="31" t="n">
        <x:v>17</x:v>
      </x:c>
    </x:row>
    <x:row r="309">
      <x:c r="A309" s="31" t="str">
        <x:v>r0275_smpc</x:v>
      </x:c>
      <x:c r="B309" s="31" t="str">
        <x:v>peppermint_water</x:v>
      </x:c>
      <x:c r="C309" s="31" t="str">
        <x:v>SMPC</x:v>
      </x:c>
      <x:c r="D309" s="31" t="str">
        <x:v>2024-11-26</x:v>
      </x:c>
      <x:c r="E309" s="37" t="str">
        <x:v>https://drug.fda.moph.go.th/media.php?id=810431145572442112&amp;name=SMPC_Peppermint oil_solution.pdf</x:v>
      </x:c>
      <x:c r="F309" s="31" t="str">
        <x:v>downloaded</x:v>
      </x:c>
      <x:c r="G309" s="31" t="str">
        <x:v>text_extracted</x:v>
      </x:c>
      <x:c r="H309" s="31" t="n">
        <x:v>5</x:v>
      </x:c>
    </x:row>
    <x:row r="310">
      <x:c r="A310" s="31" t="str">
        <x:v>r0276_smpc</x:v>
      </x:c>
      <x:c r="B310" s="31" t="str">
        <x:v>phenol</x:v>
      </x:c>
      <x:c r="C310" s="31" t="str">
        <x:v>SMPC</x:v>
      </x:c>
      <x:c r="D310" s="31" t="str">
        <x:v>2024-11-26</x:v>
      </x:c>
      <x:c r="E310" s="37" t="str">
        <x:v>https://drug.fda.moph.go.th/media.php?id=810431642043817984&amp;name=SMPC_Phenol_injection.pdf</x:v>
      </x:c>
      <x:c r="F310" s="31" t="str">
        <x:v>downloaded</x:v>
      </x:c>
      <x:c r="G310" s="31" t="str">
        <x:v>text_extracted</x:v>
      </x:c>
      <x:c r="H310" s="31" t="n">
        <x:v>5</x:v>
      </x:c>
    </x:row>
    <x:row r="311">
      <x:c r="A311" s="31" t="str">
        <x:v>r0277_smpc</x:v>
      </x:c>
      <x:c r="B311" s="31" t="str">
        <x:v>phenoxymethylpenicillin_penicillin_v</x:v>
      </x:c>
      <x:c r="C311" s="31" t="str">
        <x:v>SMPC</x:v>
      </x:c>
      <x:c r="D311" s="31" t="str">
        <x:v>2024-11-29</x:v>
      </x:c>
      <x:c r="E311" s="37" t="str">
        <x:v>https://drug.fda.moph.go.th/media.php?id=810432142491394048&amp;name=SMPC_Phenoxymethylpenicillin potassium_Dry syrup.pdf</x:v>
      </x:c>
      <x:c r="F311" s="31" t="str">
        <x:v>downloaded</x:v>
      </x:c>
      <x:c r="G311" s="31" t="str">
        <x:v>text_extracted</x:v>
      </x:c>
      <x:c r="H311" s="31" t="n">
        <x:v>11</x:v>
      </x:c>
    </x:row>
    <x:row r="312">
      <x:c r="A312" s="31" t="str">
        <x:v>r0278_smpc</x:v>
      </x:c>
      <x:c r="B312" s="31" t="str">
        <x:v>pimozide</x:v>
      </x:c>
      <x:c r="C312" s="31" t="str">
        <x:v>SMPC</x:v>
      </x:c>
      <x:c r="D312" s="31" t="str">
        <x:v>2024-11-26</x:v>
      </x:c>
      <x:c r="E312" s="37" t="str">
        <x:v>https://drug.fda.moph.go.th/media.php?id=810432738745262080&amp;name=SMPC_Pimozide_Tablet.pdf</x:v>
      </x:c>
      <x:c r="F312" s="31" t="str">
        <x:v>downloaded</x:v>
      </x:c>
      <x:c r="G312" s="31" t="str">
        <x:v>text_extracted</x:v>
      </x:c>
      <x:c r="H312" s="31" t="n">
        <x:v>20</x:v>
      </x:c>
    </x:row>
    <x:row r="313">
      <x:c r="A313" s="31" t="str">
        <x:v>r0279_pil</x:v>
      </x:c>
      <x:c r="B313" s="31" t="str">
        <x:v>piroxicam</x:v>
      </x:c>
      <x:c r="C313" s="31" t="str">
        <x:v>PIL</x:v>
      </x:c>
      <x:c r="D313" s="31" t="str">
        <x:v>2025-03-19</x:v>
      </x:c>
      <x:c r="E313" s="37" t="str">
        <x:v>https://drug.fda.moph.go.th/media.php?id=808601251695697920&amp;name=Piroxicam_capsuleCompressedTabletFilmCoatedTabletSugarCoatedTablet_PIL.pdf</x:v>
      </x:c>
      <x:c r="F313" s="31" t="str">
        <x:v>downloaded</x:v>
      </x:c>
      <x:c r="G313" s="31" t="str">
        <x:v>text_extracted</x:v>
      </x:c>
      <x:c r="H313" s="31" t="n">
        <x:v>2</x:v>
      </x:c>
    </x:row>
    <x:row r="314">
      <x:c r="A314" s="31" t="str">
        <x:v>r0279_smpc</x:v>
      </x:c>
      <x:c r="B314" s="31" t="str">
        <x:v>piroxicam</x:v>
      </x:c>
      <x:c r="C314" s="31" t="str">
        <x:v>SMPC</x:v>
      </x:c>
      <x:c r="D314" s="31" t="str">
        <x:v>2024-11-27</x:v>
      </x:c>
      <x:c r="E314" s="37" t="str">
        <x:v>https://drug.fda.moph.go.th/media.php?id=810433390829510656&amp;name=SMPC_Piroxicam_Capsules.pdf</x:v>
      </x:c>
      <x:c r="F314" s="31" t="str">
        <x:v>downloaded</x:v>
      </x:c>
      <x:c r="G314" s="31" t="str">
        <x:v>text_extracted</x:v>
      </x:c>
      <x:c r="H314" s="31" t="n">
        <x:v>17</x:v>
      </x:c>
    </x:row>
    <x:row r="315">
      <x:c r="A315" s="31" t="str">
        <x:v>r0280_pil</x:v>
      </x:c>
      <x:c r="B315" s="31" t="str">
        <x:v>piroxicam</x:v>
      </x:c>
      <x:c r="C315" s="31" t="str">
        <x:v>PIL</x:v>
      </x:c>
      <x:c r="D315" s="31" t="str">
        <x:v>2025-03-19</x:v>
      </x:c>
      <x:c r="E315" s="37" t="str">
        <x:v>https://drug.fda.moph.go.th/media.php?id=808601251695697920&amp;name=Piroxicam_capsuleCompressedTabletFilmCoatedTabletSugarCoatedTablet_PIL.pdf</x:v>
      </x:c>
      <x:c r="F315" s="31" t="str">
        <x:v>downloaded</x:v>
      </x:c>
      <x:c r="G315" s="31" t="str">
        <x:v>text_extracted</x:v>
      </x:c>
      <x:c r="H315" s="31" t="n">
        <x:v>2</x:v>
      </x:c>
    </x:row>
    <x:row r="316">
      <x:c r="A316" s="31" t="str">
        <x:v>r0281_pil</x:v>
      </x:c>
      <x:c r="B316" s="31" t="str">
        <x:v>piroxicam</x:v>
      </x:c>
      <x:c r="C316" s="31" t="str">
        <x:v>PIL</x:v>
      </x:c>
      <x:c r="D316" s="31" t="str">
        <x:v>2025-03-19</x:v>
      </x:c>
      <x:c r="E316" s="37" t="str">
        <x:v>https://drug.fda.moph.go.th/media.php?id=808601251695697920&amp;name=Piroxicam_capsuleCompressedTabletFilmCoatedTabletSugarCoatedTablet_PIL.pdf</x:v>
      </x:c>
      <x:c r="F316" s="31" t="str">
        <x:v>downloaded</x:v>
      </x:c>
      <x:c r="G316" s="31" t="str">
        <x:v>text_extracted</x:v>
      </x:c>
      <x:c r="H316" s="31" t="n">
        <x:v>2</x:v>
      </x:c>
    </x:row>
    <x:row r="317">
      <x:c r="A317" s="31" t="str">
        <x:v>r0282_pil</x:v>
      </x:c>
      <x:c r="B317" s="31" t="str">
        <x:v>piroxicam</x:v>
      </x:c>
      <x:c r="C317" s="31" t="str">
        <x:v>PIL</x:v>
      </x:c>
      <x:c r="D317" s="31" t="str">
        <x:v>2025-03-19</x:v>
      </x:c>
      <x:c r="E317" s="37" t="str">
        <x:v>https://drug.fda.moph.go.th/media.php?id=808601251695697920&amp;name=Piroxicam_capsuleCompressedTabletFilmCoatedTabletSugarCoatedTablet_PIL.pdf</x:v>
      </x:c>
      <x:c r="F317" s="31" t="str">
        <x:v>downloaded</x:v>
      </x:c>
      <x:c r="G317" s="31" t="str">
        <x:v>text_extracted</x:v>
      </x:c>
      <x:c r="H317" s="31" t="n">
        <x:v>2</x:v>
      </x:c>
    </x:row>
    <x:row r="318">
      <x:c r="A318" s="31" t="str">
        <x:v>r0283_pil</x:v>
      </x:c>
      <x:c r="B318" s="31" t="str">
        <x:v>pizotifen_malate</x:v>
      </x:c>
      <x:c r="C318" s="31" t="str">
        <x:v>PIL</x:v>
      </x:c>
      <x:c r="D318" s="31" t="str">
        <x:v>2025-03-19</x:v>
      </x:c>
      <x:c r="E318" s="37" t="str">
        <x:v>https://drug.fda.moph.go.th/media.php?id=808604508509839360&amp;name=Pizotifen_sugarcoatedtablet-syrup_PIL.pdf</x:v>
      </x:c>
      <x:c r="F318" s="31" t="str">
        <x:v>downloaded</x:v>
      </x:c>
      <x:c r="G318" s="31" t="str">
        <x:v>text_extracted</x:v>
      </x:c>
      <x:c r="H318" s="31" t="n">
        <x:v>1</x:v>
      </x:c>
    </x:row>
    <x:row r="319">
      <x:c r="A319" s="31" t="str">
        <x:v>r0284_pil</x:v>
      </x:c>
      <x:c r="B319" s="31" t="str">
        <x:v>pizotifen_malate</x:v>
      </x:c>
      <x:c r="C319" s="31" t="str">
        <x:v>PIL</x:v>
      </x:c>
      <x:c r="D319" s="31" t="str">
        <x:v>2025-03-19</x:v>
      </x:c>
      <x:c r="E319" s="37" t="str">
        <x:v>https://drug.fda.moph.go.th/media.php?id=808604508509839360&amp;name=Pizotifen_sugarcoatedtablet-syrup_PIL.pdf</x:v>
      </x:c>
      <x:c r="F319" s="31" t="str">
        <x:v>downloaded</x:v>
      </x:c>
      <x:c r="G319" s="31" t="str">
        <x:v>text_extracted</x:v>
      </x:c>
      <x:c r="H319" s="31" t="n">
        <x:v>1</x:v>
      </x:c>
    </x:row>
    <x:row r="320">
      <x:c r="A320" s="31" t="str">
        <x:v>r0285_pil</x:v>
      </x:c>
      <x:c r="B320" s="31" t="str">
        <x:v>pizotifen_malate</x:v>
      </x:c>
      <x:c r="C320" s="31" t="str">
        <x:v>PIL</x:v>
      </x:c>
      <x:c r="D320" s="31" t="str">
        <x:v>2025-03-19</x:v>
      </x:c>
      <x:c r="E320" s="37" t="str">
        <x:v>https://drug.fda.moph.go.th/media.php?id=808604508509839360&amp;name=Pizotifen_sugarcoatedtablet-syrup_PIL.pdf</x:v>
      </x:c>
      <x:c r="F320" s="31" t="str">
        <x:v>downloaded</x:v>
      </x:c>
      <x:c r="G320" s="31" t="str">
        <x:v>text_extracted</x:v>
      </x:c>
      <x:c r="H320" s="31" t="n">
        <x:v>1</x:v>
      </x:c>
    </x:row>
    <x:row r="321">
      <x:c r="A321" s="31" t="str">
        <x:v>r0285_smpc</x:v>
      </x:c>
      <x:c r="B321" s="31" t="str">
        <x:v>pizotifen_malate</x:v>
      </x:c>
      <x:c r="C321" s="31" t="str">
        <x:v>SMPC</x:v>
      </x:c>
      <x:c r="D321" s="31" t="str">
        <x:v>2024-11-29</x:v>
      </x:c>
      <x:c r="E321" s="37" t="str">
        <x:v>https://drug.fda.moph.go.th/media.php?id=808607455159394304&amp;name=Pizotifen_tablet_SmPC.pdf</x:v>
      </x:c>
      <x:c r="F321" s="31" t="str">
        <x:v>downloaded</x:v>
      </x:c>
      <x:c r="G321" s="31" t="str">
        <x:v>text_extracted</x:v>
      </x:c>
      <x:c r="H321" s="31" t="n">
        <x:v>10</x:v>
      </x:c>
    </x:row>
    <x:row r="322">
      <x:c r="A322" s="31" t="str">
        <x:v>r0286_pil</x:v>
      </x:c>
      <x:c r="B322" s="31" t="str">
        <x:v>potassium_chloride</x:v>
      </x:c>
      <x:c r="C322" s="31" t="str">
        <x:v>PIL</x:v>
      </x:c>
      <x:c r="D322" s="31" t="str">
        <x:v>2023-11-09</x:v>
      </x:c>
      <x:c r="E322" s="37" t="str">
        <x:v>https://drug.fda.moph.go.th/media.php?id=730446222506205184&amp;name=pil_Potassium chloride(TABLET - ENTERIC COATED TABLET).pdf</x:v>
      </x:c>
      <x:c r="F322" s="31" t="str">
        <x:v>downloaded</x:v>
      </x:c>
      <x:c r="G322" s="31" t="str">
        <x:v>text_extracted</x:v>
      </x:c>
      <x:c r="H322" s="31" t="n">
        <x:v>1</x:v>
      </x:c>
    </x:row>
    <x:row r="323">
      <x:c r="A323" s="31" t="str">
        <x:v>r0287_smpc</x:v>
      </x:c>
      <x:c r="B323" s="31" t="str">
        <x:v>potassium_chloride</x:v>
      </x:c>
      <x:c r="C323" s="31" t="str">
        <x:v>SMPC</x:v>
      </x:c>
      <x:c r="D323" s="31" t="str">
        <x:v>2024-11-27</x:v>
      </x:c>
      <x:c r="E323" s="37" t="str">
        <x:v>https://drug.fda.moph.go.th/media.php?id=810436745484181504&amp;name=SMPC_Potassium Chloride_Concentrate for injection.pdf</x:v>
      </x:c>
      <x:c r="F323" s="31" t="str">
        <x:v>downloaded</x:v>
      </x:c>
      <x:c r="G323" s="31" t="str">
        <x:v>text_extracted</x:v>
      </x:c>
      <x:c r="H323" s="31" t="n">
        <x:v>6</x:v>
      </x:c>
    </x:row>
    <x:row r="324">
      <x:c r="A324" s="31" t="str">
        <x:v>r0288_pil</x:v>
      </x:c>
      <x:c r="B324" s="31" t="str">
        <x:v>povidone_iodine</x:v>
      </x:c>
      <x:c r="C324" s="31" t="str">
        <x:v>PIL</x:v>
      </x:c>
      <x:c r="D324" s="31" t="str">
        <x:v>2024-10-17</x:v>
      </x:c>
      <x:c r="E324" s="37" t="str">
        <x:v>https://drug.fda.moph.go.th/media.php?id=733926310765797376&amp;name=PIL ยาใส่แผลโพวิโดน-ไอโอดีน povidone-iodine (17102024).pdf</x:v>
      </x:c>
      <x:c r="F324" s="31" t="str">
        <x:v>downloaded</x:v>
      </x:c>
      <x:c r="G324" s="31" t="str">
        <x:v>text_extracted</x:v>
      </x:c>
      <x:c r="H324" s="31" t="n">
        <x:v>1</x:v>
      </x:c>
    </x:row>
    <x:row r="325">
      <x:c r="A325" s="31" t="str">
        <x:v>r0289_pil</x:v>
      </x:c>
      <x:c r="B325" s="31" t="str">
        <x:v>prazosin</x:v>
      </x:c>
      <x:c r="C325" s="31" t="str">
        <x:v>PIL</x:v>
      </x:c>
      <x:c r="D325" s="31" t="str">
        <x:v>2023-08-09</x:v>
      </x:c>
      <x:c r="E325" s="37" t="str">
        <x:v>https://drug.fda.moph.go.th/media.php?id=730446325333762048&amp;name=pil_Prazosin hydrochloride (TABLET 1 mg, 2 mg).pdf</x:v>
      </x:c>
      <x:c r="F325" s="31" t="str">
        <x:v>downloaded</x:v>
      </x:c>
      <x:c r="G325" s="31" t="str">
        <x:v>text_extracted</x:v>
      </x:c>
      <x:c r="H325" s="31" t="n">
        <x:v>1</x:v>
      </x:c>
    </x:row>
    <x:row r="326">
      <x:c r="A326" s="31" t="str">
        <x:v>r0289_smpc</x:v>
      </x:c>
      <x:c r="B326" s="31" t="str">
        <x:v>prazosin</x:v>
      </x:c>
      <x:c r="C326" s="31" t="str">
        <x:v>SMPC</x:v>
      </x:c>
      <x:c r="D326" s="31" t="str">
        <x:v>2024-11-26</x:v>
      </x:c>
      <x:c r="E326" s="37" t="str">
        <x:v>https://drug.fda.moph.go.th/media.php?id=810438580303437824&amp;name=SMPC_Prazosin_Tablets.pdf</x:v>
      </x:c>
      <x:c r="F326" s="31" t="str">
        <x:v>downloaded</x:v>
      </x:c>
      <x:c r="G326" s="31" t="str">
        <x:v>text_extracted</x:v>
      </x:c>
      <x:c r="H326" s="31" t="n">
        <x:v>17</x:v>
      </x:c>
    </x:row>
    <x:row r="327">
      <x:c r="A327" s="31" t="str">
        <x:v>r0290_pil</x:v>
      </x:c>
      <x:c r="B327" s="31" t="str">
        <x:v>prednisolone</x:v>
      </x:c>
      <x:c r="C327" s="31" t="str">
        <x:v>PIL</x:v>
      </x:c>
      <x:c r="D327" s="31" t="str">
        <x:v>2023-11-09</x:v>
      </x:c>
      <x:c r="E327" s="37" t="str">
        <x:v>https://drug.fda.moph.go.th/media.php?id=730446474630012928&amp;name=pil_Prednisolone (TABLET - CAPSULE, HARD).pdf</x:v>
      </x:c>
      <x:c r="F327" s="31" t="str">
        <x:v>downloaded</x:v>
      </x:c>
      <x:c r="G327" s="31" t="str">
        <x:v>text_extracted</x:v>
      </x:c>
      <x:c r="H327" s="31" t="n">
        <x:v>2</x:v>
      </x:c>
    </x:row>
    <x:row r="328">
      <x:c r="A328" s="31" t="str">
        <x:v>r0291_pil</x:v>
      </x:c>
      <x:c r="B328" s="31" t="str">
        <x:v>prednisolone</x:v>
      </x:c>
      <x:c r="C328" s="31" t="str">
        <x:v>PIL</x:v>
      </x:c>
      <x:c r="D328" s="31" t="str">
        <x:v>2023-11-09</x:v>
      </x:c>
      <x:c r="E328" s="37" t="str">
        <x:v>https://drug.fda.moph.go.th/media.php?id=730446440161222656&amp;name=pil_Prednisolone (CREAM).pdf</x:v>
      </x:c>
      <x:c r="F328" s="31" t="str">
        <x:v>downloaded</x:v>
      </x:c>
      <x:c r="G328" s="31" t="str">
        <x:v>text_extracted</x:v>
      </x:c>
      <x:c r="H328" s="31" t="n">
        <x:v>1</x:v>
      </x:c>
    </x:row>
    <x:row r="329">
      <x:c r="A329" s="31" t="str">
        <x:v>r0292_smpc</x:v>
      </x:c>
      <x:c r="B329" s="31" t="str">
        <x:v>prednisolone</x:v>
      </x:c>
      <x:c r="C329" s="31" t="str">
        <x:v>SMPC</x:v>
      </x:c>
      <x:c r="D329" s="31" t="str">
        <x:v>2024-11-27</x:v>
      </x:c>
      <x:c r="E329" s="37" t="str">
        <x:v>https://drug.fda.moph.go.th/media.php?id=810442650741252096&amp;name=SMPC_Prednisolone_Eye Drops Suspension.pdf</x:v>
      </x:c>
      <x:c r="F329" s="31" t="str">
        <x:v>downloaded</x:v>
      </x:c>
      <x:c r="G329" s="31" t="str">
        <x:v>text_extracted</x:v>
      </x:c>
      <x:c r="H329" s="31" t="n">
        <x:v>8</x:v>
      </x:c>
    </x:row>
    <x:row r="330">
      <x:c r="A330" s="31" t="str">
        <x:v>r0293_pil</x:v>
      </x:c>
      <x:c r="B330" s="31" t="str">
        <x:v>progesterone</x:v>
      </x:c>
      <x:c r="C330" s="31" t="str">
        <x:v>PIL</x:v>
      </x:c>
      <x:c r="D330" s="31" t="str">
        <x:v>2024-12-01</x:v>
      </x:c>
      <x:c r="E330" s="37" t="str">
        <x:v>https://drug.fda.moph.go.th/media.php?id=733964826350592000&amp;name=pil_Progesterone CAPSULE SOFT 100mg.pdf</x:v>
      </x:c>
      <x:c r="F330" s="31" t="str">
        <x:v>downloaded</x:v>
      </x:c>
      <x:c r="G330" s="31" t="str">
        <x:v>text_extracted</x:v>
      </x:c>
      <x:c r="H330" s="31" t="n">
        <x:v>1</x:v>
      </x:c>
    </x:row>
    <x:row r="331">
      <x:c r="A331" s="31" t="str">
        <x:v>r0294_pil</x:v>
      </x:c>
      <x:c r="B331" s="31" t="str">
        <x:v>progesterone</x:v>
      </x:c>
      <x:c r="C331" s="31" t="str">
        <x:v>PIL</x:v>
      </x:c>
      <x:c r="D331" s="31" t="str">
        <x:v>2024-12-01</x:v>
      </x:c>
      <x:c r="E331" s="37" t="str">
        <x:v>https://drug.fda.moph.go.th/media.php?id=733965125794537472&amp;name=pil_Progesterone CAPSULE SOFT 200mg.pdf</x:v>
      </x:c>
      <x:c r="F331" s="31" t="str">
        <x:v>downloaded</x:v>
      </x:c>
      <x:c r="G331" s="31" t="str">
        <x:v>text_extracted</x:v>
      </x:c>
      <x:c r="H331" s="31" t="n">
        <x:v>1</x:v>
      </x:c>
    </x:row>
    <x:row r="332">
      <x:c r="A332" s="31" t="str">
        <x:v>r0295_pil</x:v>
      </x:c>
      <x:c r="B332" s="31" t="str">
        <x:v>progesterone_vaginal</x:v>
      </x:c>
      <x:c r="C332" s="31" t="str">
        <x:v>PIL</x:v>
      </x:c>
      <x:c r="D332" s="31" t="str">
        <x:v>2024-12-01</x:v>
      </x:c>
      <x:c r="E332" s="37" t="str">
        <x:v>https://drug.fda.moph.go.th/media.php?id=733966286706581504&amp;name=pil_Progesterone Vaginal CAPSULE SOFT 200mg.pdf</x:v>
      </x:c>
      <x:c r="F332" s="31" t="str">
        <x:v>downloaded</x:v>
      </x:c>
      <x:c r="G332" s="31" t="str">
        <x:v>text_extracted</x:v>
      </x:c>
      <x:c r="H332" s="31" t="n">
        <x:v>1</x:v>
      </x:c>
    </x:row>
    <x:row r="333">
      <x:c r="A333" s="31" t="str">
        <x:v>r0296_pil</x:v>
      </x:c>
      <x:c r="B333" s="31" t="str">
        <x:v>progesterone_vaginal</x:v>
      </x:c>
      <x:c r="C333" s="31" t="str">
        <x:v>PIL</x:v>
      </x:c>
      <x:c r="D333" s="31" t="str">
        <x:v>2024-12-01</x:v>
      </x:c>
      <x:c r="E333" s="37" t="str">
        <x:v>https://drug.fda.moph.go.th/media.php?id=733966313554321408&amp;name=pil_Progesterone Vaginal CAPSULE SOFT 300mg.pdf</x:v>
      </x:c>
      <x:c r="F333" s="31" t="str">
        <x:v>downloaded</x:v>
      </x:c>
      <x:c r="G333" s="31" t="str">
        <x:v>text_extracted</x:v>
      </x:c>
      <x:c r="H333" s="31" t="n">
        <x:v>1</x:v>
      </x:c>
    </x:row>
    <x:row r="334">
      <x:c r="A334" s="31" t="str">
        <x:v>r0297_pil</x:v>
      </x:c>
      <x:c r="B334" s="31" t="str">
        <x:v>propranolol</x:v>
      </x:c>
      <x:c r="C334" s="31" t="str">
        <x:v>PIL</x:v>
      </x:c>
      <x:c r="D334" s="31" t="str">
        <x:v>2023-08-04</x:v>
      </x:c>
      <x:c r="E334" s="37" t="str">
        <x:v>https://drug.fda.moph.go.th/media.php?id=730445010499149824&amp;name=pil_Propranolol (TABLET 10 mg, 40 mg).pdf</x:v>
      </x:c>
      <x:c r="F334" s="31" t="str">
        <x:v>downloaded</x:v>
      </x:c>
      <x:c r="G334" s="31" t="str">
        <x:v>text_extracted</x:v>
      </x:c>
      <x:c r="H334" s="31" t="n">
        <x:v>1</x:v>
      </x:c>
    </x:row>
    <x:row r="335">
      <x:c r="A335" s="31" t="str">
        <x:v>r0298_pil</x:v>
      </x:c>
      <x:c r="B335" s="31" t="str">
        <x:v>propylthiouracil</x:v>
      </x:c>
      <x:c r="C335" s="31" t="str">
        <x:v>PIL</x:v>
      </x:c>
      <x:c r="D335" s="31" t="str">
        <x:v>2023-08-04</x:v>
      </x:c>
      <x:c r="E335" s="37" t="str">
        <x:v>https://drug.fda.moph.go.th/media.php?id=730444886557466624&amp;name=pil_Propylthiouracil (TABLET)50 mg.pdf</x:v>
      </x:c>
      <x:c r="F335" s="31" t="str">
        <x:v>downloaded</x:v>
      </x:c>
      <x:c r="G335" s="31" t="str">
        <x:v>text_extracted</x:v>
      </x:c>
      <x:c r="H335" s="31" t="n">
        <x:v>1</x:v>
      </x:c>
    </x:row>
    <x:row r="336">
      <x:c r="A336" s="31" t="str">
        <x:v>r0298_smpc</x:v>
      </x:c>
      <x:c r="B336" s="31" t="str">
        <x:v>propylthiouracil</x:v>
      </x:c>
      <x:c r="C336" s="31" t="str">
        <x:v>SMPC</x:v>
      </x:c>
      <x:c r="D336" s="31" t="str">
        <x:v>2024-11-29</x:v>
      </x:c>
      <x:c r="E336" s="37" t="str">
        <x:v>https://drug.fda.moph.go.th/media.php?id=810444421324742656&amp;name=SMPC_Propylthiouracil_Tablet.pdf</x:v>
      </x:c>
      <x:c r="F336" s="31" t="str">
        <x:v>downloaded</x:v>
      </x:c>
      <x:c r="G336" s="31" t="str">
        <x:v>text_extracted</x:v>
      </x:c>
      <x:c r="H336" s="31" t="n">
        <x:v>9</x:v>
      </x:c>
    </x:row>
    <x:row r="337">
      <x:c r="A337" s="31" t="str">
        <x:v>r0299_pil</x:v>
      </x:c>
      <x:c r="B337" s="31" t="str">
        <x:v>pyridoxine</x:v>
      </x:c>
      <x:c r="C337" s="31" t="str">
        <x:v>PIL</x:v>
      </x:c>
      <x:c r="D337" s="31" t="str">
        <x:v>2023-11-09</x:v>
      </x:c>
      <x:c r="E337" s="37" t="str">
        <x:v>https://drug.fda.moph.go.th/media.php?id=730444571007393792&amp;name=pil_Pyridoxine (TABLET 50 mg).pdf</x:v>
      </x:c>
      <x:c r="F337" s="31" t="str">
        <x:v>downloaded</x:v>
      </x:c>
      <x:c r="G337" s="31" t="str">
        <x:v>text_extracted</x:v>
      </x:c>
      <x:c r="H337" s="31" t="n">
        <x:v>1</x:v>
      </x:c>
    </x:row>
    <x:row r="338">
      <x:c r="A338" s="31" t="str">
        <x:v>r0299_smpc</x:v>
      </x:c>
      <x:c r="B338" s="31" t="str">
        <x:v>pyridoxine</x:v>
      </x:c>
      <x:c r="C338" s="31" t="str">
        <x:v>SMPC</x:v>
      </x:c>
      <x:c r="D338" s="31" t="str">
        <x:v>2024-11-26</x:v>
      </x:c>
      <x:c r="E338" s="37" t="str">
        <x:v>https://drug.fda.moph.go.th/media.php?id=810444996493844480&amp;name=SMPC_Pyridoxine_Tablet.pdf</x:v>
      </x:c>
      <x:c r="F338" s="31" t="str">
        <x:v>downloaded</x:v>
      </x:c>
      <x:c r="G338" s="31" t="str">
        <x:v>text_extracted</x:v>
      </x:c>
      <x:c r="H338" s="31" t="n">
        <x:v>4</x:v>
      </x:c>
    </x:row>
    <x:row r="339">
      <x:c r="A339" s="31" t="str">
        <x:v>r0300_smpc</x:v>
      </x:c>
      <x:c r="B339" s="31" t="str">
        <x:v>quinine</x:v>
      </x:c>
      <x:c r="C339" s="31" t="str">
        <x:v>SMPC</x:v>
      </x:c>
      <x:c r="D339" s="31" t="str">
        <x:v>2024-11-29</x:v>
      </x:c>
      <x:c r="E339" s="37" t="str">
        <x:v>https://drug.fda.moph.go.th/media.php?id=810445665753767936&amp;name=SMPC_Quinine dihydrochloride_solutions for injections or infusions.pdf</x:v>
      </x:c>
      <x:c r="F339" s="31" t="str">
        <x:v>downloaded</x:v>
      </x:c>
      <x:c r="G339" s="31" t="str">
        <x:v>text_extracted</x:v>
      </x:c>
      <x:c r="H339" s="31" t="n">
        <x:v>10</x:v>
      </x:c>
    </x:row>
    <x:row r="340">
      <x:c r="A340" s="31" t="str">
        <x:v>r0301_smpc</x:v>
      </x:c>
      <x:c r="B340" s="31" t="str">
        <x:v>ranitidine</x:v>
      </x:c>
      <x:c r="C340" s="31" t="str">
        <x:v>SMPC</x:v>
      </x:c>
      <x:c r="D340" s="31" t="str">
        <x:v>2024-11-26</x:v>
      </x:c>
      <x:c r="E340" s="37" t="str">
        <x:v>https://drug.fda.moph.go.th/media.php?id=810446254327865344&amp;name=SMPC_Ranitidine_Tablet.pdf</x:v>
      </x:c>
      <x:c r="F340" s="31" t="str">
        <x:v>downloaded</x:v>
      </x:c>
      <x:c r="G340" s="31" t="str">
        <x:v>text_extracted</x:v>
      </x:c>
      <x:c r="H340" s="31" t="n">
        <x:v>15</x:v>
      </x:c>
    </x:row>
    <x:row r="341">
      <x:c r="A341" s="31" t="str">
        <x:v>r0302_smpc</x:v>
      </x:c>
      <x:c r="B341" s="31" t="str">
        <x:v>ranitidine</x:v>
      </x:c>
      <x:c r="C341" s="31" t="str">
        <x:v>SMPC</x:v>
      </x:c>
      <x:c r="D341" s="31" t="str">
        <x:v>2024-11-26</x:v>
      </x:c>
      <x:c r="E341" s="37" t="str">
        <x:v>https://drug.fda.moph.go.th/media.php?id=810446887676157952&amp;name=SMPC_Ranitidine_solution for injection and infusion.pdf</x:v>
      </x:c>
      <x:c r="F341" s="31" t="str">
        <x:v>downloaded</x:v>
      </x:c>
      <x:c r="G341" s="31" t="str">
        <x:v>text_extracted</x:v>
      </x:c>
      <x:c r="H341" s="31" t="n">
        <x:v>13</x:v>
      </x:c>
    </x:row>
    <x:row r="342">
      <x:c r="A342" s="31" t="str">
        <x:v>r0303_pil</x:v>
      </x:c>
      <x:c r="B342" s="31" t="str">
        <x:v>retinol</x:v>
      </x:c>
      <x:c r="C342" s="31" t="str">
        <x:v>PIL</x:v>
      </x:c>
      <x:c r="D342" s="31" t="str">
        <x:v>2023-11-09</x:v>
      </x:c>
      <x:c r="E342" s="37" t="str">
        <x:v>https://drug.fda.moph.go.th/media.php?id=730444441944465408&amp;name=pil_Retinol (CAPSULE SOFT).pdf</x:v>
      </x:c>
      <x:c r="F342" s="31" t="str">
        <x:v>downloaded</x:v>
      </x:c>
      <x:c r="G342" s="31" t="str">
        <x:v>text_extracted</x:v>
      </x:c>
      <x:c r="H342" s="31" t="n">
        <x:v>2</x:v>
      </x:c>
    </x:row>
    <x:row r="343">
      <x:c r="A343" s="31" t="str">
        <x:v>r0303_smpc</x:v>
      </x:c>
      <x:c r="B343" s="31" t="str">
        <x:v>retinol</x:v>
      </x:c>
      <x:c r="C343" s="31" t="str">
        <x:v>SMPC</x:v>
      </x:c>
      <x:c r="D343" s="31" t="str">
        <x:v>2024-11-26</x:v>
      </x:c>
      <x:c r="E343" s="37" t="str">
        <x:v>https://drug.fda.moph.go.th/media.php?id=810447473809170432&amp;name=SMPC_Retinol_Capsules.pdf</x:v>
      </x:c>
      <x:c r="F343" s="31" t="str">
        <x:v>downloaded</x:v>
      </x:c>
      <x:c r="G343" s="31" t="str">
        <x:v>text_extracted</x:v>
      </x:c>
      <x:c r="H343" s="31" t="n">
        <x:v>8</x:v>
      </x:c>
    </x:row>
    <x:row r="344">
      <x:c r="A344" s="31" t="str">
        <x:v>r0304_pil</x:v>
      </x:c>
      <x:c r="B344" s="31" t="str">
        <x:v>riboflavin</x:v>
      </x:c>
      <x:c r="C344" s="31" t="str">
        <x:v>PIL</x:v>
      </x:c>
      <x:c r="D344" s="31" t="str">
        <x:v>2024-02-21</x:v>
      </x:c>
      <x:c r="E344" s="37" t="str">
        <x:v>https://drug.fda.moph.go.th/media.php?id=730444317851787264&amp;name=pil_Riboflavin (TABLET).pdf</x:v>
      </x:c>
      <x:c r="F344" s="31" t="str">
        <x:v>downloaded</x:v>
      </x:c>
      <x:c r="G344" s="31" t="str">
        <x:v>text_extracted</x:v>
      </x:c>
      <x:c r="H344" s="31" t="n">
        <x:v>1</x:v>
      </x:c>
    </x:row>
    <x:row r="345">
      <x:c r="A345" s="31" t="str">
        <x:v>r0305_smpc</x:v>
      </x:c>
      <x:c r="B345" s="31" t="str">
        <x:v>rifampicin</x:v>
      </x:c>
      <x:c r="C345" s="31" t="str">
        <x:v>SMPC</x:v>
      </x:c>
      <x:c r="D345" s="31" t="str">
        <x:v>2024-11-29</x:v>
      </x:c>
      <x:c r="E345" s="37" t="str">
        <x:v>https://drug.fda.moph.go.th/media.php?id=810448559467012096&amp;name=SMPC_Rifampicin_Tablets.pdf</x:v>
      </x:c>
      <x:c r="F345" s="31" t="str">
        <x:v>downloaded</x:v>
      </x:c>
      <x:c r="G345" s="31" t="str">
        <x:v>text_extracted</x:v>
      </x:c>
      <x:c r="H345" s="31" t="n">
        <x:v>19</x:v>
      </x:c>
    </x:row>
    <x:row r="346">
      <x:c r="A346" s="31" t="str">
        <x:v>r0306_pil</x:v>
      </x:c>
      <x:c r="B346" s="31" t="str">
        <x:v>salbutamol</x:v>
      </x:c>
      <x:c r="C346" s="31" t="str">
        <x:v>PIL</x:v>
      </x:c>
      <x:c r="D346" s="31" t="str">
        <x:v>2025-03-19</x:v>
      </x:c>
      <x:c r="E346" s="37" t="str">
        <x:v>https://drug.fda.moph.go.th/media.php?id=808610253401890816&amp;name=Salbutamol_compressedTablet_PIL.pdf</x:v>
      </x:c>
      <x:c r="F346" s="31" t="str">
        <x:v>downloaded</x:v>
      </x:c>
      <x:c r="G346" s="31" t="str">
        <x:v>text_extracted</x:v>
      </x:c>
      <x:c r="H346" s="31" t="n">
        <x:v>1</x:v>
      </x:c>
    </x:row>
    <x:row r="347">
      <x:c r="A347" s="31" t="str">
        <x:v>r0307_smpc</x:v>
      </x:c>
      <x:c r="B347" s="31" t="str">
        <x:v>salbutamol</x:v>
      </x:c>
      <x:c r="C347" s="31" t="str">
        <x:v>SMPC</x:v>
      </x:c>
      <x:c r="D347" s="31" t="str">
        <x:v>2024-11-27</x:v>
      </x:c>
      <x:c r="E347" s="37" t="str">
        <x:v>https://drug.fda.moph.go.th/media.php?id=810449076385619968&amp;name=SMPC_Salbutamol_Syrup.pdf</x:v>
      </x:c>
      <x:c r="F347" s="31" t="str">
        <x:v>downloaded</x:v>
      </x:c>
      <x:c r="G347" s="31" t="str">
        <x:v>text_extracted</x:v>
      </x:c>
      <x:c r="H347" s="31" t="n">
        <x:v>9</x:v>
      </x:c>
    </x:row>
    <x:row r="348">
      <x:c r="A348" s="31" t="str">
        <x:v>r0308_pil</x:v>
      </x:c>
      <x:c r="B348" s="31" t="str">
        <x:v>simethicone</x:v>
      </x:c>
      <x:c r="C348" s="31" t="str">
        <x:v>PIL</x:v>
      </x:c>
      <x:c r="D348" s="31" t="str">
        <x:v>2024-03-15</x:v>
      </x:c>
      <x:c r="E348" s="37" t="str">
        <x:v>https://drug.fda.moph.go.th/media.php?id=733924770743197696&amp;name=PIL_Simethicone_ยาเม็ดแก้ท้องอืด ท้องเฟ้อ  ไซเมธิโคน(15032024).pdf</x:v>
      </x:c>
      <x:c r="F348" s="31" t="str">
        <x:v>downloaded</x:v>
      </x:c>
      <x:c r="G348" s="31" t="str">
        <x:v>text_extracted</x:v>
      </x:c>
      <x:c r="H348" s="31" t="n">
        <x:v>1</x:v>
      </x:c>
    </x:row>
    <x:row r="349">
      <x:c r="A349" s="31" t="str">
        <x:v>r0309_pil</x:v>
      </x:c>
      <x:c r="B349" s="31" t="str">
        <x:v>simvastatin</x:v>
      </x:c>
      <x:c r="C349" s="31" t="str">
        <x:v>PIL</x:v>
      </x:c>
      <x:c r="D349" s="31" t="str">
        <x:v>2025-03-19</x:v>
      </x:c>
      <x:c r="E349" s="37" t="str">
        <x:v>https://drug.fda.moph.go.th/media.php?id=808610458117480448&amp;name=simvastatin_PIL.pdf</x:v>
      </x:c>
      <x:c r="F349" s="31" t="str">
        <x:v>downloaded</x:v>
      </x:c>
      <x:c r="G349" s="31" t="str">
        <x:v>text_extracted</x:v>
      </x:c>
      <x:c r="H349" s="31" t="n">
        <x:v>2</x:v>
      </x:c>
    </x:row>
    <x:row r="350">
      <x:c r="A350" s="31" t="str">
        <x:v>r0310_pil</x:v>
      </x:c>
      <x:c r="B350" s="31" t="str">
        <x:v>sodium_alginate_sodium_bicarbonate_calcium_carbonate</x:v>
      </x:c>
      <x:c r="C350" s="31" t="str">
        <x:v>PIL</x:v>
      </x:c>
      <x:c r="D350" s="31"/>
      <x:c r="E350" s="37" t="str">
        <x:v>https://drug.fda.moph.go.th/media.php?id=733940757777489920&amp;name=PIL_Sodium alginate + Sodium bicarbonate + Calcium carbonate ชนิดน้ำ.pdf</x:v>
      </x:c>
      <x:c r="F350" s="31" t="str">
        <x:v>downloaded</x:v>
      </x:c>
      <x:c r="G350" s="31" t="str">
        <x:v>text_extracted</x:v>
      </x:c>
      <x:c r="H350" s="31" t="n">
        <x:v>1</x:v>
      </x:c>
    </x:row>
    <x:row r="351">
      <x:c r="A351" s="31" t="str">
        <x:v>r0311_pil</x:v>
      </x:c>
      <x:c r="B351" s="31" t="str">
        <x:v>sodium_alginate_sodium_bicarbonate_calcium_carbonate</x:v>
      </x:c>
      <x:c r="C351" s="31" t="str">
        <x:v>PIL</x:v>
      </x:c>
      <x:c r="D351" s="31"/>
      <x:c r="E351" s="37" t="str">
        <x:v>https://drug.fda.moph.go.th/media.php?id=733940824714387456&amp;name=PIL_Sodium alginate + Sodium bicarbonate + Calcium carbonate ชนิดเม็ด.pdf</x:v>
      </x:c>
      <x:c r="F351" s="31" t="str">
        <x:v>downloaded</x:v>
      </x:c>
      <x:c r="G351" s="31" t="str">
        <x:v>text_extracted</x:v>
      </x:c>
      <x:c r="H351" s="31" t="n">
        <x:v>1</x:v>
      </x:c>
    </x:row>
    <x:row r="352">
      <x:c r="A352" s="31" t="str">
        <x:v>r0312_pil</x:v>
      </x:c>
      <x:c r="B352" s="31" t="str">
        <x:v>sodium_alginate_sodium_bicarbonate_calcium_carbonate</x:v>
      </x:c>
      <x:c r="C352" s="31" t="str">
        <x:v>PIL</x:v>
      </x:c>
      <x:c r="D352" s="31"/>
      <x:c r="E352" s="37" t="str">
        <x:v>https://drug.fda.moph.go.th/media.php?id=733939702767427584&amp;name=PIL_Sodium alginate + Sodium bicarbonate + Calcium carbonat.pdf</x:v>
      </x:c>
      <x:c r="F352" s="31" t="str">
        <x:v>downloaded</x:v>
      </x:c>
      <x:c r="G352" s="31" t="str">
        <x:v>text_extracted</x:v>
      </x:c>
      <x:c r="H352" s="31" t="n">
        <x:v>1</x:v>
      </x:c>
    </x:row>
    <x:row r="353">
      <x:c r="A353" s="31" t="str">
        <x:v>r0313_pil</x:v>
      </x:c>
      <x:c r="B353" s="31" t="str">
        <x:v>sodium_alginate_sodium_bicarbonate_calcium_carbonate</x:v>
      </x:c>
      <x:c r="C353" s="31" t="str">
        <x:v>PIL</x:v>
      </x:c>
      <x:c r="D353" s="31"/>
      <x:c r="E353" s="37" t="str">
        <x:v>https://drug.fda.moph.go.th/media.php?id=733939962545840128&amp;name=PIL_Sodium alginate + Sodium bicarbonate + Calcium carbonate ชนิดเม็ด.pdf</x:v>
      </x:c>
      <x:c r="F353" s="31" t="str">
        <x:v>downloaded</x:v>
      </x:c>
      <x:c r="G353" s="31" t="str">
        <x:v>text_extracted</x:v>
      </x:c>
      <x:c r="H353" s="31" t="n">
        <x:v>1</x:v>
      </x:c>
    </x:row>
    <x:row r="354">
      <x:c r="A354" s="31" t="str">
        <x:v>r0314_smpc</x:v>
      </x:c>
      <x:c r="B354" s="31" t="str">
        <x:v>sodium_bicarbonate</x:v>
      </x:c>
      <x:c r="C354" s="31" t="str">
        <x:v>SMPC</x:v>
      </x:c>
      <x:c r="D354" s="31" t="str">
        <x:v>2024-11-22</x:v>
      </x:c>
      <x:c r="E354" s="37" t="str">
        <x:v>https://drug.fda.moph.go.th/media.php?id=810453894575562752&amp;name=SMPC_Sodium Bicarbonate_powder.pdf</x:v>
      </x:c>
      <x:c r="F354" s="31" t="str">
        <x:v>downloaded</x:v>
      </x:c>
      <x:c r="G354" s="31" t="str">
        <x:v>text_extracted</x:v>
      </x:c>
      <x:c r="H354" s="31" t="n">
        <x:v>6</x:v>
      </x:c>
    </x:row>
    <x:row r="355">
      <x:c r="A355" s="31" t="str">
        <x:v>r0315_pil</x:v>
      </x:c>
      <x:c r="B355" s="31" t="str">
        <x:v>sodium_bicarbonate</x:v>
      </x:c>
      <x:c r="C355" s="31" t="str">
        <x:v>PIL</x:v>
      </x:c>
      <x:c r="D355" s="31" t="str">
        <x:v>2024-03-15</x:v>
      </x:c>
      <x:c r="E355" s="37" t="str">
        <x:v>https://drug.fda.moph.go.th/media.php?id=733938312682807296&amp;name=PIL_Sodium bicarbonate ยาน้ำแก้ท้องอืด ท้องเฟ้อ(15032024).pdf</x:v>
      </x:c>
      <x:c r="F355" s="31" t="str">
        <x:v>downloaded</x:v>
      </x:c>
      <x:c r="G355" s="31" t="str">
        <x:v>text_extracted</x:v>
      </x:c>
      <x:c r="H355" s="31" t="n">
        <x:v>1</x:v>
      </x:c>
    </x:row>
    <x:row r="356">
      <x:c r="A356" s="31" t="str">
        <x:v>r0316_smpc</x:v>
      </x:c>
      <x:c r="B356" s="31" t="str">
        <x:v>sodium_bicarbonate</x:v>
      </x:c>
      <x:c r="C356" s="31" t="str">
        <x:v>SMPC</x:v>
      </x:c>
      <x:c r="D356" s="31" t="str">
        <x:v>2024-11-26</x:v>
      </x:c>
      <x:c r="E356" s="37" t="str">
        <x:v>https://drug.fda.moph.go.th/media.php?id=810454498920243200&amp;name=SMPC_Sodium Bicarbonate_oral solution.pdf</x:v>
      </x:c>
      <x:c r="F356" s="31" t="str">
        <x:v>downloaded</x:v>
      </x:c>
      <x:c r="G356" s="31" t="str">
        <x:v>text_extracted</x:v>
      </x:c>
      <x:c r="H356" s="31" t="n">
        <x:v>8</x:v>
      </x:c>
    </x:row>
    <x:row r="357">
      <x:c r="A357" s="31" t="str">
        <x:v>r0317_pil</x:v>
      </x:c>
      <x:c r="B357" s="31" t="str">
        <x:v>sodium_bicarbonate_peppermint_oil</x:v>
      </x:c>
      <x:c r="C357" s="31" t="str">
        <x:v>PIL</x:v>
      </x:c>
      <x:c r="D357" s="31" t="str">
        <x:v>2024-03-15</x:v>
      </x:c>
      <x:c r="E357" s="37" t="str">
        <x:v>https://drug.fda.moph.go.th/media.php?id=733937916107169792&amp;name=PIL_Sodium bicarbonate + Peppermint oil (15032024).pdf</x:v>
      </x:c>
      <x:c r="F357" s="31" t="str">
        <x:v>downloaded</x:v>
      </x:c>
      <x:c r="G357" s="31" t="str">
        <x:v>text_extracted</x:v>
      </x:c>
      <x:c r="H357" s="31" t="n">
        <x:v>1</x:v>
      </x:c>
    </x:row>
    <x:row r="358">
      <x:c r="A358" s="31" t="str">
        <x:v>r0318_pil</x:v>
      </x:c>
      <x:c r="B358" s="31" t="str">
        <x:v>sodium_chloride</x:v>
      </x:c>
      <x:c r="C358" s="31" t="str">
        <x:v>PIL</x:v>
      </x:c>
      <x:c r="D358" s="31" t="str">
        <x:v>2024-03-15</x:v>
      </x:c>
      <x:c r="E358" s="37" t="str">
        <x:v>https://drug.fda.moph.go.th/media.php?id=733937516763291648&amp;name=PIL_Sodium chloride_น้ำเกลือล้างแผล (150320204).pdf</x:v>
      </x:c>
      <x:c r="F358" s="31" t="str">
        <x:v>downloaded</x:v>
      </x:c>
      <x:c r="G358" s="31" t="str">
        <x:v>text_extracted</x:v>
      </x:c>
      <x:c r="H358" s="31" t="n">
        <x:v>1</x:v>
      </x:c>
    </x:row>
    <x:row r="359">
      <x:c r="A359" s="31" t="str">
        <x:v>r0319_pil</x:v>
      </x:c>
      <x:c r="B359" s="31" t="str">
        <x:v>sodium_chloride</x:v>
      </x:c>
      <x:c r="C359" s="31" t="str">
        <x:v>PIL</x:v>
      </x:c>
      <x:c r="D359" s="31" t="str">
        <x:v>2024-03-15</x:v>
      </x:c>
      <x:c r="E359" s="37" t="str">
        <x:v>https://drug.fda.moph.go.th/media.php?id=733937174893961216&amp;name=PIL ยาระบาย Sodium chloride ชนิดสวนทวาร (15032024).pdf</x:v>
      </x:c>
      <x:c r="F359" s="31" t="str">
        <x:v>downloaded</x:v>
      </x:c>
      <x:c r="G359" s="31" t="str">
        <x:v>text_extracted</x:v>
      </x:c>
      <x:c r="H359" s="31" t="n">
        <x:v>1</x:v>
      </x:c>
    </x:row>
    <x:row r="360">
      <x:c r="A360" s="31" t="str">
        <x:v>r0320_pil</x:v>
      </x:c>
      <x:c r="B360" s="31" t="str">
        <x:v>sodium_chloride</x:v>
      </x:c>
      <x:c r="C360" s="31" t="str">
        <x:v>PIL</x:v>
      </x:c>
      <x:c r="D360" s="31" t="str">
        <x:v>2024-03-15</x:v>
      </x:c>
      <x:c r="E360" s="37" t="str">
        <x:v>https://drug.fda.moph.go.th/media.php?id=733936761784377344&amp;name=PIL Sodium chloride_ยาล้างตา_(15032024).pdf</x:v>
      </x:c>
      <x:c r="F360" s="31" t="str">
        <x:v>downloaded</x:v>
      </x:c>
      <x:c r="G360" s="31" t="str">
        <x:v>text_extracted</x:v>
      </x:c>
      <x:c r="H360" s="31" t="n">
        <x:v>1</x:v>
      </x:c>
    </x:row>
    <x:row r="361">
      <x:c r="A361" s="31" t="str">
        <x:v>r0321_smpc</x:v>
      </x:c>
      <x:c r="B361" s="31" t="str">
        <x:v>sodium_dihydrogen</x:v>
      </x:c>
      <x:c r="C361" s="31" t="str">
        <x:v>SMPC</x:v>
      </x:c>
      <x:c r="D361" s="31" t="str">
        <x:v>2024-11-26</x:v>
      </x:c>
      <x:c r="E361" s="37" t="str">
        <x:v>https://drug.fda.moph.go.th/media.php?id=810461583477186560&amp;name=SMPC_Sodium dihydrogen phosphate_enema.pdf</x:v>
      </x:c>
      <x:c r="F361" s="31" t="str">
        <x:v>downloaded</x:v>
      </x:c>
      <x:c r="G361" s="31" t="str">
        <x:v>text_extracted</x:v>
      </x:c>
      <x:c r="H361" s="31" t="n">
        <x:v>10</x:v>
      </x:c>
    </x:row>
    <x:row r="362">
      <x:c r="A362" s="31" t="str">
        <x:v>r0322_smpc</x:v>
      </x:c>
      <x:c r="B362" s="31" t="str">
        <x:v>sodium_phosphate</x:v>
      </x:c>
      <x:c r="C362" s="31" t="str">
        <x:v>SMPC</x:v>
      </x:c>
      <x:c r="D362" s="31" t="str">
        <x:v>2024-11-26</x:v>
      </x:c>
      <x:c r="E362" s="37" t="str">
        <x:v>https://drug.fda.moph.go.th/media.php?id=810462163935305728&amp;name=SMPC_Sodium phosphate_enema.pdf</x:v>
      </x:c>
      <x:c r="F362" s="31" t="str">
        <x:v>downloaded</x:v>
      </x:c>
      <x:c r="G362" s="31" t="str">
        <x:v>text_extracted</x:v>
      </x:c>
      <x:c r="H362" s="31" t="n">
        <x:v>10</x:v>
      </x:c>
    </x:row>
    <x:row r="363">
      <x:c r="A363" s="31" t="str">
        <x:v>r0323_pil</x:v>
      </x:c>
      <x:c r="B363" s="31" t="str">
        <x:v>sodium_phosphate_sodium_biphosphate</x:v>
      </x:c>
      <x:c r="C363" s="31" t="str">
        <x:v>PIL</x:v>
      </x:c>
      <x:c r="D363" s="31" t="str">
        <x:v>2023-11-09</x:v>
      </x:c>
      <x:c r="E363" s="37" t="str">
        <x:v>https://drug.fda.moph.go.th/media.php?id=733966685354205184&amp;name=pil_Sodium phosphate + Sodium biphosphate ENEMA.pdf</x:v>
      </x:c>
      <x:c r="F363" s="31" t="str">
        <x:v>downloaded</x:v>
      </x:c>
      <x:c r="G363" s="31" t="str">
        <x:v>text_extracted</x:v>
      </x:c>
      <x:c r="H363" s="31" t="n">
        <x:v>2</x:v>
      </x:c>
    </x:row>
    <x:row r="364">
      <x:c r="A364" s="31" t="str">
        <x:v>r0324_pil</x:v>
      </x:c>
      <x:c r="B364" s="31" t="str">
        <x:v>sodium_thiosulfate</x:v>
      </x:c>
      <x:c r="C364" s="31" t="str">
        <x:v>PIL</x:v>
      </x:c>
      <x:c r="D364" s="31" t="str">
        <x:v>2024-03-15</x:v>
      </x:c>
      <x:c r="E364" s="37" t="str">
        <x:v>https://drug.fda.moph.go.th/media.php?id=733936327577444352&amp;name=PIL_ยารักษาเกลื้อน Sodium thiosulfate (15032024).pdf</x:v>
      </x:c>
      <x:c r="F364" s="31" t="str">
        <x:v>downloaded</x:v>
      </x:c>
      <x:c r="G364" s="31" t="str">
        <x:v>text_extracted</x:v>
      </x:c>
      <x:c r="H364" s="31" t="n">
        <x:v>1</x:v>
      </x:c>
    </x:row>
    <x:row r="365">
      <x:c r="A365" s="31" t="str">
        <x:v>r0325_smpc</x:v>
      </x:c>
      <x:c r="B365" s="31" t="str">
        <x:v>sodium_valproate</x:v>
      </x:c>
      <x:c r="C365" s="31" t="str">
        <x:v>SMPC</x:v>
      </x:c>
      <x:c r="D365" s="31" t="str">
        <x:v>2024-11-29</x:v>
      </x:c>
      <x:c r="E365" s="37" t="str">
        <x:v>https://drug.fda.moph.go.th/media.php?id=810462806720782336&amp;name=SMPC_Sodium Valproate_Enteric-coated tablet.pdf</x:v>
      </x:c>
      <x:c r="F365" s="31" t="str">
        <x:v>downloaded</x:v>
      </x:c>
      <x:c r="G365" s="31" t="str">
        <x:v>text_extracted</x:v>
      </x:c>
      <x:c r="H365" s="31" t="n">
        <x:v>36</x:v>
      </x:c>
    </x:row>
    <x:row r="366">
      <x:c r="A366" s="31" t="str">
        <x:v>r0326_pil</x:v>
      </x:c>
      <x:c r="B366" s="31" t="str">
        <x:v>sublimed_sulphur</x:v>
      </x:c>
      <x:c r="C366" s="31" t="str">
        <x:v>PIL</x:v>
      </x:c>
      <x:c r="D366" s="31" t="str">
        <x:v>2024-03-15</x:v>
      </x:c>
      <x:c r="E366" s="37" t="str">
        <x:v>https://drug.fda.moph.go.th/media.php?id=733935842904645632&amp;name=PIL_Sublimed sulphur_ยารักษาหิด ขี้ผึ้งกำมะถัน (15032024).pdf</x:v>
      </x:c>
      <x:c r="F366" s="31" t="str">
        <x:v>downloaded</x:v>
      </x:c>
      <x:c r="G366" s="31" t="str">
        <x:v>text_extracted</x:v>
      </x:c>
      <x:c r="H366" s="31" t="n">
        <x:v>1</x:v>
      </x:c>
    </x:row>
    <x:row r="367">
      <x:c r="A367" s="31" t="str">
        <x:v>r0327_pil</x:v>
      </x:c>
      <x:c r="B367" s="31" t="str">
        <x:v>sucralfate</x:v>
      </x:c>
      <x:c r="C367" s="31" t="str">
        <x:v>PIL</x:v>
      </x:c>
      <x:c r="D367" s="31" t="str">
        <x:v>2023-08-04</x:v>
      </x:c>
      <x:c r="E367" s="37" t="str">
        <x:v>https://drug.fda.moph.go.th/media.php?id=730445749044781056&amp;name=pil_Sucralfate (ORAL SUSPENSION).pdf</x:v>
      </x:c>
      <x:c r="F367" s="31" t="str">
        <x:v>downloaded</x:v>
      </x:c>
      <x:c r="G367" s="31" t="str">
        <x:v>text_extracted</x:v>
      </x:c>
      <x:c r="H367" s="31" t="n">
        <x:v>1</x:v>
      </x:c>
    </x:row>
    <x:row r="368">
      <x:c r="A368" s="31" t="str">
        <x:v>r0328_pil</x:v>
      </x:c>
      <x:c r="B368" s="31" t="str">
        <x:v>sucralfate</x:v>
      </x:c>
      <x:c r="C368" s="31" t="str">
        <x:v>PIL</x:v>
      </x:c>
      <x:c r="D368" s="31" t="str">
        <x:v>2023-03-28</x:v>
      </x:c>
      <x:c r="E368" s="37" t="str">
        <x:v>https://drug.fda.moph.go.th/media.php?id=730445568010231808&amp;name=pil_Sucralfate (TABLET).pdf</x:v>
      </x:c>
      <x:c r="F368" s="31" t="str">
        <x:v>downloaded</x:v>
      </x:c>
      <x:c r="G368" s="31" t="str">
        <x:v>text_extracted</x:v>
      </x:c>
      <x:c r="H368" s="31" t="n">
        <x:v>1</x:v>
      </x:c>
    </x:row>
    <x:row r="369">
      <x:c r="A369" s="31" t="str">
        <x:v>r0329_smpc</x:v>
      </x:c>
      <x:c r="B369" s="31" t="str">
        <x:v>sucralfate</x:v>
      </x:c>
      <x:c r="C369" s="31" t="str">
        <x:v>SMPC</x:v>
      </x:c>
      <x:c r="D369" s="31" t="str">
        <x:v>2024-11-29</x:v>
      </x:c>
      <x:c r="E369" s="37" t="str">
        <x:v>https://drug.fda.moph.go.th/media.php?id=810463510696960000&amp;name=SMPC_Sucralfate_suspension.pdf</x:v>
      </x:c>
      <x:c r="F369" s="31" t="str">
        <x:v>downloaded</x:v>
      </x:c>
      <x:c r="G369" s="31" t="str">
        <x:v>text_extracted</x:v>
      </x:c>
      <x:c r="H369" s="31" t="n">
        <x:v>8</x:v>
      </x:c>
    </x:row>
    <x:row r="370">
      <x:c r="A370" s="31" t="str">
        <x:v>r0330_pil</x:v>
      </x:c>
      <x:c r="B370" s="31" t="str">
        <x:v>sulfasalazine</x:v>
      </x:c>
      <x:c r="C370" s="31" t="str">
        <x:v>PIL</x:v>
      </x:c>
      <x:c r="D370" s="31" t="str">
        <x:v>2023-08-09</x:v>
      </x:c>
      <x:c r="E370" s="37" t="str">
        <x:v>https://drug.fda.moph.go.th/media.php?id=730445434027384832&amp;name=pil_Sulfasalazine (ENTERIC COATED TABLET 500 mg).pdf</x:v>
      </x:c>
      <x:c r="F370" s="31" t="str">
        <x:v>downloaded</x:v>
      </x:c>
      <x:c r="G370" s="31" t="str">
        <x:v>text_extracted</x:v>
      </x:c>
      <x:c r="H370" s="31" t="n">
        <x:v>1</x:v>
      </x:c>
    </x:row>
    <x:row r="371">
      <x:c r="A371" s="31" t="str">
        <x:v>r0331_smpc</x:v>
      </x:c>
      <x:c r="B371" s="31" t="str">
        <x:v>tamoxifen</x:v>
      </x:c>
      <x:c r="C371" s="31" t="str">
        <x:v>SMPC</x:v>
      </x:c>
      <x:c r="D371" s="31" t="str">
        <x:v>2024-11-29</x:v>
      </x:c>
      <x:c r="E371" s="37" t="str">
        <x:v>https://drug.fda.moph.go.th/media.php?id=810464618991460352&amp;name=SMPC_Tamoxifen_Tablets.pdf</x:v>
      </x:c>
      <x:c r="F371" s="31" t="str">
        <x:v>downloaded</x:v>
      </x:c>
      <x:c r="G371" s="31" t="str">
        <x:v>text_extracted</x:v>
      </x:c>
      <x:c r="H371" s="31" t="n">
        <x:v>26</x:v>
      </x:c>
    </x:row>
    <x:row r="372">
      <x:c r="A372" s="31" t="str">
        <x:v>r0332_smpc</x:v>
      </x:c>
      <x:c r="B372" s="31" t="str">
        <x:v>teicoplanin</x:v>
      </x:c>
      <x:c r="C372" s="31" t="str">
        <x:v>SMPC</x:v>
      </x:c>
      <x:c r="D372" s="31" t="str">
        <x:v>2024-11-26</x:v>
      </x:c>
      <x:c r="E372" s="37" t="str">
        <x:v>https://drug.fda.moph.go.th/media.php?id=810465319775772672&amp;name=SMPC_Teicoplanin_powder for solution for injection-infusion or oral solution.pdf</x:v>
      </x:c>
      <x:c r="F372" s="31" t="str">
        <x:v>downloaded</x:v>
      </x:c>
      <x:c r="G372" s="31" t="str">
        <x:v>text_extracted</x:v>
      </x:c>
      <x:c r="H372" s="31" t="n">
        <x:v>25</x:v>
      </x:c>
    </x:row>
    <x:row r="373">
      <x:c r="A373" s="31" t="str">
        <x:v>r0333_smpc</x:v>
      </x:c>
      <x:c r="B373" s="31" t="str">
        <x:v>tenoxicam</x:v>
      </x:c>
      <x:c r="C373" s="31" t="str">
        <x:v>SMPC</x:v>
      </x:c>
      <x:c r="D373" s="31" t="str">
        <x:v>2024-11-29</x:v>
      </x:c>
      <x:c r="E373" s="37" t="str">
        <x:v>https://drug.fda.moph.go.th/media.php?id=810466026549551104&amp;name=SMPC_Tenoxicam_Tablets.pdf</x:v>
      </x:c>
      <x:c r="F373" s="31" t="str">
        <x:v>downloaded</x:v>
      </x:c>
      <x:c r="G373" s="31" t="str">
        <x:v>text_extracted</x:v>
      </x:c>
      <x:c r="H373" s="31" t="n">
        <x:v>22</x:v>
      </x:c>
    </x:row>
    <x:row r="374">
      <x:c r="A374" s="31" t="str">
        <x:v>r0334_pil</x:v>
      </x:c>
      <x:c r="B374" s="31" t="str">
        <x:v>terbutaline</x:v>
      </x:c>
      <x:c r="C374" s="31" t="str">
        <x:v>PIL</x:v>
      </x:c>
      <x:c r="D374" s="31" t="str">
        <x:v>2025-03-19</x:v>
      </x:c>
      <x:c r="E374" s="37" t="str">
        <x:v>https://drug.fda.moph.go.th/media.php?id=808611557641691136&amp;name=Terbutaline_compressedTablet_PIL.pdf</x:v>
      </x:c>
      <x:c r="F374" s="31" t="str">
        <x:v>downloaded</x:v>
      </x:c>
      <x:c r="G374" s="31" t="str">
        <x:v>text_extracted</x:v>
      </x:c>
      <x:c r="H374" s="31" t="n">
        <x:v>2</x:v>
      </x:c>
    </x:row>
    <x:row r="375">
      <x:c r="A375" s="31" t="str">
        <x:v>r0335_smpc</x:v>
      </x:c>
      <x:c r="B375" s="31" t="str">
        <x:v>terbutaline</x:v>
      </x:c>
      <x:c r="C375" s="31" t="str">
        <x:v>SMPC</x:v>
      </x:c>
      <x:c r="D375" s="31" t="str">
        <x:v>2024-11-27</x:v>
      </x:c>
      <x:c r="E375" s="37" t="str">
        <x:v>https://drug.fda.moph.go.th/media.php?id=810466986881589248&amp;name=SMPC_Terbutaline_Solution for injection or infusion.pdf</x:v>
      </x:c>
      <x:c r="F375" s="31" t="str">
        <x:v>downloaded</x:v>
      </x:c>
      <x:c r="G375" s="31" t="str">
        <x:v>text_extracted</x:v>
      </x:c>
      <x:c r="H375" s="31" t="n">
        <x:v>16</x:v>
      </x:c>
    </x:row>
    <x:row r="376">
      <x:c r="A376" s="31" t="str">
        <x:v>r0336_smpc</x:v>
      </x:c>
      <x:c r="B376" s="31" t="str">
        <x:v>terbutaline</x:v>
      </x:c>
      <x:c r="C376" s="31" t="str">
        <x:v>SMPC</x:v>
      </x:c>
      <x:c r="D376" s="31" t="str">
        <x:v>2024-11-27</x:v>
      </x:c>
      <x:c r="E376" s="37" t="str">
        <x:v>https://drug.fda.moph.go.th/media.php?id=810467535672713216&amp;name=SMPC_Terbutaline_Syrup.pdf</x:v>
      </x:c>
      <x:c r="F376" s="31" t="str">
        <x:v>downloaded</x:v>
      </x:c>
      <x:c r="G376" s="31" t="str">
        <x:v>text_extracted</x:v>
      </x:c>
      <x:c r="H376" s="31" t="n">
        <x:v>9</x:v>
      </x:c>
    </x:row>
    <x:row r="377">
      <x:c r="A377" s="31" t="str">
        <x:v>r0337_pil</x:v>
      </x:c>
      <x:c r="B377" s="31" t="str">
        <x:v>tetracycline</x:v>
      </x:c>
      <x:c r="C377" s="31" t="str">
        <x:v>PIL</x:v>
      </x:c>
      <x:c r="D377" s="31" t="str">
        <x:v>2023-11-09</x:v>
      </x:c>
      <x:c r="E377" s="37" t="str">
        <x:v>https://drug.fda.moph.go.th/media.php?id=730445324153397248&amp;name=pil_Tetracycline hydrochloride (CAPSULE, HARD).pdf</x:v>
      </x:c>
      <x:c r="F377" s="31" t="str">
        <x:v>downloaded</x:v>
      </x:c>
      <x:c r="G377" s="31" t="str">
        <x:v>text_extracted</x:v>
      </x:c>
      <x:c r="H377" s="31" t="n">
        <x:v>2</x:v>
      </x:c>
    </x:row>
    <x:row r="378">
      <x:c r="A378" s="31" t="str">
        <x:v>r0338_smpc</x:v>
      </x:c>
      <x:c r="B378" s="31" t="str">
        <x:v>tetracycline</x:v>
      </x:c>
      <x:c r="C378" s="31" t="str">
        <x:v>SMPC</x:v>
      </x:c>
      <x:c r="D378" s="31" t="str">
        <x:v>2024-11-29</x:v>
      </x:c>
      <x:c r="E378" s="37" t="str">
        <x:v>https://drug.fda.moph.go.th/media.php?id=810476861875429376&amp;name=SMPC_Tetracycline_Tablets.pdf</x:v>
      </x:c>
      <x:c r="F378" s="31" t="str">
        <x:v>downloaded</x:v>
      </x:c>
      <x:c r="G378" s="31" t="str">
        <x:v>text_extracted</x:v>
      </x:c>
      <x:c r="H378" s="31" t="n">
        <x:v>13</x:v>
      </x:c>
    </x:row>
    <x:row r="379">
      <x:c r="A379" s="31" t="str">
        <x:v>r0339_pil</x:v>
      </x:c>
      <x:c r="B379" s="31" t="str">
        <x:v>theophylline</x:v>
      </x:c>
      <x:c r="C379" s="31" t="str">
        <x:v>PIL</x:v>
      </x:c>
      <x:c r="D379" s="31" t="str">
        <x:v>2025-03-19</x:v>
      </x:c>
      <x:c r="E379" s="37" t="str">
        <x:v>https://drug.fda.moph.go.th/media.php?id=808611857748336640&amp;name=Theophylline_compressedTablet_PIL.pdf</x:v>
      </x:c>
      <x:c r="F379" s="31" t="str">
        <x:v>downloaded</x:v>
      </x:c>
      <x:c r="G379" s="31" t="str">
        <x:v>text_extracted</x:v>
      </x:c>
      <x:c r="H379" s="31" t="n">
        <x:v>2</x:v>
      </x:c>
    </x:row>
    <x:row r="380">
      <x:c r="A380" s="31" t="str">
        <x:v>r0340_pil</x:v>
      </x:c>
      <x:c r="B380" s="31" t="str">
        <x:v>thiamine</x:v>
      </x:c>
      <x:c r="C380" s="31" t="str">
        <x:v>PIL</x:v>
      </x:c>
      <x:c r="D380" s="31" t="str">
        <x:v>2023-11-09</x:v>
      </x:c>
      <x:c r="E380" s="37" t="str">
        <x:v>https://drug.fda.moph.go.th/media.php?id=730445219878805504&amp;name=pil_Thiamine hydrochloride (TABLET).pdf</x:v>
      </x:c>
      <x:c r="F380" s="31" t="str">
        <x:v>downloaded</x:v>
      </x:c>
      <x:c r="G380" s="31" t="str">
        <x:v>text_extracted</x:v>
      </x:c>
      <x:c r="H380" s="31" t="n">
        <x:v>1</x:v>
      </x:c>
    </x:row>
    <x:row r="381">
      <x:c r="A381" s="31" t="str">
        <x:v>r0340_smpc</x:v>
      </x:c>
      <x:c r="B381" s="31" t="str">
        <x:v>thiamine</x:v>
      </x:c>
      <x:c r="C381" s="31" t="str">
        <x:v>SMPC</x:v>
      </x:c>
      <x:c r="D381" s="31" t="str">
        <x:v>2024-11-26</x:v>
      </x:c>
      <x:c r="E381" s="37" t="str">
        <x:v>https://drug.fda.moph.go.th/media.php?id=810477458427092992&amp;name=SMPC_Thiamine hydrochloride_Tablets.pdf</x:v>
      </x:c>
      <x:c r="F381" s="31" t="str">
        <x:v>downloaded</x:v>
      </x:c>
      <x:c r="G381" s="31" t="str">
        <x:v>text_extracted</x:v>
      </x:c>
      <x:c r="H381" s="31" t="n">
        <x:v>7</x:v>
      </x:c>
    </x:row>
    <x:row r="382">
      <x:c r="A382" s="31" t="str">
        <x:v>r0341_smpc</x:v>
      </x:c>
      <x:c r="B382" s="31" t="str">
        <x:v>thiamine</x:v>
      </x:c>
      <x:c r="C382" s="31" t="str">
        <x:v>SMPC</x:v>
      </x:c>
      <x:c r="D382" s="31" t="str">
        <x:v>2024-11-22</x:v>
      </x:c>
      <x:c r="E382" s="37" t="str">
        <x:v>https://drug.fda.moph.go.th/media.php?id=810478221882695680&amp;name=SMPC_Thiamine hydrochloride_Solution for Injection.pdf</x:v>
      </x:c>
      <x:c r="F382" s="31" t="str">
        <x:v>downloaded</x:v>
      </x:c>
      <x:c r="G382" s="31" t="str">
        <x:v>text_extracted</x:v>
      </x:c>
      <x:c r="H382" s="31" t="n">
        <x:v>13</x:v>
      </x:c>
    </x:row>
    <x:row r="383">
      <x:c r="A383" s="31" t="str">
        <x:v>r0342_pil</x:v>
      </x:c>
      <x:c r="B383" s="31" t="str">
        <x:v>thimerosal</x:v>
      </x:c>
      <x:c r="C383" s="31" t="str">
        <x:v>PIL</x:v>
      </x:c>
      <x:c r="D383" s="31" t="str">
        <x:v>2024-03-15</x:v>
      </x:c>
      <x:c r="E383" s="37" t="str">
        <x:v>https://drug.fda.moph.go.th/media.php?id=733935364602994688&amp;name=PIL_Thimerosal ยาใส่แผลทิงเจอร์ (15032024).pdf</x:v>
      </x:c>
      <x:c r="F383" s="31" t="str">
        <x:v>downloaded</x:v>
      </x:c>
      <x:c r="G383" s="31" t="str">
        <x:v>text_extracted</x:v>
      </x:c>
      <x:c r="H383" s="31" t="n">
        <x:v>1</x:v>
      </x:c>
    </x:row>
    <x:row r="384">
      <x:c r="A384" s="31" t="str">
        <x:v>r0343_pil</x:v>
      </x:c>
      <x:c r="B384" s="31" t="str">
        <x:v>thioridazine</x:v>
      </x:c>
      <x:c r="C384" s="31" t="str">
        <x:v>PIL</x:v>
      </x:c>
      <x:c r="D384" s="31" t="str">
        <x:v>2025-03-19</x:v>
      </x:c>
      <x:c r="E384" s="37" t="str">
        <x:v>https://drug.fda.moph.go.th/media.php?id=808612106248265728&amp;name=Thioridazine hydrochloride_sugarCoatedTablet_PIL.pdf</x:v>
      </x:c>
      <x:c r="F384" s="31" t="str">
        <x:v>downloaded</x:v>
      </x:c>
      <x:c r="G384" s="31" t="str">
        <x:v>text_extracted</x:v>
      </x:c>
      <x:c r="H384" s="31" t="n">
        <x:v>2</x:v>
      </x:c>
    </x:row>
    <x:row r="385">
      <x:c r="A385" s="31" t="str">
        <x:v>r0344_smpc</x:v>
      </x:c>
      <x:c r="B385" s="31" t="str">
        <x:v>thyrothricin_benzocaine</x:v>
      </x:c>
      <x:c r="C385" s="31" t="str">
        <x:v>SMPC</x:v>
      </x:c>
      <x:c r="D385" s="31" t="str">
        <x:v>2024-11-29</x:v>
      </x:c>
      <x:c r="E385" s="37" t="str">
        <x:v>https://drug.fda.moph.go.th/media.php?id=810481677779476480&amp;name=SMPC_Tyrothricin and Benzocaine_Lozenge.pdf</x:v>
      </x:c>
      <x:c r="F385" s="31" t="str">
        <x:v>downloaded</x:v>
      </x:c>
      <x:c r="G385" s="31" t="str">
        <x:v>text_extracted</x:v>
      </x:c>
      <x:c r="H385" s="31" t="n">
        <x:v>6</x:v>
      </x:c>
    </x:row>
    <x:row r="386">
      <x:c r="A386" s="31" t="str">
        <x:v>r0345_smpc</x:v>
      </x:c>
      <x:c r="B386" s="31" t="str">
        <x:v>timolol</x:v>
      </x:c>
      <x:c r="C386" s="31" t="str">
        <x:v>SMPC</x:v>
      </x:c>
      <x:c r="D386" s="31" t="str">
        <x:v>2024-11-29</x:v>
      </x:c>
      <x:c r="E386" s="37" t="str">
        <x:v>https://drug.fda.moph.go.th/media.php?id=810482237991690240&amp;name=SMPC_Timolol_Eye Drops Solution.pdf</x:v>
      </x:c>
      <x:c r="F386" s="31" t="str">
        <x:v>downloaded</x:v>
      </x:c>
      <x:c r="G386" s="31" t="str">
        <x:v>text_extracted</x:v>
      </x:c>
      <x:c r="H386" s="31" t="n">
        <x:v>16</x:v>
      </x:c>
    </x:row>
    <x:row r="387">
      <x:c r="A387" s="31" t="str">
        <x:v>r0346_pil</x:v>
      </x:c>
      <x:c r="B387" s="31" t="str">
        <x:v>tinidazole</x:v>
      </x:c>
      <x:c r="C387" s="31" t="str">
        <x:v>PIL</x:v>
      </x:c>
      <x:c r="D387" s="31" t="str">
        <x:v>2025-03-19</x:v>
      </x:c>
      <x:c r="E387" s="37" t="str">
        <x:v>https://drug.fda.moph.go.th/media.php?id=808854193703100416&amp;name=Tinidazole_capsuleCompressedTabletFilmCoatedTabletEntericFilmCoatedTablet_PIL.pdf</x:v>
      </x:c>
      <x:c r="F387" s="31" t="str">
        <x:v>downloaded</x:v>
      </x:c>
      <x:c r="G387" s="31" t="str">
        <x:v>text_extracted</x:v>
      </x:c>
      <x:c r="H387" s="31" t="n">
        <x:v>1</x:v>
      </x:c>
    </x:row>
    <x:row r="388">
      <x:c r="A388" s="31" t="str">
        <x:v>r0346_smpc</x:v>
      </x:c>
      <x:c r="B388" s="31" t="str">
        <x:v>tinidazole</x:v>
      </x:c>
      <x:c r="C388" s="31" t="str">
        <x:v>SMPC</x:v>
      </x:c>
      <x:c r="D388" s="31" t="str">
        <x:v>2024-11-26</x:v>
      </x:c>
      <x:c r="E388" s="37" t="str">
        <x:v>https://drug.fda.moph.go.th/media.php?id=810482703316164608&amp;name=SMPC_Tinidazole_Film-coated Tablet.pdf</x:v>
      </x:c>
      <x:c r="F388" s="31" t="str">
        <x:v>downloaded</x:v>
      </x:c>
      <x:c r="G388" s="31" t="str">
        <x:v>text_extracted</x:v>
      </x:c>
      <x:c r="H388" s="31" t="n">
        <x:v>16</x:v>
      </x:c>
    </x:row>
    <x:row r="389">
      <x:c r="A389" s="31" t="str">
        <x:v>r0347_pil</x:v>
      </x:c>
      <x:c r="B389" s="31" t="str">
        <x:v>tinidazole</x:v>
      </x:c>
      <x:c r="C389" s="31" t="str">
        <x:v>PIL</x:v>
      </x:c>
      <x:c r="D389" s="31" t="str">
        <x:v>2025-03-19</x:v>
      </x:c>
      <x:c r="E389" s="37" t="str">
        <x:v>https://drug.fda.moph.go.th/media.php?id=808854193703100416&amp;name=Tinidazole_capsuleCompressedTabletFilmCoatedTabletEntericFilmCoatedTablet_PIL.pdf</x:v>
      </x:c>
      <x:c r="F389" s="31" t="str">
        <x:v>downloaded</x:v>
      </x:c>
      <x:c r="G389" s="31" t="str">
        <x:v>text_extracted</x:v>
      </x:c>
      <x:c r="H389" s="31" t="n">
        <x:v>1</x:v>
      </x:c>
    </x:row>
    <x:row r="390">
      <x:c r="A390" s="31" t="str">
        <x:v>r0348_pil</x:v>
      </x:c>
      <x:c r="B390" s="31" t="str">
        <x:v>tinidazole</x:v>
      </x:c>
      <x:c r="C390" s="31" t="str">
        <x:v>PIL</x:v>
      </x:c>
      <x:c r="D390" s="31" t="str">
        <x:v>2025-03-19</x:v>
      </x:c>
      <x:c r="E390" s="37" t="str">
        <x:v>https://drug.fda.moph.go.th/media.php?id=808854193703100416&amp;name=Tinidazole_capsuleCompressedTabletFilmCoatedTabletEntericFilmCoatedTablet_PIL.pdf</x:v>
      </x:c>
      <x:c r="F390" s="31" t="str">
        <x:v>downloaded</x:v>
      </x:c>
      <x:c r="G390" s="31" t="str">
        <x:v>text_extracted</x:v>
      </x:c>
      <x:c r="H390" s="31" t="n">
        <x:v>1</x:v>
      </x:c>
    </x:row>
    <x:row r="391">
      <x:c r="A391" s="31" t="str">
        <x:v>r0349_pil</x:v>
      </x:c>
      <x:c r="B391" s="31" t="str">
        <x:v>tocopherol</x:v>
      </x:c>
      <x:c r="C391" s="31" t="str">
        <x:v>PIL</x:v>
      </x:c>
      <x:c r="D391" s="31" t="str">
        <x:v>2023-11-09</x:v>
      </x:c>
      <x:c r="E391" s="37" t="str">
        <x:v>https://drug.fda.moph.go.th/media.php?id=730443346484535296&amp;name=pil_Tocopherol (CAPSULE, SOFT).pdf</x:v>
      </x:c>
      <x:c r="F391" s="31" t="str">
        <x:v>downloaded</x:v>
      </x:c>
      <x:c r="G391" s="31" t="str">
        <x:v>text_extracted</x:v>
      </x:c>
      <x:c r="H391" s="31" t="n">
        <x:v>1</x:v>
      </x:c>
    </x:row>
    <x:row r="392">
      <x:c r="A392" s="31" t="str">
        <x:v>r0349_smpc</x:v>
      </x:c>
      <x:c r="B392" s="31" t="str">
        <x:v>tocopherol</x:v>
      </x:c>
      <x:c r="C392" s="31" t="str">
        <x:v>SMPC</x:v>
      </x:c>
      <x:c r="D392" s="31" t="str">
        <x:v>2024-11-26</x:v>
      </x:c>
      <x:c r="E392" s="37" t="str">
        <x:v>https://drug.fda.moph.go.th/media.php?id=810483084486123520&amp;name=SMPC_Tocopherol_soft capsules.pdf</x:v>
      </x:c>
      <x:c r="F392" s="31" t="str">
        <x:v>downloaded</x:v>
      </x:c>
      <x:c r="G392" s="31" t="str">
        <x:v>text_extracted</x:v>
      </x:c>
      <x:c r="H392" s="31" t="n">
        <x:v>10</x:v>
      </x:c>
    </x:row>
    <x:row r="393">
      <x:c r="A393" s="31" t="str">
        <x:v>r0350_pil</x:v>
      </x:c>
      <x:c r="B393" s="31" t="str">
        <x:v>tramadol</x:v>
      </x:c>
      <x:c r="C393" s="31" t="str">
        <x:v>PIL</x:v>
      </x:c>
      <x:c r="D393" s="31" t="str">
        <x:v>2025-03-19</x:v>
      </x:c>
      <x:c r="E393" s="37" t="str">
        <x:v>https://drug.fda.moph.go.th/media.php?id=808855984142426112&amp;name=Tramadol_capsuleCompressedtablet_PIL.pdf</x:v>
      </x:c>
      <x:c r="F393" s="31" t="str">
        <x:v>downloaded</x:v>
      </x:c>
      <x:c r="G393" s="31" t="str">
        <x:v>text_extracted</x:v>
      </x:c>
      <x:c r="H393" s="31" t="n">
        <x:v>1</x:v>
      </x:c>
    </x:row>
    <x:row r="394">
      <x:c r="A394" s="31" t="str">
        <x:v>r0350_smpc</x:v>
      </x:c>
      <x:c r="B394" s="31" t="str">
        <x:v>tramadol</x:v>
      </x:c>
      <x:c r="C394" s="31" t="str">
        <x:v>SMPC</x:v>
      </x:c>
      <x:c r="D394" s="31" t="str">
        <x:v>2024-11-27</x:v>
      </x:c>
      <x:c r="E394" s="37" t="str">
        <x:v>https://drug.fda.moph.go.th/media.php?id=810483663501402112&amp;name=SMPC_Tramadol_Capsules.pdf</x:v>
      </x:c>
      <x:c r="F394" s="31" t="str">
        <x:v>downloaded</x:v>
      </x:c>
      <x:c r="G394" s="31" t="str">
        <x:v>text_extracted</x:v>
      </x:c>
      <x:c r="H394" s="31" t="n">
        <x:v>19</x:v>
      </x:c>
    </x:row>
    <x:row r="395">
      <x:c r="A395" s="31" t="str">
        <x:v>r0351_smpc</x:v>
      </x:c>
      <x:c r="B395" s="31" t="str">
        <x:v>tramadol</x:v>
      </x:c>
      <x:c r="C395" s="31" t="str">
        <x:v>SMPC</x:v>
      </x:c>
      <x:c r="D395" s="31" t="str">
        <x:v>2024-11-27</x:v>
      </x:c>
      <x:c r="E395" s="37" t="str">
        <x:v>https://drug.fda.moph.go.th/media.php?id=810484035766853632&amp;name=SMPC_Tramadol_solution for injection or infusion.pdf</x:v>
      </x:c>
      <x:c r="F395" s="31" t="str">
        <x:v>downloaded</x:v>
      </x:c>
      <x:c r="G395" s="31" t="str">
        <x:v>text_extracted</x:v>
      </x:c>
      <x:c r="H395" s="31" t="n">
        <x:v>21</x:v>
      </x:c>
    </x:row>
    <x:row r="396">
      <x:c r="A396" s="31" t="str">
        <x:v>r0352_smpc</x:v>
      </x:c>
      <x:c r="B396" s="31" t="str">
        <x:v>trazodone</x:v>
      </x:c>
      <x:c r="C396" s="31" t="str">
        <x:v>SMPC</x:v>
      </x:c>
      <x:c r="D396" s="31" t="str">
        <x:v>2024-11-26</x:v>
      </x:c>
      <x:c r="E396" s="37" t="str">
        <x:v>https://drug.fda.moph.go.th/media.php?id=810484413367459840&amp;name=SMPC_Trazodone_Tablets.pdf</x:v>
      </x:c>
      <x:c r="F396" s="31" t="str">
        <x:v>downloaded</x:v>
      </x:c>
      <x:c r="G396" s="31" t="str">
        <x:v>text_extracted</x:v>
      </x:c>
      <x:c r="H396" s="31" t="n">
        <x:v>21</x:v>
      </x:c>
    </x:row>
    <x:row r="397">
      <x:c r="A397" s="31" t="str">
        <x:v>r0353_smpc</x:v>
      </x:c>
      <x:c r="B397" s="31" t="str">
        <x:v>tretinoin</x:v>
      </x:c>
      <x:c r="C397" s="31" t="str">
        <x:v>SMPC</x:v>
      </x:c>
      <x:c r="D397" s="31" t="str">
        <x:v>2024-11-22</x:v>
      </x:c>
      <x:c r="E397" s="37" t="str">
        <x:v>https://drug.fda.moph.go.th/media.php?id=810484794516447232&amp;name=SMPC_Tretinoin_Gel.pdf</x:v>
      </x:c>
      <x:c r="F397" s="31" t="str">
        <x:v>downloaded</x:v>
      </x:c>
      <x:c r="G397" s="31" t="str">
        <x:v>text_extracted</x:v>
      </x:c>
      <x:c r="H397" s="31" t="n">
        <x:v>9</x:v>
      </x:c>
    </x:row>
    <x:row r="398">
      <x:c r="A398" s="31" t="str">
        <x:v>r0354_pil</x:v>
      </x:c>
      <x:c r="B398" s="31" t="str">
        <x:v>triamcinolone_acetonide</x:v>
      </x:c>
      <x:c r="C398" s="31" t="str">
        <x:v>PIL</x:v>
      </x:c>
      <x:c r="D398" s="31" t="str">
        <x:v>2023-11-09</x:v>
      </x:c>
      <x:c r="E398" s="37" t="str">
        <x:v>https://drug.fda.moph.go.th/media.php?id=730442794375716864&amp;name=pil_Triamcinolone acetonide (CREAM - LOTION).pdf</x:v>
      </x:c>
      <x:c r="F398" s="31" t="str">
        <x:v>downloaded</x:v>
      </x:c>
      <x:c r="G398" s="31" t="str">
        <x:v>text_extracted</x:v>
      </x:c>
      <x:c r="H398" s="31" t="n">
        <x:v>1</x:v>
      </x:c>
    </x:row>
    <x:row r="399">
      <x:c r="A399" s="31" t="str">
        <x:v>r0355_smpc</x:v>
      </x:c>
      <x:c r="B399" s="31" t="str">
        <x:v>triamcinolone_acetonide</x:v>
      </x:c>
      <x:c r="C399" s="31" t="str">
        <x:v>SMPC</x:v>
      </x:c>
      <x:c r="D399" s="31" t="str">
        <x:v>2024-11-29</x:v>
      </x:c>
      <x:c r="E399" s="37" t="str">
        <x:v>https://drug.fda.moph.go.th/media.php?id=810493020255428608&amp;name=SMPC_Triamcinolone_Suspensions for injections or infusions.pdf</x:v>
      </x:c>
      <x:c r="F399" s="31" t="str">
        <x:v>downloaded</x:v>
      </x:c>
      <x:c r="G399" s="31" t="str">
        <x:v>text_extracted</x:v>
      </x:c>
      <x:c r="H399" s="31" t="n">
        <x:v>15</x:v>
      </x:c>
    </x:row>
    <x:row r="400">
      <x:c r="A400" s="31" t="str">
        <x:v>r0356_smpc</x:v>
      </x:c>
      <x:c r="B400" s="31" t="str">
        <x:v>triamcinolone_acetonide</x:v>
      </x:c>
      <x:c r="C400" s="31" t="str">
        <x:v>SMPC</x:v>
      </x:c>
      <x:c r="D400" s="31" t="str">
        <x:v>2024-11-29</x:v>
      </x:c>
      <x:c r="E400" s="37" t="str">
        <x:v>https://drug.fda.moph.go.th/media.php?id=810493020255428608&amp;name=SMPC_Triamcinolone_Suspensions for injections or infusions.pdf</x:v>
      </x:c>
      <x:c r="F400" s="31" t="str">
        <x:v>downloaded</x:v>
      </x:c>
      <x:c r="G400" s="31" t="str">
        <x:v>text_extracted</x:v>
      </x:c>
      <x:c r="H400" s="31" t="n">
        <x:v>15</x:v>
      </x:c>
    </x:row>
    <x:row r="401">
      <x:c r="A401" s="31" t="str">
        <x:v>r0357_smpc</x:v>
      </x:c>
      <x:c r="B401" s="31" t="str">
        <x:v>trifluoperazine</x:v>
      </x:c>
      <x:c r="C401" s="31" t="str">
        <x:v>SMPC</x:v>
      </x:c>
      <x:c r="D401" s="31" t="str">
        <x:v>2024-11-29</x:v>
      </x:c>
      <x:c r="E401" s="37" t="str">
        <x:v>https://drug.fda.moph.go.th/media.php?id=810493611467743232&amp;name=SMPC_Trifluoperazine_Tablets.pdf</x:v>
      </x:c>
      <x:c r="F401" s="31" t="str">
        <x:v>downloaded</x:v>
      </x:c>
      <x:c r="G401" s="31" t="str">
        <x:v>text_extracted</x:v>
      </x:c>
      <x:c r="H401" s="31" t="n">
        <x:v>11</x:v>
      </x:c>
    </x:row>
    <x:row r="402">
      <x:c r="A402" s="31" t="str">
        <x:v>r0358_smpc</x:v>
      </x:c>
      <x:c r="B402" s="31" t="str">
        <x:v>trimethoprim_sulfamethoxazole</x:v>
      </x:c>
      <x:c r="C402" s="31" t="str">
        <x:v>SMPC</x:v>
      </x:c>
      <x:c r="D402" s="31" t="str">
        <x:v>2024-11-27</x:v>
      </x:c>
      <x:c r="E402" s="37" t="str">
        <x:v>https://drug.fda.moph.go.th/media.php?id=810494133834752000&amp;name=SMPC_Trimethoprim + Sulfamethoxazole_Solution for Infusion.pdf</x:v>
      </x:c>
      <x:c r="F402" s="31" t="str">
        <x:v>downloaded</x:v>
      </x:c>
      <x:c r="G402" s="31" t="str">
        <x:v>text_extracted</x:v>
      </x:c>
      <x:c r="H402" s="31" t="n">
        <x:v>24</x:v>
      </x:c>
    </x:row>
    <x:row r="403">
      <x:c r="A403" s="31" t="str">
        <x:v>r0359_pil</x:v>
      </x:c>
      <x:c r="B403" s="31" t="str">
        <x:v>verapamil</x:v>
      </x:c>
      <x:c r="C403" s="31" t="str">
        <x:v>PIL</x:v>
      </x:c>
      <x:c r="D403" s="31" t="str">
        <x:v>2023-04-13</x:v>
      </x:c>
      <x:c r="E403" s="37" t="str">
        <x:v>https://drug.fda.moph.go.th/media.php?id=730442671180619776&amp;name=pil_Verapamil hydrochloride (TABLET 40 mg, 80 mg).pdf</x:v>
      </x:c>
      <x:c r="F403" s="31" t="str">
        <x:v>downloaded</x:v>
      </x:c>
      <x:c r="G403" s="31" t="str">
        <x:v>text_extracted</x:v>
      </x:c>
      <x:c r="H403" s="31" t="n">
        <x:v>1</x:v>
      </x:c>
    </x:row>
    <x:row r="404">
      <x:c r="A404" s="31" t="str">
        <x:v>r0360_pil</x:v>
      </x:c>
      <x:c r="B404" s="31" t="str">
        <x:v>vitamin_b1_b6_b12</x:v>
      </x:c>
      <x:c r="C404" s="31" t="str">
        <x:v>PIL</x:v>
      </x:c>
      <x:c r="D404" s="31" t="str">
        <x:v>2025-03-19</x:v>
      </x:c>
      <x:c r="E404" s="37" t="str">
        <x:v>https://drug.fda.moph.go.th/media.php?id=808856449353654272&amp;name=VitaminB1B6B12_tablet_PIL.pdf</x:v>
      </x:c>
      <x:c r="F404" s="31" t="str">
        <x:v>downloaded</x:v>
      </x:c>
      <x:c r="G404" s="31" t="str">
        <x:v>text_extracted</x:v>
      </x:c>
      <x:c r="H404" s="31" t="n">
        <x:v>1</x:v>
      </x:c>
    </x:row>
    <x:row r="405">
      <x:c r="A405" s="31" t="str">
        <x:v>r0361_pil</x:v>
      </x:c>
      <x:c r="B405" s="31" t="str">
        <x:v>vitamin_b_complex</x:v>
      </x:c>
      <x:c r="C405" s="31" t="str">
        <x:v>PIL</x:v>
      </x:c>
      <x:c r="D405" s="31" t="str">
        <x:v>2024-04-10</x:v>
      </x:c>
      <x:c r="E405" s="37" t="str">
        <x:v>https://drug.fda.moph.go.th/media.php?id=733934898674540544&amp;name=PIL_Vitamin B-complex ชนิดเม็ดและแคปซูล_(11042024).pdf</x:v>
      </x:c>
      <x:c r="F405" s="31" t="str">
        <x:v>downloaded</x:v>
      </x:c>
      <x:c r="G405" s="31" t="str">
        <x:v>text_extracted</x:v>
      </x:c>
      <x:c r="H405" s="31" t="n">
        <x:v>1</x:v>
      </x:c>
    </x:row>
    <x:row r="406">
      <x:c r="A406" s="31" t="str">
        <x:v>r0362_pil</x:v>
      </x:c>
      <x:c r="B406" s="31" t="str">
        <x:v>vitamin_c</x:v>
      </x:c>
      <x:c r="C406" s="31" t="str">
        <x:v>PIL</x:v>
      </x:c>
      <x:c r="D406" s="31" t="str">
        <x:v>2024-03-15</x:v>
      </x:c>
      <x:c r="E406" s="37" t="str">
        <x:v>https://drug.fda.moph.go.th/media.php?id=733933363483779072&amp;name=PIL ยาเม็ดวิตามินซี (15032024).pdf</x:v>
      </x:c>
      <x:c r="F406" s="31" t="str">
        <x:v>downloaded</x:v>
      </x:c>
      <x:c r="G406" s="31" t="str">
        <x:v>text_extracted</x:v>
      </x:c>
      <x:c r="H406" s="31" t="n">
        <x:v>1</x:v>
      </x:c>
    </x:row>
    <x:row r="407">
      <x:c r="A407" s="31" t="str">
        <x:v>r0363_smpc</x:v>
      </x:c>
      <x:c r="B407" s="31" t="str">
        <x:v>water_for_injection</x:v>
      </x:c>
      <x:c r="C407" s="31" t="str">
        <x:v>SMPC</x:v>
      </x:c>
      <x:c r="D407" s="31" t="str">
        <x:v>2024-11-27</x:v>
      </x:c>
      <x:c r="E407" s="37" t="str">
        <x:v>https://drug.fda.moph.go.th/media.php?id=810494575130058752&amp;name=SMPC_Water for Injections_solvent for parenteral use.pdf</x:v>
      </x:c>
      <x:c r="F407" s="31" t="str">
        <x:v>downloaded</x:v>
      </x:c>
      <x:c r="G407" s="31" t="str">
        <x:v>text_extracted</x:v>
      </x:c>
      <x:c r="H407" s="31" t="n">
        <x:v>4</x:v>
      </x:c>
    </x:row>
    <x:row r="408">
      <x:c r="A408" s="31" t="str">
        <x:v>r0364_smpc</x:v>
      </x:c>
      <x:c r="B408" s="31" t="str">
        <x:v>zidovudine</x:v>
      </x:c>
      <x:c r="C408" s="31" t="str">
        <x:v>SMPC</x:v>
      </x:c>
      <x:c r="D408" s="31" t="str">
        <x:v>2024-11-29</x:v>
      </x:c>
      <x:c r="E408" s="37" t="str">
        <x:v>https://drug.fda.moph.go.th/media.php?id=810494978483691520&amp;name=SMPC_Zidovudine_Capsules.pdf</x:v>
      </x:c>
      <x:c r="F408" s="31" t="str">
        <x:v>downloaded</x:v>
      </x:c>
      <x:c r="G408" s="31" t="str">
        <x:v>text_extracted</x:v>
      </x:c>
      <x:c r="H408" s="31" t="n">
        <x:v>23</x:v>
      </x:c>
    </x:row>
    <x:row r="409">
      <x:c r="A409" s="31" t="str">
        <x:v>r0365_pil</x:v>
      </x:c>
      <x:c r="B409" s="31" t="str">
        <x:v>zinc_oxide</x:v>
      </x:c>
      <x:c r="C409" s="31" t="str">
        <x:v>PIL</x:v>
      </x:c>
      <x:c r="D409" s="31" t="str">
        <x:v>2023-11-09</x:v>
      </x:c>
      <x:c r="E409" s="37" t="str">
        <x:v>https://drug.fda.moph.go.th/media.php?id=730441990902259712&amp;name=pil_Zinc oxide (CREAM).pdf</x:v>
      </x:c>
      <x:c r="F409" s="31" t="str">
        <x:v>downloaded</x:v>
      </x:c>
      <x:c r="G409" s="31" t="str">
        <x:v>text_extracted</x:v>
      </x:c>
      <x:c r="H409" s="31" t="n">
        <x:v>1</x:v>
      </x:c>
    </x:row>
    <x:row r="410">
      <x:c r="A410" s="31" t="str">
        <x:v>r0366_smpc</x:v>
      </x:c>
      <x:c r="B410" s="31" t="str">
        <x:v>zinc_oxide</x:v>
      </x:c>
      <x:c r="C410" s="31" t="str">
        <x:v>SMPC</x:v>
      </x:c>
      <x:c r="D410" s="31" t="str">
        <x:v>2024-11-26</x:v>
      </x:c>
      <x:c r="E410" s="37" t="str">
        <x:v>https://drug.fda.moph.go.th/media.php?id=810495384341323776&amp;name=SMPC_Zinc oxide_Ointment.pdf</x:v>
      </x:c>
      <x:c r="F410" s="31" t="str">
        <x:v>downloaded</x:v>
      </x:c>
      <x:c r="G410" s="31" t="str">
        <x:v>text_extracted</x:v>
      </x:c>
      <x:c r="H410" s="31" t="n">
        <x:v>4</x:v>
      </x:c>
    </x:row>
    <x:row r="411">
      <x:c r="A411" s="31" t="str">
        <x:v>r0367_pil</x:v>
      </x:c>
      <x:c r="B411" s="31" t="str">
        <x:v>zinc</x:v>
      </x:c>
      <x:c r="C411" s="31" t="str">
        <x:v>PIL</x:v>
      </x:c>
      <x:c r="D411" s="31" t="str">
        <x:v>2023-11-09</x:v>
      </x:c>
      <x:c r="E411" s="37" t="str">
        <x:v>https://drug.fda.moph.go.th/media.php?id=730442096309313536&amp;name=pil_Zinc sulfate (TABLET - CAPSULE, HARD).pdf</x:v>
      </x:c>
      <x:c r="F411" s="31" t="str">
        <x:v>downloaded</x:v>
      </x:c>
      <x:c r="G411" s="31" t="str">
        <x:v>text_extracted</x:v>
      </x:c>
      <x:c r="H411" s="31" t="n">
        <x:v>1</x:v>
      </x:c>
    </x:row>
    <x:row r="412">
      <x:c r="A412" s="31" t="str">
        <x:v>r0367_smpc</x:v>
      </x:c>
      <x:c r="B412" s="31" t="str">
        <x:v>zinc</x:v>
      </x:c>
      <x:c r="C412" s="31" t="str">
        <x:v>SMPC</x:v>
      </x:c>
      <x:c r="D412" s="31" t="str">
        <x:v>2024-11-26</x:v>
      </x:c>
      <x:c r="E412" s="37" t="str">
        <x:v>https://drug.fda.moph.go.th/media.php?id=810495775787327488&amp;name=SMPC_Zinc sulfate_hardcapsules.pdf</x:v>
      </x:c>
      <x:c r="F412" s="31" t="str">
        <x:v>downloaded</x:v>
      </x:c>
      <x:c r="G412" s="31" t="str">
        <x:v>text_extracted</x:v>
      </x:c>
      <x:c r="H412" s="31" t="n">
        <x:v>7</x:v>
      </x:c>
    </x:row>
    <x:row r="413">
      <x:c r="A413" s="31" t="str">
        <x:v>r0368_pil</x:v>
      </x:c>
      <x:c r="B413" s="31" t="str">
        <x:v>drug_cdacb08fe5</x:v>
      </x:c>
      <x:c r="C413" s="31" t="str">
        <x:v>PIL</x:v>
      </x:c>
      <x:c r="D413" s="31" t="str">
        <x:v>2024-03-15</x:v>
      </x:c>
      <x:c r="E413" s="37" t="str">
        <x:v>https://drug.fda.moph.go.th/media.php?id=733928051582312448&amp;name=PIL asafetida tincture_ทิงเจอร์มหาหิงคุ์ (15032024).pdf</x:v>
      </x:c>
      <x:c r="F413" s="31" t="str">
        <x:v>downloaded</x:v>
      </x:c>
      <x:c r="G413" s="31" t="str">
        <x:v>text_extracted</x:v>
      </x:c>
      <x:c r="H413" s="31" t="n">
        <x:v>1</x:v>
      </x:c>
    </x:row>
    <x:row r="414">
      <x:c r="A414" s="31" t="str">
        <x:v>r0369_pil</x:v>
      </x:c>
      <x:c r="B414" s="31" t="str">
        <x:v>drug_a56a456d37</x:v>
      </x:c>
      <x:c r="C414" s="31" t="str">
        <x:v>PIL</x:v>
      </x:c>
      <x:c r="D414" s="31" t="str">
        <x:v>2024-03-15</x:v>
      </x:c>
      <x:c r="E414" s="37" t="str">
        <x:v>https://drug.fda.moph.go.th/media.php?id=733933046130155520&amp;name=PIL น้ำมันตับปลาชนิดแคปซูล (15032024).pdf</x:v>
      </x:c>
      <x:c r="F414" s="31" t="str">
        <x:v>downloaded</x:v>
      </x:c>
      <x:c r="G414" s="31" t="str">
        <x:v>text_extracted</x:v>
      </x:c>
      <x:c r="H414" s="31" t="n">
        <x:v>1</x:v>
      </x:c>
    </x:row>
    <x:row r="415">
      <x:c r="A415" s="31" t="str">
        <x:v>r0370_pil</x:v>
      </x:c>
      <x:c r="B415" s="31" t="str">
        <x:v>drug_a56a456d37</x:v>
      </x:c>
      <x:c r="C415" s="31" t="str">
        <x:v>PIL</x:v>
      </x:c>
      <x:c r="D415" s="31" t="str">
        <x:v>2024-03-15</x:v>
      </x:c>
      <x:c r="E415" s="37" t="str">
        <x:v>https://drug.fda.moph.go.th/media.php?id=733933217782046720&amp;name=PIL_น้ำมันตับปลาชนิดน้ำ (15032024).pdf</x:v>
      </x:c>
      <x:c r="F415" s="31" t="str">
        <x:v>downloaded</x:v>
      </x:c>
      <x:c r="G415" s="31" t="str">
        <x:v>text_extracted</x:v>
      </x:c>
      <x:c r="H415" s="31" t="n">
        <x:v>1</x:v>
      </x:c>
    </x:row>
    <x:row r="416">
      <x:c r="A416" s="31" t="str">
        <x:v>r0371_pil</x:v>
      </x:c>
      <x:c r="B416" s="31" t="str">
        <x:v>drug_27c03b94af</x:v>
      </x:c>
      <x:c r="C416" s="31" t="str">
        <x:v>PIL</x:v>
      </x:c>
      <x:c r="D416" s="31" t="str">
        <x:v>2024-03-15</x:v>
      </x:c>
      <x:c r="E416" s="37" t="str">
        <x:v>https://drug.fda.moph.go.th/media.php?id=733932929000022016&amp;name=PIL พลาสเตอร์บรรเทาปวด (15032024).pdf</x:v>
      </x:c>
      <x:c r="F416" s="31" t="str">
        <x:v>downloaded</x:v>
      </x:c>
      <x:c r="G416" s="31" t="str">
        <x:v>text_extracted</x:v>
      </x:c>
      <x:c r="H416" s="31" t="n">
        <x:v>1</x:v>
      </x:c>
    </x:row>
    <x:row r="417">
      <x:c r="A417" s="31" t="str">
        <x:v>r0372_pil</x:v>
      </x:c>
      <x:c r="B417" s="31" t="str">
        <x:v>drug_3ed2c8244f</x:v>
      </x:c>
      <x:c r="C417" s="31" t="str">
        <x:v>PIL</x:v>
      </x:c>
      <x:c r="D417" s="31" t="str">
        <x:v>2024-03-15</x:v>
      </x:c>
      <x:c r="E417" s="37" t="str">
        <x:v>https://drug.fda.moph.go.th/media.php?id=733932148049977344&amp;name=PIL ยาแก้ไอขับเสมหะสำหรับเด็ก (15032024).pdf</x:v>
      </x:c>
      <x:c r="F417" s="31" t="str">
        <x:v>downloaded</x:v>
      </x:c>
      <x:c r="G417" s="31" t="str">
        <x:v>text_extracted</x:v>
      </x:c>
      <x:c r="H417" s="31" t="n">
        <x:v>1</x:v>
      </x:c>
    </x:row>
    <x:row r="418">
      <x:c r="A418" s="31" t="str">
        <x:v>r0373_pil</x:v>
      </x:c>
      <x:c r="B418" s="31" t="str">
        <x:v>drug_9d2a2ed6b2</x:v>
      </x:c>
      <x:c r="C418" s="31" t="str">
        <x:v>PIL</x:v>
      </x:c>
      <x:c r="D418" s="31" t="str">
        <x:v>2024-03-15</x:v>
      </x:c>
      <x:c r="E418" s="37" t="str">
        <x:v>https://drug.fda.moph.go.th/media.php?id=733931981942956032&amp;name=PIL ยาแก้ไอน้ำดำ (15032024).pdf</x:v>
      </x:c>
      <x:c r="F418" s="31" t="str">
        <x:v>downloaded</x:v>
      </x:c>
      <x:c r="G418" s="31" t="str">
        <x:v>text_extracted</x:v>
      </x:c>
      <x:c r="H418" s="31" t="n">
        <x:v>1</x:v>
      </x:c>
    </x:row>
    <x:row r="419">
      <x:c r="A419" s="31" t="str">
        <x:v>r0374_pil</x:v>
      </x:c>
      <x:c r="B419" s="31" t="str">
        <x:v>drug_e5698924be</x:v>
      </x:c>
      <x:c r="C419" s="31" t="str">
        <x:v>PIL</x:v>
      </x:c>
      <x:c r="D419" s="31" t="str">
        <x:v>2024-03-15</x:v>
      </x:c>
      <x:c r="E419" s="37" t="str">
        <x:v>https://drug.fda.moph.go.th/media.php?id=733932285426016256&amp;name=PIL_ยาธาตุน้ำแดง_update (15032024).pdf</x:v>
      </x:c>
      <x:c r="F419" s="31" t="str">
        <x:v>downloaded</x:v>
      </x:c>
      <x:c r="G419" s="31" t="str">
        <x:v>text_extracted</x:v>
      </x:c>
      <x:c r="H419" s="31" t="n">
        <x:v>1</x:v>
      </x:c>
    </x:row>
    <x:row r="420">
      <x:c r="A420" s="31" t="str">
        <x:v>r0375_pil</x:v>
      </x:c>
      <x:c r="B420" s="31" t="str">
        <x:v>drug_a6f4c03545</x:v>
      </x:c>
      <x:c r="C420" s="31" t="str">
        <x:v>PIL</x:v>
      </x:c>
      <x:c r="D420" s="31" t="str">
        <x:v>2024-10-17</x:v>
      </x:c>
      <x:c r="E420" s="37" t="str">
        <x:v>https://drug.fda.moph.go.th/media.php?id=733929159822286848&amp;name=PIL ยาใส่แผลทิงเจอร์ไอโอดีน (17102024).pdf</x:v>
      </x:c>
      <x:c r="F420" s="31" t="str">
        <x:v>downloaded</x:v>
      </x:c>
      <x:c r="G420" s="31" t="str">
        <x:v>text_extracted</x:v>
      </x:c>
      <x:c r="H420" s="31" t="n">
        <x:v>3</x:v>
      </x:c>
    </x:row>
    <x:row r="421">
      <x:c r="A421" s="31" t="str">
        <x:v>r0376_pil</x:v>
      </x:c>
      <x:c r="B421" s="31" t="str">
        <x:v>drug_81f7f5bc2d</x:v>
      </x:c>
      <x:c r="C421" s="31" t="str">
        <x:v>PIL</x:v>
      </x:c>
      <x:c r="D421" s="31" t="str">
        <x:v>2024-03-15</x:v>
      </x:c>
      <x:c r="E421" s="37" t="str">
        <x:v>https://drug.fda.moph.go.th/media.php?id=733932669158694912&amp;name=PIL ยากวาดคอ (150320204).pdf</x:v>
      </x:c>
      <x:c r="F421" s="31" t="str">
        <x:v>downloaded</x:v>
      </x:c>
      <x:c r="G421" s="31" t="str">
        <x:v>text_extracted</x:v>
      </x:c>
      <x:c r="H421" s="31" t="n">
        <x:v>1</x:v>
      </x:c>
    </x:row>
    <x:row r="422">
      <x:c r="A422" s="31" t="str">
        <x:v>r0377_pil</x:v>
      </x:c>
      <x:c r="B422" s="31" t="str">
        <x:v>drug_0ec240fe15</x:v>
      </x:c>
      <x:c r="C422" s="31" t="str">
        <x:v>PIL</x:v>
      </x:c>
      <x:c r="D422" s="31" t="str">
        <x:v>2024-03-15</x:v>
      </x:c>
      <x:c r="E422" s="37" t="str">
        <x:v>https://drug.fda.moph.go.th/media.php?id=733930253092790272&amp;name=PIL ยาขับลม (15032024).pdf</x:v>
      </x:c>
      <x:c r="F422" s="31" t="str">
        <x:v>downloaded</x:v>
      </x:c>
      <x:c r="G422" s="31" t="str">
        <x:v>text_extracted</x:v>
      </x:c>
      <x:c r="H422" s="31" t="n">
        <x:v>1</x:v>
      </x:c>
    </x:row>
    <x:row r="423">
      <x:c r="A423" s="31" t="str">
        <x:v>r0378_pil</x:v>
      </x:c>
      <x:c r="B423" s="31" t="str">
        <x:v>drug_b4b2b3db2d</x:v>
      </x:c>
      <x:c r="C423" s="31" t="str">
        <x:v>PIL</x:v>
      </x:c>
      <x:c r="D423" s="31" t="str">
        <x:v>2024-03-15</x:v>
      </x:c>
      <x:c r="E423" s="37" t="str">
        <x:v>https://drug.fda.moph.go.th/media.php?id=733929846647955456&amp;name=PIL ยาดมแก้วิงเวียนเหล้าแอมโมเนียหอม (15032024).pdf</x:v>
      </x:c>
      <x:c r="F423" s="31" t="str">
        <x:v>downloaded</x:v>
      </x:c>
      <x:c r="G423" s="31" t="str">
        <x:v>text_extracted</x:v>
      </x:c>
      <x:c r="H423" s="31" t="n">
        <x:v>1</x:v>
      </x:c>
    </x:row>
    <x:row r="424">
      <x:c r="A424" s="31" t="str">
        <x:v>r0379_pil</x:v>
      </x:c>
      <x:c r="B424" s="31" t="str">
        <x:v>drug_22863faecb</x:v>
      </x:c>
      <x:c r="C424" s="31" t="str">
        <x:v>PIL</x:v>
      </x:c>
      <x:c r="D424" s="31" t="str">
        <x:v>2024-03-15</x:v>
      </x:c>
      <x:c r="E424" s="37" t="str">
        <x:v>https://drug.fda.moph.go.th/media.php?id=733929961076957184&amp;name=PIL ยาดมแก้วิงเวียนแก้คัดจมูก (15032024).pdf</x:v>
      </x:c>
      <x:c r="F424" s="31" t="str">
        <x:v>downloaded</x:v>
      </x:c>
      <x:c r="G424" s="31" t="str">
        <x:v>text_extracted</x:v>
      </x:c>
      <x:c r="H424" s="31" t="n">
        <x:v>1</x:v>
      </x:c>
    </x:row>
    <x:row r="425">
      <x:c r="A425" s="31" t="str">
        <x:v>r0380_pil</x:v>
      </x:c>
      <x:c r="B425" s="31" t="str">
        <x:v>drug_0b25ab6d64</x:v>
      </x:c>
      <x:c r="C425" s="31" t="str">
        <x:v>PIL</x:v>
      </x:c>
      <x:c r="D425" s="31" t="str">
        <x:v>2024-03-15</x:v>
      </x:c>
      <x:c r="E425" s="37" t="str">
        <x:v>https://drug.fda.moph.go.th/media.php?id=733929511644700672&amp;name=PIL ยาทาระเหยบรรเทาอาการคัดจมูกชนิดขี้ผึ้ง (15032024).pdf</x:v>
      </x:c>
      <x:c r="F425" s="31" t="str">
        <x:v>downloaded</x:v>
      </x:c>
      <x:c r="G425" s="31" t="str">
        <x:v>text_extracted</x:v>
      </x:c>
      <x:c r="H425" s="31" t="n">
        <x:v>1</x:v>
      </x:c>
    </x:row>
    <x:row r="426">
      <x:c r="A426" s="31" t="str">
        <x:v>r0381_pil</x:v>
      </x:c>
      <x:c r="B426" s="31" t="str">
        <x:v>drug_d49a89ee4c</x:v>
      </x:c>
      <x:c r="C426" s="31" t="str">
        <x:v>PIL</x:v>
      </x:c>
      <x:c r="D426" s="31" t="str">
        <x:v>2024-03-15</x:v>
      </x:c>
      <x:c r="E426" s="37" t="str">
        <x:v>https://drug.fda.moph.go.th/media.php?id=733929359777341440&amp;name=PIL ยาระบายมะขามแขก (15032024).pdf</x:v>
      </x:c>
      <x:c r="F426" s="31" t="str">
        <x:v>downloaded</x:v>
      </x:c>
      <x:c r="G426" s="31" t="str">
        <x:v>text_extracted</x:v>
      </x:c>
      <x:c r="H426" s="31" t="n">
        <x:v>1</x:v>
      </x:c>
    </x:row>
    <x:row r="427">
      <x:c r="A427" s="31" t="str">
        <x:v>r0382_pil</x:v>
      </x:c>
      <x:c r="B427" s="31" t="str">
        <x:v>drug_a96b7e501e</x:v>
      </x:c>
      <x:c r="C427" s="31" t="str">
        <x:v>PIL</x:v>
      </x:c>
      <x:c r="D427" s="31" t="str">
        <x:v>2024-03-15</x:v>
      </x:c>
      <x:c r="E427" s="37" t="str">
        <x:v>https://drug.fda.moph.go.th/media.php?id=733925199526895616&amp;name=PIL ยาหม่องชนิดขี้ผึ้ง (15032024).pdf</x:v>
      </x:c>
      <x:c r="F427" s="31" t="str">
        <x:v>downloaded</x:v>
      </x:c>
      <x:c r="G427" s="31" t="str">
        <x:v>text_extracted</x:v>
      </x:c>
      <x:c r="H427" s="31" t="n">
        <x:v>1</x:v>
      </x:c>
    </x:row>
    <x:row r="428">
      <x:c r="A428" s="31" t="str">
        <x:v>r0383_pil</x:v>
      </x:c>
      <x:c r="B428" s="31" t="str">
        <x:v>amyl_metacresol_2_4_dichloro_benzyl_alcohol_ascorbic_acid</x:v>
      </x:c>
      <x:c r="C428" s="31" t="str">
        <x:v>PIL</x:v>
      </x:c>
      <x:c r="D428" s="31" t="str">
        <x:v>2024-03-15</x:v>
      </x:c>
      <x:c r="E428" s="37" t="str">
        <x:v>https://drug.fda.moph.go.th/media.php?id=733928774151839744&amp;name=PIL ยาอมบรรเทาอาการเจ็บคอ_(150320204).pdf</x:v>
      </x:c>
      <x:c r="F428" s="31" t="str">
        <x:v>downloaded</x:v>
      </x:c>
      <x:c r="G428" s="31" t="str">
        <x:v>text_extracted</x:v>
      </x:c>
      <x:c r="H428" s="31" t="n">
        <x:v>1</x:v>
      </x:c>
    </x:row>
    <x:row r="429">
      <x:c r="A429" s="31" t="str">
        <x:v>r0384_pil</x:v>
      </x:c>
      <x:c r="B429" s="31" t="str">
        <x:v>drug_cdf20ba583</x:v>
      </x:c>
      <x:c r="C429" s="31" t="str">
        <x:v>PIL</x:v>
      </x:c>
      <x:c r="D429" s="31" t="str">
        <x:v>2024-03-15</x:v>
      </x:c>
      <x:c r="E429" s="37" t="str">
        <x:v>https://drug.fda.moph.go.th/media.php?id=733928650512146432&amp;name=PIL ยาอมบรรเทาอาการระคายคอ (15032024).pdf</x:v>
      </x:c>
      <x:c r="F429" s="31" t="str">
        <x:v>downloaded</x:v>
      </x:c>
      <x:c r="G429" s="31" t="str">
        <x:v>text_extracted</x:v>
      </x:c>
      <x:c r="H429" s="31" t="n">
        <x:v>1</x:v>
      </x:c>
    </x:row>
    <x:row r="430">
      <x:c r="A430" s="31" t="str">
        <x:v>r0385_pil</x:v>
      </x:c>
      <x:c r="B430" s="31" t="str">
        <x:v>cefoperazone</x:v>
      </x:c>
      <x:c r="C430" s="31" t="str">
        <x:v>PIL</x:v>
      </x:c>
      <x:c r="D430" s="31" t="str">
        <x:v>2026-02-13</x:v>
      </x:c>
      <x:c r="E430" s="37" t="str">
        <x:v>https://drug.fda.moph.go.th/media.php?id=862918393894936576&amp;name=1. Cefoperazone_injection_PIL_final.pdf</x:v>
      </x:c>
      <x:c r="F430" s="31" t="str">
        <x:v>downloaded</x:v>
      </x:c>
      <x:c r="G430" s="31" t="str">
        <x:v>text_extracted</x:v>
      </x:c>
      <x:c r="H430" s="31" t="n">
        <x:v>1</x:v>
      </x:c>
    </x:row>
    <x:row r="431">
      <x:c r="A431" s="31" t="str">
        <x:v>r0386_pil</x:v>
      </x:c>
      <x:c r="B431" s="31" t="str">
        <x:v>cefoperazone_sulbactam</x:v>
      </x:c>
      <x:c r="C431" s="31" t="str">
        <x:v>PIL</x:v>
      </x:c>
      <x:c r="D431" s="31" t="str">
        <x:v>2026-02-13</x:v>
      </x:c>
      <x:c r="E431" s="37" t="str">
        <x:v>https://drug.fda.moph.go.th/media.php?id=862918395853676544&amp;name=2. CefoperazoneSulbactam_injection_PIL_final.pdf</x:v>
      </x:c>
      <x:c r="F431" s="31" t="str">
        <x:v>downloaded</x:v>
      </x:c>
      <x:c r="G431" s="31" t="str">
        <x:v>text_extracted</x:v>
      </x:c>
      <x:c r="H431" s="31" t="n">
        <x:v>1</x:v>
      </x:c>
    </x:row>
    <x:row r="432">
      <x:c r="A432" s="31" t="str">
        <x:v>r0387_pil</x:v>
      </x:c>
      <x:c r="B432" s="31" t="str">
        <x:v>cefuroxime_axetil</x:v>
      </x:c>
      <x:c r="C432" s="31" t="str">
        <x:v>PIL</x:v>
      </x:c>
      <x:c r="D432" s="31" t="str">
        <x:v>2026-02-13</x:v>
      </x:c>
      <x:c r="E432" s="37" t="str">
        <x:v>https://drug.fda.moph.go.th/media.php?id=862918394750574592&amp;name=3. cefuroxime Axetil_tablets_PIL_final.pdf</x:v>
      </x:c>
      <x:c r="F432" s="31" t="str">
        <x:v>downloaded</x:v>
      </x:c>
      <x:c r="G432" s="31" t="str">
        <x:v>text_extracted</x:v>
      </x:c>
      <x:c r="H432" s="31" t="n">
        <x:v>2</x:v>
      </x:c>
    </x:row>
    <x:row r="433">
      <x:c r="A433" s="31" t="str">
        <x:v>r0388_pil</x:v>
      </x:c>
      <x:c r="B433" s="31" t="str">
        <x:v>cefaclor</x:v>
      </x:c>
      <x:c r="C433" s="31" t="str">
        <x:v>PIL</x:v>
      </x:c>
      <x:c r="D433" s="31" t="str">
        <x:v>2026-02-13</x:v>
      </x:c>
      <x:c r="E433" s="37" t="str">
        <x:v>https://drug.fda.moph.go.th/media.php?id=862918392741502976&amp;name=4.cefaclor_susp_PIL_final.pdf</x:v>
      </x:c>
      <x:c r="F433" s="31" t="str">
        <x:v>downloaded</x:v>
      </x:c>
      <x:c r="G433" s="31" t="str">
        <x:v>text_extracted</x:v>
      </x:c>
      <x:c r="H433" s="31" t="n">
        <x:v>2</x:v>
      </x:c>
    </x:row>
    <x:row r="434">
      <x:c r="A434" s="31" t="str">
        <x:v>r0389_pil</x:v>
      </x:c>
      <x:c r="B434" s="31" t="str">
        <x:v>cefadroxil</x:v>
      </x:c>
      <x:c r="C434" s="31" t="str">
        <x:v>PIL</x:v>
      </x:c>
      <x:c r="D434" s="31" t="str">
        <x:v>2026-02-13</x:v>
      </x:c>
      <x:c r="E434" s="37" t="str">
        <x:v>https://drug.fda.moph.go.th/media.php?id=862918390044565504&amp;name=5. cefadroxil_capsules_PIL_final.pdf</x:v>
      </x:c>
      <x:c r="F434" s="31" t="str">
        <x:v>downloaded</x:v>
      </x:c>
      <x:c r="G434" s="31" t="str">
        <x:v>text_extracted</x:v>
      </x:c>
      <x:c r="H434" s="31" t="n">
        <x:v>2</x:v>
      </x:c>
    </x:row>
    <x:row r="435">
      <x:c r="A435" s="31" t="str">
        <x:v>r0390_pil</x:v>
      </x:c>
      <x:c r="B435" s="31" t="str">
        <x:v>cefalexin</x:v>
      </x:c>
      <x:c r="C435" s="31" t="str">
        <x:v>PIL</x:v>
      </x:c>
      <x:c r="D435" s="31" t="str">
        <x:v>2026-02-13</x:v>
      </x:c>
      <x:c r="E435" s="37" t="str">
        <x:v>https://drug.fda.moph.go.th/media.php?id=862918390786957312&amp;name=6.cefalexin_capsules_PIL_final.pdf</x:v>
      </x:c>
      <x:c r="F435" s="31" t="str">
        <x:v>downloaded</x:v>
      </x:c>
      <x:c r="G435" s="31" t="str">
        <x:v>text_extracted</x:v>
      </x:c>
      <x:c r="H435" s="31" t="n">
        <x:v>3</x:v>
      </x:c>
    </x:row>
    <x:row r="436">
      <x:c r="A436" s="31" t="str">
        <x:v>r0391_pil</x:v>
      </x:c>
      <x:c r="B436" s="31" t="str">
        <x:v>cefdinir</x:v>
      </x:c>
      <x:c r="C436" s="31" t="str">
        <x:v>PIL</x:v>
      </x:c>
      <x:c r="D436" s="31" t="str">
        <x:v>2026-02-13</x:v>
      </x:c>
      <x:c r="E436" s="37" t="str">
        <x:v>https://drug.fda.moph.go.th/media.php?id=862918391428685824&amp;name=7. cefdinir_capsules_PIL_final_.pdf</x:v>
      </x:c>
      <x:c r="F436" s="31" t="str">
        <x:v>downloaded</x:v>
      </x:c>
      <x:c r="G436" s="31" t="str">
        <x:v>text_extracted</x:v>
      </x:c>
      <x:c r="H436" s="31" t="n">
        <x:v>2</x:v>
      </x:c>
    </x:row>
    <x:row r="437">
      <x:c r="A437" s="31" t="str">
        <x:v>r0392_pil</x:v>
      </x:c>
      <x:c r="B437" s="31" t="str">
        <x:v>cefalexin</x:v>
      </x:c>
      <x:c r="C437" s="31" t="str">
        <x:v>PIL</x:v>
      </x:c>
      <x:c r="D437" s="31" t="str">
        <x:v>2026-02-13</x:v>
      </x:c>
      <x:c r="E437" s="37" t="str">
        <x:v>https://drug.fda.moph.go.th/media.php?id=862918389801295872&amp;name=8. Cefalexin_dry_syup_PIL_final_.pdf</x:v>
      </x:c>
      <x:c r="F437" s="31" t="str">
        <x:v>downloaded</x:v>
      </x:c>
      <x:c r="G437" s="31" t="str">
        <x:v>text_extracted</x:v>
      </x:c>
      <x:c r="H437" s="31" t="n">
        <x:v>2</x:v>
      </x:c>
    </x:row>
    <x:row r="438">
      <x:c r="A438" s="31" t="str">
        <x:v>r0393_pil</x:v>
      </x:c>
      <x:c r="B438" s="31" t="str">
        <x:v>cefuroxime</x:v>
      </x:c>
      <x:c r="C438" s="31" t="str">
        <x:v>PIL</x:v>
      </x:c>
      <x:c r="D438" s="31" t="str">
        <x:v>2026-02-13</x:v>
      </x:c>
      <x:c r="E438" s="37" t="str">
        <x:v>https://drug.fda.moph.go.th/media.php?id=862918394066903040&amp;name=9. Cefuroxime_dry_syup_PIL_final.pdf</x:v>
      </x:c>
      <x:c r="F438" s="31" t="str">
        <x:v>downloaded</x:v>
      </x:c>
      <x:c r="G438" s="31" t="str">
        <x:v>text_extracted</x:v>
      </x:c>
      <x:c r="H438" s="31" t="n">
        <x:v>3</x:v>
      </x:c>
    </x:row>
    <x:row r="439">
      <x:c r="A439" s="31" t="str">
        <x:v>r0394_pil</x:v>
      </x:c>
      <x:c r="B439" s="31" t="str">
        <x:v>carboplatin</x:v>
      </x:c>
      <x:c r="C439" s="31" t="str">
        <x:v>PIL</x:v>
      </x:c>
      <x:c r="D439" s="31" t="str">
        <x:v>2026-02-13</x:v>
      </x:c>
      <x:c r="E439" s="37" t="str">
        <x:v>https://drug.fda.moph.go.th/media.php?id=864026451677159424&amp;name=Carboplatin_Inj_PIL_final.pdf</x:v>
      </x:c>
      <x:c r="F439" s="31" t="str">
        <x:v>downloaded</x:v>
      </x:c>
      <x:c r="G439" s="31" t="str">
        <x:v>text_extracted</x:v>
      </x:c>
      <x:c r="H439" s="31" t="n">
        <x:v>2</x:v>
      </x:c>
    </x:row>
    <x:row r="440">
      <x:c r="A440" s="31" t="str">
        <x:v>r0395_pil</x:v>
      </x:c>
      <x:c r="B440" s="31" t="str">
        <x:v>cyclophosphamide</x:v>
      </x:c>
      <x:c r="C440" s="31" t="str">
        <x:v>PIL</x:v>
      </x:c>
      <x:c r="D440" s="31" t="str">
        <x:v>2026-02-13</x:v>
      </x:c>
      <x:c r="E440" s="37" t="str">
        <x:v>https://drug.fda.moph.go.th/media.php?id=862918391248330752&amp;name=11. Cyclophosphamide_inj_PIL_final.pdf</x:v>
      </x:c>
      <x:c r="F440" s="31" t="str">
        <x:v>downloaded</x:v>
      </x:c>
      <x:c r="G440" s="31" t="str">
        <x:v>text_extracted</x:v>
      </x:c>
      <x:c r="H440" s="31" t="n">
        <x:v>2</x:v>
      </x:c>
    </x:row>
    <x:row r="441">
      <x:c r="A441" s="31" t="str">
        <x:v>r0396_pil</x:v>
      </x:c>
      <x:c r="B441" s="31" t="str">
        <x:v>cyclophosphamide</x:v>
      </x:c>
      <x:c r="C441" s="31" t="str">
        <x:v>PIL</x:v>
      </x:c>
      <x:c r="D441" s="31" t="str">
        <x:v>2026-02-13</x:v>
      </x:c>
      <x:c r="E441" s="37" t="str">
        <x:v>https://drug.fda.moph.go.th/media.php?id=862918393693609984&amp;name=12.Cyclophosphamide_Tablets_PIL_final.pdf</x:v>
      </x:c>
      <x:c r="F441" s="31" t="str">
        <x:v>downloaded</x:v>
      </x:c>
      <x:c r="G441" s="31" t="str">
        <x:v>text_extracted</x:v>
      </x:c>
      <x:c r="H441" s="31" t="n">
        <x:v>2</x:v>
      </x:c>
    </x:row>
    <x:row r="442">
      <x:c r="A442" s="31" t="str">
        <x:v>r0397_pil</x:v>
      </x:c>
      <x:c r="B442" s="31" t="str">
        <x:v>doxorubicin</x:v>
      </x:c>
      <x:c r="C442" s="31" t="str">
        <x:v>PIL</x:v>
      </x:c>
      <x:c r="D442" s="31" t="str">
        <x:v>2026-02-13</x:v>
      </x:c>
      <x:c r="E442" s="37" t="str">
        <x:v>https://drug.fda.moph.go.th/media.php?id=862918390954729472&amp;name=13.Doxorubicin  HCl_inj_PIL_final.pdf</x:v>
      </x:c>
      <x:c r="F442" s="31" t="str">
        <x:v>downloaded</x:v>
      </x:c>
      <x:c r="G442" s="31" t="str">
        <x:v>text_extracted</x:v>
      </x:c>
      <x:c r="H442" s="31" t="n">
        <x:v>2</x:v>
      </x:c>
    </x:row>
    <x:row r="443">
      <x:c r="A443" s="31" t="str">
        <x:v>r0398_pil</x:v>
      </x:c>
      <x:c r="B443" s="31" t="str">
        <x:v>fluorouracil</x:v>
      </x:c>
      <x:c r="C443" s="31" t="str">
        <x:v>PIL</x:v>
      </x:c>
      <x:c r="D443" s="31" t="str">
        <x:v>2026-02-13</x:v>
      </x:c>
      <x:c r="E443" s="37" t="str">
        <x:v>https://drug.fda.moph.go.th/media.php?id=862918390296223744&amp;name=14.Fluorouracil_inj_PIL_final.pdf</x:v>
      </x:c>
      <x:c r="F443" s="31" t="str">
        <x:v>downloaded</x:v>
      </x:c>
      <x:c r="G443" s="31" t="str">
        <x:v>text_extracted</x:v>
      </x:c>
      <x:c r="H443" s="31" t="n">
        <x:v>3</x:v>
      </x:c>
    </x:row>
    <x:row r="444">
      <x:c r="A444" s="31" t="str">
        <x:v>r0399_pil</x:v>
      </x:c>
      <x:c r="B444" s="31" t="str">
        <x:v>methotrexate</x:v>
      </x:c>
      <x:c r="C444" s="31" t="str">
        <x:v>PIL</x:v>
      </x:c>
      <x:c r="D444" s="31" t="str">
        <x:v>2026-02-13</x:v>
      </x:c>
      <x:c r="E444" s="37" t="str">
        <x:v>https://drug.fda.moph.go.th/media.php?id=862918389411225600&amp;name=15.Methotrexate_Inj_PIL_final.pdf</x:v>
      </x:c>
      <x:c r="F444" s="31" t="str">
        <x:v>downloaded</x:v>
      </x:c>
      <x:c r="G444" s="31" t="str">
        <x:v>text_extracted</x:v>
      </x:c>
      <x:c r="H444" s="31" t="n">
        <x:v>2</x:v>
      </x:c>
    </x:row>
    <x:row r="445">
      <x:c r="A445" s="31" t="str">
        <x:v>r0400_pil</x:v>
      </x:c>
      <x:c r="B445" s="31" t="str">
        <x:v>tamoxifen</x:v>
      </x:c>
      <x:c r="C445" s="31" t="str">
        <x:v>PIL</x:v>
      </x:c>
      <x:c r="D445" s="31" t="str">
        <x:v>2026-02-13</x:v>
      </x:c>
      <x:c r="E445" s="37" t="str">
        <x:v>https://drug.fda.moph.go.th/media.php?id=862918389235064832&amp;name=16.Tamoxifen_Tablets_PIL_final.pdf</x:v>
      </x:c>
      <x:c r="F445" s="31" t="str">
        <x:v>downloaded</x:v>
      </x:c>
      <x:c r="G445" s="31" t="str">
        <x:v>text_extracted</x:v>
      </x:c>
      <x:c r="H445" s="31" t="n">
        <x:v>2</x:v>
      </x:c>
    </x:row>
    <x:row r="446">
      <x:c r="A446" s="31" t="str">
        <x:v>r0401_pil</x:v>
      </x:c>
      <x:c r="B446" s="31" t="str">
        <x:v>calcium_folinate</x:v>
      </x:c>
      <x:c r="C446" s="31" t="str">
        <x:v>PIL</x:v>
      </x:c>
      <x:c r="D446" s="31" t="str">
        <x:v>2026-02-13</x:v>
      </x:c>
      <x:c r="E446" s="37" t="str">
        <x:v>https://drug.fda.moph.go.th/media.php?id=862918388987600896&amp;name=17.Calcium folinate_Inj_PIL_final.pdf</x:v>
      </x:c>
      <x:c r="F446" s="31" t="str">
        <x:v>downloaded</x:v>
      </x:c>
      <x:c r="G446" s="31" t="str">
        <x:v>text_extracted</x:v>
      </x:c>
      <x:c r="H446" s="31" t="n">
        <x:v>1</x:v>
      </x:c>
    </x:row>
    <x:row r="447">
      <x:c r="A447" s="31" t="str">
        <x:v>r0402_pil</x:v>
      </x:c>
      <x:c r="B447" s="31" t="str">
        <x:v>ofloxacin</x:v>
      </x:c>
      <x:c r="C447" s="31" t="str">
        <x:v>PIL</x:v>
      </x:c>
      <x:c r="D447" s="31" t="str">
        <x:v>2026-02-13</x:v>
      </x:c>
      <x:c r="E447" s="37" t="str">
        <x:v>https://drug.fda.moph.go.th/media.php?id=862918389574803456&amp;name=18.ofloxacin_tablets_PIL_final.pdf</x:v>
      </x:c>
      <x:c r="F447" s="31" t="str">
        <x:v>downloaded</x:v>
      </x:c>
      <x:c r="G447" s="31" t="str">
        <x:v>text_extracted</x:v>
      </x:c>
      <x:c r="H447" s="31" t="n">
        <x:v>3</x:v>
      </x:c>
    </x:row>
    <x:row r="448">
      <x:c r="A448" s="31" t="str">
        <x:v>r0403_pil</x:v>
      </x:c>
      <x:c r="B448" s="31" t="str">
        <x:v>norfloxacin</x:v>
      </x:c>
      <x:c r="C448" s="31" t="str">
        <x:v>PIL</x:v>
      </x:c>
      <x:c r="D448" s="31" t="str">
        <x:v>2026-02-13</x:v>
      </x:c>
      <x:c r="E448" s="37" t="str">
        <x:v>https://drug.fda.moph.go.th/media.php?id=862918392955412480&amp;name=19.norfloxacin_tablets_PIL_final.pdf</x:v>
      </x:c>
      <x:c r="F448" s="31" t="str">
        <x:v>downloaded</x:v>
      </x:c>
      <x:c r="G448" s="31" t="str">
        <x:v>text_extracted</x:v>
      </x:c>
      <x:c r="H448" s="31" t="n">
        <x:v>3</x:v>
      </x:c>
    </x:row>
    <x:row r="449">
      <x:c r="A449" s="31" t="str">
        <x:v>r0404_pil</x:v>
      </x:c>
      <x:c r="B449" s="31" t="str">
        <x:v>amoxicillin_trihydrate_potassium_clavulanate</x:v>
      </x:c>
      <x:c r="C449" s="31" t="str">
        <x:v>PIL</x:v>
      </x:c>
      <x:c r="D449" s="31" t="str">
        <x:v>2026-02-13</x:v>
      </x:c>
      <x:c r="E449" s="37" t="str">
        <x:v>https://drug.fda.moph.go.th/media.php?id=862918390451412992&amp;name=20. amoxicillin+clavulanate_tablets_PIL_final.pdf</x:v>
      </x:c>
      <x:c r="F449" s="31" t="str">
        <x:v>downloaded</x:v>
      </x:c>
      <x:c r="G449" s="31" t="str">
        <x:v>text_extracted</x:v>
      </x:c>
      <x:c r="H449" s="31" t="n">
        <x:v>3</x:v>
      </x:c>
    </x:row>
    <x:row r="450">
      <x:c r="A450" s="31" t="str">
        <x:v>r0405_pil</x:v>
      </x:c>
      <x:c r="B450" s="31" t="str">
        <x:v>roxithromycin</x:v>
      </x:c>
      <x:c r="C450" s="31" t="str">
        <x:v>PIL</x:v>
      </x:c>
      <x:c r="D450" s="31" t="str">
        <x:v>2026-02-13</x:v>
      </x:c>
      <x:c r="E450" s="37" t="str">
        <x:v>https://drug.fda.moph.go.th/media.php?id=862918388656250880&amp;name=21.Roxithromycin_tablet_PIL_final.pdf</x:v>
      </x:c>
      <x:c r="F450" s="31" t="str">
        <x:v>downloaded</x:v>
      </x:c>
      <x:c r="G450" s="31" t="str">
        <x:v>text_extracted</x:v>
      </x:c>
      <x:c r="H450" s="31" t="n">
        <x:v>1</x:v>
      </x:c>
    </x:row>
    <x:row r="451">
      <x:c r="A451" s="31" t="str">
        <x:v>r0406_pil</x:v>
      </x:c>
      <x:c r="B451" s="31" t="str">
        <x:v>phenoxymethylpenicillin</x:v>
      </x:c>
      <x:c r="C451" s="31" t="str">
        <x:v>PIL</x:v>
      </x:c>
      <x:c r="D451" s="31" t="str">
        <x:v>2026-02-13</x:v>
      </x:c>
      <x:c r="E451" s="37" t="str">
        <x:v>https://drug.fda.moph.go.th/media.php?id=862918394427613184&amp;name=22.Phenoxymethylpenicillin_dry_syup_PIL_final_.pdf</x:v>
      </x:c>
      <x:c r="F451" s="31" t="str">
        <x:v>downloaded</x:v>
      </x:c>
      <x:c r="G451" s="31" t="str">
        <x:v>text_extracted</x:v>
      </x:c>
      <x:c r="H451" s="31" t="n">
        <x:v>3</x:v>
      </x:c>
    </x:row>
    <x:row r="452">
      <x:c r="A452" s="31" t="str">
        <x:v>r0407_pil</x:v>
      </x:c>
      <x:c r="B452" s="31" t="str">
        <x:v>phenoxymethylpenicillin_potassium_penicillin_v</x:v>
      </x:c>
      <x:c r="C452" s="31" t="str">
        <x:v>PIL</x:v>
      </x:c>
      <x:c r="D452" s="31" t="str">
        <x:v>2026-02-13</x:v>
      </x:c>
      <x:c r="E452" s="37" t="str">
        <x:v>https://drug.fda.moph.go.th/media.php?id=862918396285689856&amp;name=23.phenoxymethylpenicillin potassium_tablets_PIL_final.pdf</x:v>
      </x:c>
      <x:c r="F452" s="31" t="str">
        <x:v>downloaded</x:v>
      </x:c>
      <x:c r="G452" s="31" t="str">
        <x:v>text_extracted</x:v>
      </x:c>
      <x:c r="H452" s="31" t="n">
        <x:v>3</x:v>
      </x:c>
    </x:row>
    <x:row r="453">
      <x:c r="A453" s="31" t="str">
        <x:v>r0408_pil</x:v>
      </x:c>
      <x:c r="B453" s="31" t="str">
        <x:v>amikacin</x:v>
      </x:c>
      <x:c r="C453" s="31" t="str">
        <x:v>PIL</x:v>
      </x:c>
      <x:c r="D453" s="31" t="str">
        <x:v>2026-02-13</x:v>
      </x:c>
      <x:c r="E453" s="37" t="str">
        <x:v>https://drug.fda.moph.go.th/media.php?id=862918393123184640&amp;name=24.amikacin sulfate_sterile solution_PIL_final.pdf</x:v>
      </x:c>
      <x:c r="F453" s="31" t="str">
        <x:v>downloaded</x:v>
      </x:c>
      <x:c r="G453" s="31" t="str">
        <x:v>text_extracted</x:v>
      </x:c>
      <x:c r="H453" s="31" t="n">
        <x:v>3</x:v>
      </x:c>
    </x:row>
    <x:row r="454">
      <x:c r="A454" s="31" t="str">
        <x:v>r0409_pil</x:v>
      </x:c>
      <x:c r="B454" s="31" t="str">
        <x:v>lincomycin</x:v>
      </x:c>
      <x:c r="C454" s="31" t="str">
        <x:v>PIL</x:v>
      </x:c>
      <x:c r="D454" s="31" t="str">
        <x:v>2026-02-13</x:v>
      </x:c>
      <x:c r="E454" s="37" t="str">
        <x:v>https://drug.fda.moph.go.th/media.php?id=862918393525837824&amp;name=25. lincomycin_sterile solution_PIL_final.pdf</x:v>
      </x:c>
      <x:c r="F454" s="31" t="str">
        <x:v>downloaded</x:v>
      </x:c>
      <x:c r="G454" s="31" t="str">
        <x:v>text_extracted</x:v>
      </x:c>
      <x:c r="H454" s="31" t="n">
        <x:v>2</x:v>
      </x:c>
    </x:row>
    <x:row r="455">
      <x:c r="A455" s="31" t="str">
        <x:v>r0410_pil</x:v>
      </x:c>
      <x:c r="B455" s="31" t="str">
        <x:v>clarithromycin</x:v>
      </x:c>
      <x:c r="C455" s="31" t="str">
        <x:v>PIL</x:v>
      </x:c>
      <x:c r="D455" s="31" t="str">
        <x:v>2026-02-13</x:v>
      </x:c>
      <x:c r="E455" s="37" t="str">
        <x:v>https://drug.fda.moph.go.th/media.php?id=862918388824023040&amp;name=26.Clarithromycin_tablet_PIL_finaL.pdf</x:v>
      </x:c>
      <x:c r="F455" s="31" t="str">
        <x:v>downloaded</x:v>
      </x:c>
      <x:c r="G455" s="31" t="str">
        <x:v>text_extracted</x:v>
      </x:c>
      <x:c r="H455" s="31" t="n">
        <x:v>2</x:v>
      </x:c>
    </x:row>
    <x:row r="456">
      <x:c r="A456" s="31" t="str">
        <x:v>r0411_pil</x:v>
      </x:c>
      <x:c r="B456" s="31" t="str">
        <x:v>aminophylline</x:v>
      </x:c>
      <x:c r="C456" s="31" t="str">
        <x:v>PIL</x:v>
      </x:c>
      <x:c r="D456" s="31" t="str">
        <x:v>2026-02-13</x:v>
      </x:c>
      <x:c r="E456" s="37" t="str">
        <x:v>https://drug.fda.moph.go.th/media.php?id=862918394586996736&amp;name=27. Aminophylline_tablet_PIL_Final.pdf</x:v>
      </x:c>
      <x:c r="F456" s="31" t="str">
        <x:v>downloaded</x:v>
      </x:c>
      <x:c r="G456" s="31" t="str">
        <x:v>text_extracted</x:v>
      </x:c>
      <x:c r="H456" s="31" t="n">
        <x:v>1</x:v>
      </x:c>
    </x:row>
    <x:row r="457">
      <x:c r="A457" s="31" t="str">
        <x:v>r0412_pil</x:v>
      </x:c>
      <x:c r="B457" s="31" t="str">
        <x:v>guaifenesin</x:v>
      </x:c>
      <x:c r="C457" s="31" t="str">
        <x:v>PIL</x:v>
      </x:c>
      <x:c r="D457" s="31" t="str">
        <x:v>2026-02-13</x:v>
      </x:c>
      <x:c r="E457" s="37" t="str">
        <x:v>https://drug.fda.moph.go.th/media.php?id=862918393341288448&amp;name=28. Guaifenesin_syrup_PIL_Final.pdf</x:v>
      </x:c>
      <x:c r="F457" s="31" t="str">
        <x:v>downloaded</x:v>
      </x:c>
      <x:c r="G457" s="31" t="str">
        <x:v>text_extracted</x:v>
      </x:c>
      <x:c r="H457" s="31" t="n">
        <x:v>1</x:v>
      </x:c>
    </x:row>
    <x:row r="458">
      <x:c r="A458" s="31" t="str">
        <x:v>r0413_pil</x:v>
      </x:c>
      <x:c r="B458" s="31" t="str">
        <x:v>procaterol</x:v>
      </x:c>
      <x:c r="C458" s="31" t="str">
        <x:v>PIL</x:v>
      </x:c>
      <x:c r="D458" s="31" t="str">
        <x:v>2026-02-13</x:v>
      </x:c>
      <x:c r="E458" s="37" t="str">
        <x:v>https://drug.fda.moph.go.th/media.php?id=862918390623379456&amp;name=29.Procaterol_syrup_PIL_Final.pdf</x:v>
      </x:c>
      <x:c r="F458" s="31" t="str">
        <x:v>downloaded</x:v>
      </x:c>
      <x:c r="G458" s="31" t="str">
        <x:v>text_extracted</x:v>
      </x:c>
      <x:c r="H458" s="31" t="n">
        <x:v>1</x:v>
      </x:c>
    </x:row>
    <x:row r="459">
      <x:c r="A459" s="31" t="str">
        <x:v>r0414_pil</x:v>
      </x:c>
      <x:c r="B459" s="31" t="str">
        <x:v>diphenhydramine</x:v>
      </x:c>
      <x:c r="C459" s="31" t="str">
        <x:v>PIL</x:v>
      </x:c>
      <x:c r="D459" s="31" t="str">
        <x:v>2026-02-13</x:v>
      </x:c>
      <x:c r="E459" s="37" t="str">
        <x:v>https://drug.fda.moph.go.th/media.php?id=862918394234675200&amp;name=30. Diphenhydramine_tablet_PIL_Final.pdf</x:v>
      </x:c>
      <x:c r="F459" s="31" t="str">
        <x:v>downloaded</x:v>
      </x:c>
      <x:c r="G459" s="31" t="str">
        <x:v>text_extracted</x:v>
      </x:c>
      <x:c r="H459" s="31" t="n">
        <x:v>2</x:v>
      </x:c>
    </x:row>
    <x:row r="460">
      <x:c r="A460" s="31" t="str">
        <x:v>r0415_pil</x:v>
      </x:c>
      <x:c r="B460" s="31" t="str">
        <x:v>pyrimethamine</x:v>
      </x:c>
      <x:c r="C460" s="31" t="str">
        <x:v>PIL</x:v>
      </x:c>
      <x:c r="D460" s="31" t="str">
        <x:v>2026-02-13</x:v>
      </x:c>
      <x:c r="E460" s="37" t="str">
        <x:v>https://drug.fda.moph.go.th/media.php?id=862918388308123648&amp;name=31.Pyrimethamine_tablet_PIL_final.pdf</x:v>
      </x:c>
      <x:c r="F460" s="31" t="str">
        <x:v>downloaded</x:v>
      </x:c>
      <x:c r="G460" s="31" t="str">
        <x:v>text_extracted</x:v>
      </x:c>
      <x:c r="H460" s="31" t="n">
        <x:v>1</x:v>
      </x:c>
    </x:row>
    <x:row r="461">
      <x:c r="A461" s="31" t="str">
        <x:v>r0416_pil</x:v>
      </x:c>
      <x:c r="B461" s="31" t="str">
        <x:v>quinine</x:v>
      </x:c>
      <x:c r="C461" s="31" t="str">
        <x:v>PIL</x:v>
      </x:c>
      <x:c r="D461" s="31" t="str">
        <x:v>2026-02-13</x:v>
      </x:c>
      <x:c r="E461" s="37" t="str">
        <x:v>https://drug.fda.moph.go.th/media.php?id=862918387930636288&amp;name=32. Quinine_tablet_PIL_final.pdf</x:v>
      </x:c>
      <x:c r="F461" s="31" t="str">
        <x:v>downloaded</x:v>
      </x:c>
      <x:c r="G461" s="31" t="str">
        <x:v>text_extracted</x:v>
      </x:c>
      <x:c r="H461" s="31" t="n">
        <x:v>1</x:v>
      </x:c>
    </x:row>
    <x:row r="462">
      <x:c r="A462" s="31" t="str">
        <x:v>r0417_pil</x:v>
      </x:c>
      <x:c r="B462" s="31" t="str">
        <x:v>isoniazid</x:v>
      </x:c>
      <x:c r="C462" s="31" t="str">
        <x:v>PIL</x:v>
      </x:c>
      <x:c r="D462" s="31" t="str">
        <x:v>2026-02-13</x:v>
      </x:c>
      <x:c r="E462" s="37" t="str">
        <x:v>https://drug.fda.moph.go.th/media.php?id=862918388467507200&amp;name=33. isoniazid_tablets_PIL_final.pdf</x:v>
      </x:c>
      <x:c r="F462" s="31" t="str">
        <x:v>downloaded</x:v>
      </x:c>
      <x:c r="G462" s="31" t="str">
        <x:v>text_extracted</x:v>
      </x:c>
      <x:c r="H462" s="31" t="n">
        <x:v>3</x:v>
      </x:c>
    </x:row>
    <x:row r="463">
      <x:c r="A463" s="31" t="str">
        <x:v>r0418_pil</x:v>
      </x:c>
      <x:c r="B463" s="31" t="str">
        <x:v>chlorpromazine</x:v>
      </x:c>
      <x:c r="C463" s="31" t="str">
        <x:v>PIL</x:v>
      </x:c>
      <x:c r="D463" s="31" t="str">
        <x:v>2026-02-13</x:v>
      </x:c>
      <x:c r="E463" s="37" t="str">
        <x:v>https://drug.fda.moph.go.th/media.php?id=862918388090019840&amp;name=34. Chlorpromazine_tablet_PIL-final.pdf</x:v>
      </x:c>
      <x:c r="F463" s="31" t="str">
        <x:v>downloaded</x:v>
      </x:c>
      <x:c r="G463" s="31" t="str">
        <x:v>text_extracted</x:v>
      </x:c>
      <x:c r="H463" s="31" t="n">
        <x:v>2</x:v>
      </x:c>
    </x:row>
    <x:row r="464">
      <x:c r="A464" s="31" t="str">
        <x:v>r0419_pil</x:v>
      </x:c>
      <x:c r="B464" s="31" t="str">
        <x:v>colchicine</x:v>
      </x:c>
      <x:c r="C464" s="31" t="str">
        <x:v>PIL</x:v>
      </x:c>
      <x:c r="D464" s="31" t="str">
        <x:v>2026-02-13</x:v>
      </x:c>
      <x:c r="E464" s="37" t="str">
        <x:v>https://drug.fda.moph.go.th/media.php?id=862918387561537536&amp;name=35.Colchicine_Tablets_PIL-final.pdf</x:v>
      </x:c>
      <x:c r="F464" s="31" t="str">
        <x:v>downloaded</x:v>
      </x:c>
      <x:c r="G464" s="31" t="str">
        <x:v>text_extracted</x:v>
      </x:c>
      <x:c r="H464" s="31" t="n">
        <x:v>3</x:v>
      </x:c>
    </x:row>
    <x:row r="465">
      <x:c r="A465" s="31" t="str">
        <x:v>r0420_pil</x:v>
      </x:c>
      <x:c r="B465" s="31" t="str">
        <x:v>niclosamide</x:v>
      </x:c>
      <x:c r="C465" s="31" t="str">
        <x:v>PIL</x:v>
      </x:c>
      <x:c r="D465" s="31" t="str">
        <x:v>2026-02-13</x:v>
      </x:c>
      <x:c r="E465" s="37" t="str">
        <x:v>https://drug.fda.moph.go.th/media.php?id=862918387754475520&amp;name=36.Niclosamide_Tablets_PIL_final.pdf</x:v>
      </x:c>
      <x:c r="F465" s="31" t="str">
        <x:v>downloaded</x:v>
      </x:c>
      <x:c r="G465" s="31" t="str">
        <x:v>text_extracted</x:v>
      </x:c>
      <x:c r="H465" s="31" t="n">
        <x:v>2</x:v>
      </x:c>
    </x:row>
    <x:row r="466">
      <x:c r="A466" s="31" t="str">
        <x:v>r0421_pil</x:v>
      </x:c>
      <x:c r="B466" s="31" t="str">
        <x:v>mianserin</x:v>
      </x:c>
      <x:c r="C466" s="31" t="str">
        <x:v>PIL</x:v>
      </x:c>
      <x:c r="D466" s="31" t="str">
        <x:v>2026-02-13</x:v>
      </x:c>
      <x:c r="E466" s="37" t="str">
        <x:v>https://drug.fda.moph.go.th/media.php?id=862918387217604608&amp;name=37.Mianserin_tablet_PIL-final.pdf</x:v>
      </x:c>
      <x:c r="F466" s="31" t="str">
        <x:v>downloaded</x:v>
      </x:c>
      <x:c r="G466" s="31" t="str">
        <x:v>text_extracted</x:v>
      </x:c>
      <x:c r="H466" s="31" t="n">
        <x:v>2</x:v>
      </x:c>
    </x:row>
    <x:row r="467">
      <x:c r="A467" s="31" t="str">
        <x:v>r0422_pil</x:v>
      </x:c>
      <x:c r="B467" s="31" t="str">
        <x:v>pimozide</x:v>
      </x:c>
      <x:c r="C467" s="31" t="str">
        <x:v>PIL</x:v>
      </x:c>
      <x:c r="D467" s="31" t="str">
        <x:v>2026-02-13</x:v>
      </x:c>
      <x:c r="E467" s="37" t="str">
        <x:v>https://drug.fda.moph.go.th/media.php?id=862918387037249536&amp;name=38.Pimozide_Tablets_PIL_final.pdf</x:v>
      </x:c>
      <x:c r="F467" s="31" t="str">
        <x:v>downloaded</x:v>
      </x:c>
      <x:c r="G467" s="31" t="str">
        <x:v>text_extracted</x:v>
      </x:c>
      <x:c r="H467" s="31" t="n">
        <x:v>3</x:v>
      </x:c>
    </x:row>
    <x:row r="468">
      <x:c r="A468" s="31" t="str">
        <x:v>r0423_pil</x:v>
      </x:c>
      <x:c r="B468" s="31" t="str">
        <x:v>timolol</x:v>
      </x:c>
      <x:c r="C468" s="31" t="str">
        <x:v>PIL</x:v>
      </x:c>
      <x:c r="D468" s="31" t="str">
        <x:v>2026-02-13</x:v>
      </x:c>
      <x:c r="E468" s="37" t="str">
        <x:v>https://drug.fda.moph.go.th/media.php?id=862918387385376768&amp;name=39.Timolol_eyedrop_PIL_final.pdf</x:v>
      </x:c>
      <x:c r="F468" s="31" t="str">
        <x:v>downloaded</x:v>
      </x:c>
      <x:c r="G468" s="31" t="str">
        <x:v>text_extracted</x:v>
      </x:c>
      <x:c r="H468" s="31" t="n">
        <x:v>3</x:v>
      </x:c>
    </x:row>
    <x:row r="469">
      <x:c r="A469" s="31" t="str">
        <x:v>r0424_pil</x:v>
      </x:c>
      <x:c r="B469" s="31" t="str">
        <x:v>amitriptyline</x:v>
      </x:c>
      <x:c r="C469" s="31" t="str">
        <x:v>PIL</x:v>
      </x:c>
      <x:c r="D469" s="31" t="str">
        <x:v>2026-02-13</x:v>
      </x:c>
      <x:c r="E469" s="37" t="str">
        <x:v>https://drug.fda.moph.go.th/media.php?id=862918386114502656&amp;name=40.Amitriptyline_tablet_PIL.pdf</x:v>
      </x:c>
      <x:c r="F469" s="31" t="str">
        <x:v>downloaded</x:v>
      </x:c>
      <x:c r="G469" s="31" t="str">
        <x:v>text_extracted</x:v>
      </x:c>
      <x:c r="H469" s="31" t="n">
        <x:v>2</x:v>
      </x:c>
    </x:row>
    <x:row r="470">
      <x:c r="A470" s="31" t="str">
        <x:v>r0425_pil</x:v>
      </x:c>
      <x:c r="B470" s="31" t="str">
        <x:v>bromocriptine</x:v>
      </x:c>
      <x:c r="C470" s="31" t="str">
        <x:v>PIL</x:v>
      </x:c>
      <x:c r="D470" s="31" t="str">
        <x:v>2026-02-13</x:v>
      </x:c>
      <x:c r="E470" s="37" t="str">
        <x:v>https://drug.fda.moph.go.th/media.php?id=862918386806562816&amp;name=41.Bromocriptine_tablet_PIL.pdf</x:v>
      </x:c>
      <x:c r="F470" s="31" t="str">
        <x:v>downloaded</x:v>
      </x:c>
      <x:c r="G470" s="31" t="str">
        <x:v>text_extracted</x:v>
      </x:c>
      <x:c r="H470" s="31" t="n">
        <x:v>2</x:v>
      </x:c>
    </x:row>
    <x:row r="471">
      <x:c r="A471" s="31" t="str">
        <x:v>r0426_pil</x:v>
      </x:c>
      <x:c r="B471" s="31" t="str">
        <x:v>disulfiram</x:v>
      </x:c>
      <x:c r="C471" s="31" t="str">
        <x:v>PIL</x:v>
      </x:c>
      <x:c r="D471" s="31" t="str">
        <x:v>2026-02-13</x:v>
      </x:c>
      <x:c r="E471" s="37" t="str">
        <x:v>https://drug.fda.moph.go.th/media.php?id=862918386374549504&amp;name=42.Disulfiram_Tablets_PIL.pdf</x:v>
      </x:c>
      <x:c r="F471" s="31" t="str">
        <x:v>downloaded</x:v>
      </x:c>
      <x:c r="G471" s="31" t="str">
        <x:v>text_extracted</x:v>
      </x:c>
      <x:c r="H471" s="31" t="n">
        <x:v>3</x:v>
      </x:c>
    </x:row>
    <x:row r="472">
      <x:c r="A472" s="31" t="str">
        <x:v>r0427_pil</x:v>
      </x:c>
      <x:c r="B472" s="31" t="str">
        <x:v>lithium</x:v>
      </x:c>
      <x:c r="C472" s="31" t="str">
        <x:v>PIL</x:v>
      </x:c>
      <x:c r="D472" s="31" t="str">
        <x:v>2026-02-13</x:v>
      </x:c>
      <x:c r="E472" s="37" t="str">
        <x:v>https://drug.fda.moph.go.th/media.php?id=862918386550710272&amp;name=43.LithiumCarbonate_capsule_PIL.pdf</x:v>
      </x:c>
      <x:c r="F472" s="31" t="str">
        <x:v>downloaded</x:v>
      </x:c>
      <x:c r="G472" s="31" t="str">
        <x:v>text_extracted</x:v>
      </x:c>
      <x:c r="H472" s="31" t="n">
        <x:v>2</x:v>
      </x:c>
    </x:row>
    <x:row r="473">
      <x:c r="A473" s="31" t="str">
        <x:v>r0428_pil</x:v>
      </x:c>
      <x:c r="B473" s="31" t="str">
        <x:v>imipramine</x:v>
      </x:c>
      <x:c r="C473" s="31" t="str">
        <x:v>PIL</x:v>
      </x:c>
      <x:c r="D473" s="31" t="str">
        <x:v>2026-02-13</x:v>
      </x:c>
      <x:c r="E473" s="37" t="str">
        <x:v>https://drug.fda.moph.go.th/media.php?id=862918385892204544&amp;name=44.Imipramine_tablet_PIL.pdf</x:v>
      </x:c>
      <x:c r="F473" s="31" t="str">
        <x:v>downloaded</x:v>
      </x:c>
      <x:c r="G473" s="31" t="str">
        <x:v>text_extracted</x:v>
      </x:c>
      <x:c r="H473" s="31" t="n">
        <x:v>2</x:v>
      </x:c>
    </x:row>
    <x:row r="474">
      <x:c r="A474" s="31" t="str">
        <x:v>r0429_pil</x:v>
      </x:c>
      <x:c r="B474" s="31" t="str">
        <x:v>nortriptyline</x:v>
      </x:c>
      <x:c r="C474" s="31" t="str">
        <x:v>PIL</x:v>
      </x:c>
      <x:c r="D474" s="31" t="str">
        <x:v>2026-02-13</x:v>
      </x:c>
      <x:c r="E474" s="37" t="str">
        <x:v>https://drug.fda.moph.go.th/media.php?id=862918385342750720&amp;name=45.Nortriptyline_tablet_PIL.pdf</x:v>
      </x:c>
      <x:c r="F474" s="31" t="str">
        <x:v>downloaded</x:v>
      </x:c>
      <x:c r="G474" s="31" t="str">
        <x:v>text_extracted</x:v>
      </x:c>
      <x:c r="H474" s="31" t="n">
        <x:v>2</x:v>
      </x:c>
    </x:row>
    <x:row r="475">
      <x:c r="A475" s="31" t="str">
        <x:v>r0430_pil</x:v>
      </x:c>
      <x:c r="B475" s="31" t="str">
        <x:v>perphenazine</x:v>
      </x:c>
      <x:c r="C475" s="31" t="str">
        <x:v>PIL</x:v>
      </x:c>
      <x:c r="D475" s="31" t="str">
        <x:v>2026-02-13</x:v>
      </x:c>
      <x:c r="E475" s="37" t="str">
        <x:v>https://drug.fda.moph.go.th/media.php?id=862918385070120960&amp;name=46.Perphenazine_tablet_PIL.pdf</x:v>
      </x:c>
      <x:c r="F475" s="31" t="str">
        <x:v>downloaded</x:v>
      </x:c>
      <x:c r="G475" s="31" t="str">
        <x:v>text_extracted</x:v>
      </x:c>
      <x:c r="H475" s="31" t="n">
        <x:v>2</x:v>
      </x:c>
    </x:row>
    <x:row r="476">
      <x:c r="A476" s="31" t="str">
        <x:v>r0431_pil</x:v>
      </x:c>
      <x:c r="B476" s="31" t="str">
        <x:v>trazodone</x:v>
      </x:c>
      <x:c r="C476" s="31" t="str">
        <x:v>PIL</x:v>
      </x:c>
      <x:c r="D476" s="31" t="str">
        <x:v>2026-02-13</x:v>
      </x:c>
      <x:c r="E476" s="37" t="str">
        <x:v>https://drug.fda.moph.go.th/media.php?id=862918385716043776&amp;name=47.Trazodone_tablet_PIL.pdf</x:v>
      </x:c>
      <x:c r="F476" s="31" t="str">
        <x:v>downloaded</x:v>
      </x:c>
      <x:c r="G476" s="31" t="str">
        <x:v>text_extracted</x:v>
      </x:c>
      <x:c r="H476" s="31" t="n">
        <x:v>2</x:v>
      </x:c>
    </x:row>
    <x:row r="477">
      <x:c r="A477" s="31" t="str">
        <x:v>r0432_pil</x:v>
      </x:c>
      <x:c r="B477" s="31" t="str">
        <x:v>trihexyphenidyl</x:v>
      </x:c>
      <x:c r="C477" s="31" t="str">
        <x:v>PIL</x:v>
      </x:c>
      <x:c r="D477" s="31" t="str">
        <x:v>2026-02-13</x:v>
      </x:c>
      <x:c r="E477" s="37" t="str">
        <x:v>https://drug.fda.moph.go.th/media.php?id=862918385552465920&amp;name=48.Trihexyphenidyl_tablet_PIL.pdf</x:v>
      </x:c>
      <x:c r="F477" s="31" t="str">
        <x:v>downloaded</x:v>
      </x:c>
      <x:c r="G477" s="31" t="str">
        <x:v>text_extracted</x:v>
      </x:c>
      <x:c r="H477" s="31" t="n">
        <x:v>2</x:v>
      </x:c>
    </x:row>
    <x:row r="478">
      <x:c r="A478" s="31" t="str">
        <x:v>r0433_pil</x:v>
      </x:c>
      <x:c r="B478" s="31" t="str">
        <x:v>amino_acid</x:v>
      </x:c>
      <x:c r="C478" s="31" t="str">
        <x:v>PIL</x:v>
      </x:c>
      <x:c r="D478" s="31" t="str">
        <x:v>2026-06-08</x:v>
      </x:c>
      <x:c r="E478" s="37" t="str">
        <x:v>https://drug.fda.moph.go.th/media.php?id=904601731533512704&amp;name=1. Ref PIL_Amino acid.pdf</x:v>
      </x:c>
      <x:c r="F478" s="31" t="str">
        <x:v>downloaded</x:v>
      </x:c>
      <x:c r="G478" s="31" t="str">
        <x:v>text_extracted</x:v>
      </x:c>
      <x:c r="H478" s="31" t="n">
        <x:v>1</x:v>
      </x:c>
    </x:row>
    <x:row r="479">
      <x:c r="A479" s="31" t="str">
        <x:v>r0433_smpc</x:v>
      </x:c>
      <x:c r="B479" s="31" t="str">
        <x:v>amino_acid</x:v>
      </x:c>
      <x:c r="C479" s="31" t="str">
        <x:v>SMPC</x:v>
      </x:c>
      <x:c r="D479" s="31" t="str">
        <x:v>2026-06-08</x:v>
      </x:c>
      <x:c r="E479" s="37" t="str">
        <x:v>https://drug.fda.moph.go.th/media.php?id=904601730573017088&amp;name=1. Ref SmPC_Amino acid.pdf</x:v>
      </x:c>
      <x:c r="F479" s="31" t="str">
        <x:v>downloaded</x:v>
      </x:c>
      <x:c r="G479" s="31" t="str">
        <x:v>text_extracted</x:v>
      </x:c>
      <x:c r="H479" s="31" t="n">
        <x:v>5</x:v>
      </x:c>
    </x:row>
    <x:row r="480">
      <x:c r="A480" s="31" t="str">
        <x:v>r0434_pil</x:v>
      </x:c>
      <x:c r="B480" s="31" t="str">
        <x:v>dobutamine</x:v>
      </x:c>
      <x:c r="C480" s="31" t="str">
        <x:v>PIL</x:v>
      </x:c>
      <x:c r="D480" s="31" t="str">
        <x:v>2026-06-08</x:v>
      </x:c>
      <x:c r="E480" s="37" t="str">
        <x:v>https://drug.fda.moph.go.th/media.php?id=904601732011663360&amp;name=2. Ref PIL_Dobutamine.pdf</x:v>
      </x:c>
      <x:c r="F480" s="31" t="str">
        <x:v>downloaded</x:v>
      </x:c>
      <x:c r="G480" s="31" t="str">
        <x:v>text_extracted</x:v>
      </x:c>
      <x:c r="H480" s="31" t="n">
        <x:v>2</x:v>
      </x:c>
    </x:row>
    <x:row r="481">
      <x:c r="A481" s="31" t="str">
        <x:v>r0434_smpc</x:v>
      </x:c>
      <x:c r="B481" s="31" t="str">
        <x:v>dobutamine</x:v>
      </x:c>
      <x:c r="C481" s="31" t="str">
        <x:v>SMPC</x:v>
      </x:c>
      <x:c r="D481" s="31" t="str">
        <x:v>2026-06-08</x:v>
      </x:c>
      <x:c r="E481" s="37" t="str">
        <x:v>https://drug.fda.moph.go.th/media.php?id=904966129582219264&amp;name=2. Ref SmPC_Dobutamine.pdf</x:v>
      </x:c>
      <x:c r="F481" s="31" t="str">
        <x:v>downloaded</x:v>
      </x:c>
      <x:c r="G481" s="31" t="str">
        <x:v>text_extracted</x:v>
      </x:c>
      <x:c r="H481" s="31" t="n">
        <x:v>13</x:v>
      </x:c>
    </x:row>
    <x:row r="482">
      <x:c r="A482" s="31" t="str">
        <x:v>r0435_pil</x:v>
      </x:c>
      <x:c r="B482" s="31" t="str">
        <x:v>omeprazole</x:v>
      </x:c>
      <x:c r="C482" s="31" t="str">
        <x:v>PIL</x:v>
      </x:c>
      <x:c r="D482" s="31" t="str">
        <x:v>2026-06-08</x:v>
      </x:c>
      <x:c r="E482" s="37" t="str">
        <x:v>https://drug.fda.moph.go.th/media.php?id=904601731147636736&amp;name=3. Ref PIL_ Omeprazole (for infusion).pdf</x:v>
      </x:c>
      <x:c r="F482" s="31" t="str">
        <x:v>downloaded</x:v>
      </x:c>
      <x:c r="G482" s="31" t="str">
        <x:v>text_extracted</x:v>
      </x:c>
      <x:c r="H482" s="31" t="n">
        <x:v>2</x:v>
      </x:c>
    </x:row>
    <x:row r="483">
      <x:c r="A483" s="31" t="str">
        <x:v>r0435_smpc</x:v>
      </x:c>
      <x:c r="B483" s="31" t="str">
        <x:v>omeprazole</x:v>
      </x:c>
      <x:c r="C483" s="31" t="str">
        <x:v>SMPC</x:v>
      </x:c>
      <x:c r="D483" s="31" t="str">
        <x:v>2026-06-08</x:v>
      </x:c>
      <x:c r="E483" s="37" t="str">
        <x:v>https://drug.fda.moph.go.th/media.php?id=904966130538520576&amp;name=3. Ref SmPC_Omeprazole.pdf</x:v>
      </x:c>
      <x:c r="F483" s="31" t="str">
        <x:v>downloaded</x:v>
      </x:c>
      <x:c r="G483" s="31" t="str">
        <x:v>text_extracted</x:v>
      </x:c>
      <x:c r="H483" s="31" t="n">
        <x:v>20</x:v>
      </x:c>
    </x:row>
    <x:row r="484">
      <x:c r="A484" s="31" t="str">
        <x:v>r0436_pil</x:v>
      </x:c>
      <x:c r="B484" s="31" t="str">
        <x:v>propofol</x:v>
      </x:c>
      <x:c r="C484" s="31" t="str">
        <x:v>PIL</x:v>
      </x:c>
      <x:c r="D484" s="31" t="str">
        <x:v>2026-06-08</x:v>
      </x:c>
      <x:c r="E484" s="37" t="str">
        <x:v>https://drug.fda.moph.go.th/media.php?id=904601732196212736&amp;name=4. Ref PIL_ PROPOFOL.pdf</x:v>
      </x:c>
      <x:c r="F484" s="31" t="str">
        <x:v>downloaded</x:v>
      </x:c>
      <x:c r="G484" s="31" t="str">
        <x:v>text_extracted</x:v>
      </x:c>
      <x:c r="H484" s="31" t="n">
        <x:v>1</x:v>
      </x:c>
    </x:row>
    <x:row r="485">
      <x:c r="A485" s="31" t="str">
        <x:v>r0436_smpc</x:v>
      </x:c>
      <x:c r="B485" s="31" t="str">
        <x:v>propofol</x:v>
      </x:c>
      <x:c r="C485" s="31" t="str">
        <x:v>SMPC</x:v>
      </x:c>
      <x:c r="D485" s="31" t="str">
        <x:v>2026-06-08</x:v>
      </x:c>
      <x:c r="E485" s="37" t="str">
        <x:v>https://drug.fda.moph.go.th/media.php?id=904966130077147136&amp;name=4. Ref SmPC_PROPOFOL.pdf</x:v>
      </x:c>
      <x:c r="F485" s="31" t="str">
        <x:v>downloaded</x:v>
      </x:c>
      <x:c r="G485" s="31" t="str">
        <x:v>text_extracted</x:v>
      </x:c>
      <x:c r="H485" s="31" t="n">
        <x:v>24</x:v>
      </x:c>
    </x:row>
    <x:row r="486">
      <x:c r="A486" s="31" t="str">
        <x:v>r0437_pil</x:v>
      </x:c>
      <x:c r="B486" s="31" t="str">
        <x:v>vancomycin</x:v>
      </x:c>
      <x:c r="C486" s="31" t="str">
        <x:v>PIL</x:v>
      </x:c>
      <x:c r="D486" s="31" t="str">
        <x:v>2026-06-08</x:v>
      </x:c>
      <x:c r="E486" s="37" t="str">
        <x:v>https://drug.fda.moph.go.th/media.php?id=904601732376567808&amp;name=5. Ref_PIL Vancomycin.pdf</x:v>
      </x:c>
      <x:c r="F486" s="31" t="str">
        <x:v>downloaded</x:v>
      </x:c>
      <x:c r="G486" s="31" t="str">
        <x:v>text_extracted</x:v>
      </x:c>
      <x:c r="H486" s="31" t="n">
        <x:v>1</x:v>
      </x:c>
    </x:row>
    <x:row r="487">
      <x:c r="A487" s="31" t="str">
        <x:v>r0437_smpc</x:v>
      </x:c>
      <x:c r="B487" s="31" t="str">
        <x:v>vancomycin</x:v>
      </x:c>
      <x:c r="C487" s="31" t="str">
        <x:v>SMPC</x:v>
      </x:c>
      <x:c r="D487" s="31" t="str">
        <x:v>2026-06-08</x:v>
      </x:c>
      <x:c r="E487" s="37" t="str">
        <x:v>https://drug.fda.moph.go.th/media.php?id=904966130962145280&amp;name=5. Ref SmPC_Vancomycin.pdf</x:v>
      </x:c>
      <x:c r="F487" s="31" t="str">
        <x:v>downloaded</x:v>
      </x:c>
      <x:c r="G487" s="31" t="str">
        <x:v>text_extracted</x:v>
      </x:c>
      <x:c r="H487" s="31" t="n">
        <x:v>23</x:v>
      </x:c>
    </x:row>
    <x:row r="488">
      <x:c r="A488" s="31" t="str">
        <x:v>r0438_pil</x:v>
      </x:c>
      <x:c r="B488" s="31" t="str">
        <x:v>bisoprolol</x:v>
      </x:c>
      <x:c r="C488" s="31" t="str">
        <x:v>PIL</x:v>
      </x:c>
      <x:c r="D488" s="31" t="str">
        <x:v>2026-06-08</x:v>
      </x:c>
      <x:c r="E488" s="37" t="str">
        <x:v>https://drug.fda.moph.go.th/media.php?id=904601733051850752&amp;name=6. Ref PIL_Bisoprolol.pdf</x:v>
      </x:c>
      <x:c r="F488" s="31" t="str">
        <x:v>downloaded</x:v>
      </x:c>
      <x:c r="G488" s="31" t="str">
        <x:v>text_extracted</x:v>
      </x:c>
      <x:c r="H488" s="31" t="n">
        <x:v>2</x:v>
      </x:c>
    </x:row>
    <x:row r="489">
      <x:c r="A489" s="31" t="str">
        <x:v>r0438_smpc</x:v>
      </x:c>
      <x:c r="B489" s="31" t="str">
        <x:v>bisoprolol</x:v>
      </x:c>
      <x:c r="C489" s="31" t="str">
        <x:v>SMPC</x:v>
      </x:c>
      <x:c r="D489" s="31" t="str">
        <x:v>2026-06-08</x:v>
      </x:c>
      <x:c r="E489" s="37" t="str">
        <x:v>https://drug.fda.moph.go.th/media.php?id=904966131876503552&amp;name=6. Ref SmPC_Bisoprolol.pdf</x:v>
      </x:c>
      <x:c r="F489" s="31" t="str">
        <x:v>downloaded</x:v>
      </x:c>
      <x:c r="G489" s="31" t="str">
        <x:v>text_extracted</x:v>
      </x:c>
      <x:c r="H489" s="31" t="n">
        <x:v>19</x:v>
      </x:c>
    </x:row>
    <x:row r="490">
      <x:c r="A490" s="31" t="str">
        <x:v>r0439_pil</x:v>
      </x:c>
      <x:c r="B490" s="31" t="str">
        <x:v>carbidopa_levodopa</x:v>
      </x:c>
      <x:c r="C490" s="31" t="str">
        <x:v>PIL</x:v>
      </x:c>
      <x:c r="D490" s="31" t="str">
        <x:v>2026-06-08</x:v>
      </x:c>
      <x:c r="E490" s="37" t="str">
        <x:v>https://drug.fda.moph.go.th/media.php?id=904601732791803904&amp;name=8. ref PIL_Carbidopa+Levodopa.pdf</x:v>
      </x:c>
      <x:c r="F490" s="31" t="str">
        <x:v>downloaded</x:v>
      </x:c>
      <x:c r="G490" s="31" t="str">
        <x:v>text_extracted</x:v>
      </x:c>
      <x:c r="H490" s="31" t="n">
        <x:v>2</x:v>
      </x:c>
    </x:row>
    <x:row r="491">
      <x:c r="A491" s="31" t="str">
        <x:v>r0439_smpc</x:v>
      </x:c>
      <x:c r="B491" s="31" t="str">
        <x:v>carbidopa_levodopa</x:v>
      </x:c>
      <x:c r="C491" s="31" t="str">
        <x:v>SMPC</x:v>
      </x:c>
      <x:c r="D491" s="31" t="str">
        <x:v>2026-06-08</x:v>
      </x:c>
      <x:c r="E491" s="37" t="str">
        <x:v>https://drug.fda.moph.go.th/media.php?id=904601733693579264&amp;name=8. Ref SmPC_Carbidopa+Levodopa.pdf</x:v>
      </x:c>
      <x:c r="F491" s="31" t="str">
        <x:v>downloaded</x:v>
      </x:c>
      <x:c r="G491" s="31" t="str">
        <x:v>text_extracted</x:v>
      </x:c>
      <x:c r="H491" s="31" t="n">
        <x:v>17</x:v>
      </x:c>
    </x:row>
    <x:row r="492">
      <x:c r="A492" s="31" t="str">
        <x:v>r0440_pil</x:v>
      </x:c>
      <x:c r="B492" s="31" t="str">
        <x:v>hydrocortisone_cinchocaine</x:v>
      </x:c>
      <x:c r="C492" s="31" t="str">
        <x:v>PIL</x:v>
      </x:c>
      <x:c r="D492" s="31" t="str">
        <x:v>2026-06-08</x:v>
      </x:c>
      <x:c r="E492" s="37" t="str">
        <x:v>https://drug.fda.moph.go.th/media.php?id=904601734947676160&amp;name=9. Ref PIL_Hydrocortisone 5 mg+cinchocaine 5 mg suppo.pdf</x:v>
      </x:c>
      <x:c r="F492" s="31" t="str">
        <x:v>downloaded</x:v>
      </x:c>
      <x:c r="G492" s="31" t="str">
        <x:v>text_extracted</x:v>
      </x:c>
      <x:c r="H492" s="31" t="n">
        <x:v>2</x:v>
      </x:c>
    </x:row>
    <x:row r="493">
      <x:c r="A493" s="31" t="str">
        <x:v>r0440_smpc</x:v>
      </x:c>
      <x:c r="B493" s="31" t="str">
        <x:v>hydrocortisone_cinchocaine</x:v>
      </x:c>
      <x:c r="C493" s="31" t="str">
        <x:v>SMPC</x:v>
      </x:c>
      <x:c r="D493" s="31" t="str">
        <x:v>2026-06-08</x:v>
      </x:c>
      <x:c r="E493" s="37" t="str">
        <x:v>https://drug.fda.moph.go.th/media.php?id=904601733513224192&amp;name=9. Ref SmPC_Hydrocortisone 5 mg+cinchocaine 5 mg suppo.pdf</x:v>
      </x:c>
      <x:c r="F493" s="31" t="str">
        <x:v>downloaded</x:v>
      </x:c>
      <x:c r="G493" s="31" t="str">
        <x:v>text_extracted</x:v>
      </x:c>
      <x:c r="H493" s="31" t="n">
        <x:v>5</x:v>
      </x:c>
    </x:row>
    <x:row r="494">
      <x:c r="A494" s="31" t="str">
        <x:v>r0441_pil</x:v>
      </x:c>
      <x:c r="B494" s="31" t="str">
        <x:v>cinnarizine</x:v>
      </x:c>
      <x:c r="C494" s="31" t="str">
        <x:v>PIL</x:v>
      </x:c>
      <x:c r="D494" s="31" t="str">
        <x:v>2026-06-08</x:v>
      </x:c>
      <x:c r="E494" s="37" t="str">
        <x:v>https://drug.fda.moph.go.th/media.php?id=904601735509712896&amp;name=13. Ref_PIL_Cinnarizine tab.pdf</x:v>
      </x:c>
      <x:c r="F494" s="31" t="str">
        <x:v>downloaded</x:v>
      </x:c>
      <x:c r="G494" s="31" t="str">
        <x:v>text_extracted</x:v>
      </x:c>
      <x:c r="H494" s="31" t="n">
        <x:v>1</x:v>
      </x:c>
    </x:row>
    <x:row r="495">
      <x:c r="A495" s="31" t="str">
        <x:v>r0442_pil</x:v>
      </x:c>
      <x:c r="B495" s="31" t="str">
        <x:v>flavoxate</x:v>
      </x:c>
      <x:c r="C495" s="31" t="str">
        <x:v>PIL</x:v>
      </x:c>
      <x:c r="D495" s="31" t="str">
        <x:v>2026-06-08</x:v>
      </x:c>
      <x:c r="E495" s="37" t="str">
        <x:v>https://drug.fda.moph.go.th/media.php?id=904601734129786880&amp;name=11. ref PIL_Flavoxate.pdf</x:v>
      </x:c>
      <x:c r="F495" s="31" t="str">
        <x:v>downloaded</x:v>
      </x:c>
      <x:c r="G495" s="31" t="str">
        <x:v>text_extracted</x:v>
      </x:c>
      <x:c r="H495" s="31" t="n">
        <x:v>2</x:v>
      </x:c>
    </x:row>
    <x:row r="496">
      <x:c r="A496" s="31" t="str">
        <x:v>r0442_smpc</x:v>
      </x:c>
      <x:c r="B496" s="31" t="str">
        <x:v>flavoxate</x:v>
      </x:c>
      <x:c r="C496" s="31" t="str">
        <x:v>SMPC</x:v>
      </x:c>
      <x:c r="D496" s="31" t="str">
        <x:v>2026-06-08</x:v>
      </x:c>
      <x:c r="E496" s="37" t="str">
        <x:v>https://drug.fda.moph.go.th/media.php?id=904966129817100288&amp;name=11. Ref SmPC_Flavoxate.pdf</x:v>
      </x:c>
      <x:c r="F496" s="31" t="str">
        <x:v>downloaded</x:v>
      </x:c>
      <x:c r="G496" s="31" t="str">
        <x:v>text_extracted</x:v>
      </x:c>
      <x:c r="H496" s="31" t="n">
        <x:v>8</x:v>
      </x:c>
    </x:row>
    <x:row r="497">
      <x:c r="A497" s="31" t="str">
        <x:v>r0443_pil</x:v>
      </x:c>
      <x:c r="B497" s="31" t="str">
        <x:v>flupentixol_melitracen</x:v>
      </x:c>
      <x:c r="C497" s="31" t="str">
        <x:v>PIL</x:v>
      </x:c>
      <x:c r="D497" s="31" t="str">
        <x:v>2026-06-08</x:v>
      </x:c>
      <x:c r="E497" s="37" t="str">
        <x:v>https://drug.fda.moph.go.th/media.php?id=904601734746349568&amp;name=12. Ref PIL_MelitracenFlupentixol.pdf</x:v>
      </x:c>
      <x:c r="F497" s="31" t="str">
        <x:v>downloaded</x:v>
      </x:c>
      <x:c r="G497" s="31" t="str">
        <x:v>text_extracted</x:v>
      </x:c>
      <x:c r="H497" s="31" t="n">
        <x:v>2</x:v>
      </x:c>
    </x:row>
    <x:row r="498">
      <x:c r="A498" s="31" t="str">
        <x:v>r0444_pil</x:v>
      </x:c>
      <x:c r="B498" s="31" t="str">
        <x:v>calcium_acetate_magnesium</x:v>
      </x:c>
      <x:c r="C498" s="31" t="str">
        <x:v>PIL</x:v>
      </x:c>
      <x:c r="D498" s="31" t="str">
        <x:v>2026-06-08</x:v>
      </x:c>
      <x:c r="E498" s="37" t="str">
        <x:v>https://drug.fda.moph.go.th/media.php?id=904601733299314688&amp;name=7. Ref PIL Calcium_Magnesium carbonate_tab.pdf</x:v>
      </x:c>
      <x:c r="F498" s="31" t="str">
        <x:v>downloaded</x:v>
      </x:c>
      <x:c r="G498" s="31" t="str">
        <x:v>text_extracted</x:v>
      </x:c>
      <x:c r="H498" s="31" t="n">
        <x:v>1</x:v>
      </x:c>
    </x:row>
  </x:sheetData>
  <x:pageMargins left="0.7" right="0.7" top="0.75" bottom="0.75" header="0.3" footer="0.3"/>
  <x:tableParts count="1">
    <x:tablePart xmlns:r="http://schemas.openxmlformats.org/officeDocument/2006/relationships" r:id="R5abd79ee38db4fd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8" hidden="0" customWidth="1"/>
    <x:col min="6" max="6" width="16" hidden="0" customWidth="1"/>
    <x:col min="7" max="7" width="13" hidden="0" customWidth="1"/>
    <x:col min="8" max="8" width="24" hidden="0" customWidth="1"/>
    <x:col min="9" max="9" width="78" hidden="0" customWidth="1"/>
    <x:col min="10" max="10" width="65" hidden="0" customWidth="1"/>
  </x:cols>
  <x:sheetData>
    <x:row r="1" ht="30" customHeight="1">
      <x:c r="A1" s="36" t="str">
        <x:v>drug_1</x:v>
      </x:c>
      <x:c r="B1" s="36" t="str">
        <x:v>drug_2</x:v>
      </x:c>
      <x:c r="C1" s="36" t="str">
        <x:v>severity</x:v>
      </x:c>
      <x:c r="D1" s="36" t="str">
        <x:v>decision</x:v>
      </x:c>
      <x:c r="E1" s="36" t="str">
        <x:v>document_id</x:v>
      </x:c>
      <x:c r="F1" s="36" t="str">
        <x:v>document_type</x:v>
      </x:c>
      <x:c r="G1" s="36" t="str">
        <x:v>source_page</x:v>
      </x:c>
      <x:c r="H1" s="36" t="str">
        <x:v>matched_alias</x:v>
      </x:c>
      <x:c r="I1" s="36" t="str">
        <x:v>evidence_excerpt</x:v>
      </x:c>
      <x:c r="J1" s="36" t="str">
        <x:v>source_url</x:v>
      </x:c>
    </x:row>
    <x:row r="2">
      <x:c r="A2" s="31" t="str">
        <x:v>acetylcysteine</x:v>
      </x:c>
      <x:c r="B2" s="31" t="str">
        <x:v>activated_charcoal</x:v>
      </x:c>
      <x:c r="C2" s="31" t="str">
        <x:v>unclassified</x:v>
      </x:c>
      <x:c r="D2" s="31" t="str">
        <x:v>review</x:v>
      </x:c>
      <x:c r="E2" s="31" t="str">
        <x:v>r0003_smpc</x:v>
      </x:c>
      <x:c r="F2" s="31" t="str">
        <x:v>SMPC</x:v>
      </x:c>
      <x:c r="G2" s="31" t="n">
        <x:v>3</x:v>
      </x:c>
      <x:c r="H2" s="31" t="str">
        <x:v>activated charcoal</x:v>
      </x:c>
      <x:c r="I2" s="37" t="str">
        <x:v>1 Ref: Acetylcysteine, MHRA, 04/10/2021 3 4.5. Interaction with other medicinal products and other forms of interaction Drug Interactions Antitussive drugs and acetylcysteine should not be administered concomitantly because reducing the cough reflex may lead to a build-up of bronchial secretions. Activated charcoal may reduce the effect of acetylcysteine. It is advisable not to mix Acetylcysteine Powder for Oral Solution with other medicinal products. In vitro tests have shown that when cephalosporin antibiotics and acetylcysteine are mixed, there is a degree of antibiotic inactivation. It is precautionary to advise the administration of oral antibiotics at least two hours before or after acetylcysteine. Concurrent administration of nitroglycerin an</x:v>
      </x:c>
      <x:c r="J2" s="37" t="str">
        <x:v>https://drug.fda.moph.go.th/media.php?id=809595104229728256&amp;name=SMPC_Acetylcysteine_Powder for Oral Solution.pdf</x:v>
      </x:c>
    </x:row>
    <x:row r="3">
      <x:c r="A3" s="31" t="str">
        <x:v>acetylcysteine</x:v>
      </x:c>
      <x:c r="B3" s="31" t="str">
        <x:v>paracetamol</x:v>
      </x:c>
      <x:c r="C3" s="31" t="str">
        <x:v>unclassified</x:v>
      </x:c>
      <x:c r="D3" s="31" t="str">
        <x:v>review</x:v>
      </x:c>
      <x:c r="E3" s="31" t="str">
        <x:v>r0004_smpc</x:v>
      </x:c>
      <x:c r="F3" s="31" t="str">
        <x:v>SMPC</x:v>
      </x:c>
      <x:c r="G3" s="31" t="n">
        <x:v>8</x:v>
      </x:c>
      <x:c r="H3" s="31" t="str">
        <x:v>paracetamol</x:v>
      </x:c>
      <x:c r="I3" s="37" t="str">
        <x:v>hich may be life threatening. Excipient information &lt;REGARDING THE APPROVAL&gt; 4.5. Interaction with other medicinal products and other forms of interaction There are no known interactions. 4.6. Fertility, pregnancy and lactation The safety of N -acetylcysteine in pregnancy has not been investigated in formal prospective clinical trials. However, clinical experience indicates that use of N-acetylcysteine in pregnancy for the treatment of paracetamol overdose is effective. Prior to u se in pregnancy, the potential risks should be balanced against the potential benefits. No information is available on the excretion of the drug into breast milk. Breast-feeding is thus not advised during or immediately following the use of this drug. 4.7. Effects on ability to drive and use machines There are no known effects on ability to drive and use machines. 4.8. Undesirable effects</x:v>
      </x:c>
      <x:c r="J3" s="37" t="str">
        <x:v>https://drug.fda.moph.go.th/media.php?id=809596981939937280&amp;name=SMPC_Acetylcysteine_Solutions for injections or infusions.pdf</x:v>
      </x:c>
    </x:row>
    <x:row r="4">
      <x:c r="A4" s="31" t="str">
        <x:v>aciclovir</x:v>
      </x:c>
      <x:c r="B4" s="31" t="str">
        <x:v>dobutamine</x:v>
      </x:c>
      <x:c r="C4" s="31" t="str">
        <x:v>unclassified</x:v>
      </x:c>
      <x:c r="D4" s="31" t="str">
        <x:v>review</x:v>
      </x:c>
      <x:c r="E4" s="31" t="str">
        <x:v>r0434_smpc</x:v>
      </x:c>
      <x:c r="F4" s="31" t="str">
        <x:v>SMPC</x:v>
      </x:c>
      <x:c r="G4" s="31" t="n">
        <x:v>13</x:v>
      </x:c>
      <x:c r="H4" s="31" t="str">
        <x:v>aciclovir</x:v>
      </x:c>
      <x:c r="I4" s="37" t="str">
        <x:v>ic effect. An impairment of implantation and pre- and postnatal growth retardations were observed in rats at doses toxic to mothers. No influence on fertility was seen in rats. 6. PHARMACEUTICAL PARTICULARS 6.1 List of excipients &lt;ปรับตามทะเบียน&gt; 6.2 Incompatibilities Dobutamine solutions have proven to be incompatible with: Alkaline solutions (e. g. sodium hydrogen carbonate), solutions containing both sodium metabisulfite and ethanol, aciclovir, alteplase, aminophylline, bretylium, calcium chloride, calcium gluconate, cefamandol formiate, cephalotine sodium, cephazolin sodium, diazepam, digoxin, etacrynic acid (sodium salt), furosemide, heparin sodium, hydrogen cortisone sodium succinate, insulin, potassium chloride, magnesium sulfate, penicillin, phenytoin, streptokinase, verapamil. Furthermore known incompatibilities for sodium metabisulfite are: - chloramphenicol, - cisplatin.</x:v>
      </x:c>
      <x:c r="J4" s="37" t="str">
        <x:v>https://drug.fda.moph.go.th/media.php?id=904966129582219264&amp;name=2. Ref SmPC_Dobutamine.pdf</x:v>
      </x:c>
    </x:row>
    <x:row r="5">
      <x:c r="A5" s="31" t="str">
        <x:v>aciclovir</x:v>
      </x:c>
      <x:c r="B5" s="31" t="str">
        <x:v>iobitridol</x:v>
      </x:c>
      <x:c r="C5" s="31" t="str">
        <x:v>unclassified</x:v>
      </x:c>
      <x:c r="D5" s="31" t="str">
        <x:v>review</x:v>
      </x:c>
      <x:c r="E5" s="31" t="str">
        <x:v>r0193_smpc</x:v>
      </x:c>
      <x:c r="F5" s="31" t="str">
        <x:v>SMPC</x:v>
      </x:c>
      <x:c r="G5" s="31" t="n">
        <x:v>7</x:v>
      </x:c>
      <x:c r="H5" s="31" t="str">
        <x:v>aciclovir</x:v>
      </x:c>
      <x:c r="I5" s="37" t="str">
        <x:v>m’s disease), history of renal failure after contrast agent administration; infants below the age of one year and elderly subjects with atheroma. • Hydrate when necessary using a saline solution. • Avoid concomitant use of nephrotoxic drugs. If this cannot be avoided, reinforce monitoring of renal laboratory parameters. [Includes aminosides, organoplatinum compounds, high -dose methotrexate, pentamidine, foscarnet and certain antivirals (aciclovir, ganciclovir, valaciclovir, adefovir, cidofovir, tenofovir), vancomycin, amphotericin B, immunosuppressants such ciclosporin or tacrolimus, ifosfamide.] • Allow at least 48 hours between two radiological examinations with injection of contrast agents, or postpone any new examination until renal function returns to baseline. • Prevent lactic acidosis in diabetics treated with metformin, by monitoring serum creatinine levels. Normal renal f</x:v>
      </x:c>
      <x:c r="J5" s="37" t="str">
        <x:v>https://drug.fda.moph.go.th/media.php?id=810386169421504512&amp;name=SMPC_Iobitridol_Solution for Injection.pdf</x:v>
      </x:c>
    </x:row>
    <x:row r="6">
      <x:c r="A6" s="31" t="str">
        <x:v>aciclovir</x:v>
      </x:c>
      <x:c r="B6" s="31" t="str">
        <x:v>iobitridol</x:v>
      </x:c>
      <x:c r="C6" s="31" t="str">
        <x:v>unclassified</x:v>
      </x:c>
      <x:c r="D6" s="31" t="str">
        <x:v>review</x:v>
      </x:c>
      <x:c r="E6" s="31" t="str">
        <x:v>r0194_smpc</x:v>
      </x:c>
      <x:c r="F6" s="31" t="str">
        <x:v>SMPC</x:v>
      </x:c>
      <x:c r="G6" s="31" t="n">
        <x:v>6</x:v>
      </x:c>
      <x:c r="H6" s="31" t="str">
        <x:v>aciclovir</x:v>
      </x:c>
      <x:c r="I6" s="37" t="str">
        <x:v>m’s disease), history of renal failure after contrast agent administration; infants below the age of one year and elderly subjects with atheroma. • Hydrate when necessary using a saline solution. • Avoid concomitant use of nephrotoxic drugs. If this cannot be avoided, reinforce monitoring of renal laboratory parameters. [Includes aminosides, organoplatinum compounds, high -dose methotrexate, pentamidine, foscarnet and certain antivirals (aciclovir, ganciclovir, valaciclovir, adefovir, cidofovir, tenofovir),</x:v>
      </x:c>
      <x:c r="J6" s="37" t="str">
        <x:v>https://drug.fda.moph.go.th/media.php?id=810386659307823104&amp;name=SMPC_Iobitridol_350_Solution for Injection.pdf</x:v>
      </x:c>
    </x:row>
    <x:row r="7">
      <x:c r="A7" s="31" t="str">
        <x:v>aciclovir</x:v>
      </x:c>
      <x:c r="B7" s="31" t="str">
        <x:v>zidovudine</x:v>
      </x:c>
      <x:c r="C7" s="31" t="str">
        <x:v>unclassified</x:v>
      </x:c>
      <x:c r="D7" s="31" t="str">
        <x:v>review</x:v>
      </x:c>
      <x:c r="E7" s="31" t="str">
        <x:v>r0364_smpc</x:v>
      </x:c>
      <x:c r="F7" s="31" t="str">
        <x:v>SMPC</x:v>
      </x:c>
      <x:c r="G7" s="31" t="n">
        <x:v>10</x:v>
      </x:c>
      <x:c r="H7" s="31" t="str">
        <x:v>aciclovir</x:v>
      </x:c>
      <x:c r="I7" s="37" t="str">
        <x:v>risk of adverse reactions to zidovudine. If concomitant therapy with any of these drugs is necessary then extra care should be taken in monitoring renal function and haematological parameters and, if required, the dos age of one or more agents should be reduced. Limited data from clinical trials do not indicate a significantly increased risk of adverse reactions to zidovudine with cotrimoxazole, aerosolised pentamidine, pyrimethamine and aciclovir at doses used in prophylaxis. Clarithromycin tablets reduce the absorption of zidovudine. This can be avoided by separating the administration of zidovudine and clarithromycin by at least two hours. 4.6. Fertility, pregnancy and lactation Pregnancy As a general rule, when deciding to use antiretroviral agents for the treatment of HIV infection in pregnant women and consequently for reducing the risk of HIV vertical transmission to the ne</x:v>
      </x:c>
      <x:c r="J7" s="37" t="str">
        <x:v>https://drug.fda.moph.go.th/media.php?id=810494978483691520&amp;name=SMPC_Zidovudine_Capsules.pdf</x:v>
      </x:c>
    </x:row>
    <x:row r="8">
      <x:c r="A8" s="31" t="str">
        <x:v>albendazole</x:v>
      </x:c>
      <x:c r="B8" s="31" t="str">
        <x:v>carbamazepine</x:v>
      </x:c>
      <x:c r="C8" s="31" t="str">
        <x:v>moderate</x:v>
      </x:c>
      <x:c r="D8" s="31" t="str">
        <x:v>eligible</x:v>
      </x:c>
      <x:c r="E8" s="31" t="str">
        <x:v>r0012_smpc</x:v>
      </x:c>
      <x:c r="F8" s="31" t="str">
        <x:v>SMPC</x:v>
      </x:c>
      <x:c r="G8" s="31" t="n">
        <x:v>8</x:v>
      </x:c>
      <x:c r="H8" s="31" t="str">
        <x:v>carbamazepine</x:v>
      </x:c>
      <x:c r="I8" s="37" t="str">
        <x:v>It is important to consider the contribution of excipients from all the medicines that the patient is taking. 4.5. Interaction with other medicinal products and other forms of interaction Dexamethasone, praziquantel and cimetidine may increase the plasma concentration of the active metabolite of albendazole, albendazole sulphoxide. Ritonavir, phenytoin, carbamazepine and phenobarbital may have the potential to reduce plasma concentrations of the active metabolite of albendazole. The clinical relevance of this is unknown, but may result in decreased efficacy, especially in the treatment of systemic helminth infections. Patients should be monitored for efficacy and may require alternative dose regimens or therapies. 4.6. Fertility, pregnancy and breastfeeding Women of childbearing potential Pregnancy s</x:v>
      </x:c>
      <x:c r="J8" s="37" t="str">
        <x:v>https://drug.fda.moph.go.th/media.php?id=809599347237986304&amp;name=SMPC_albendazole_tablet.pdf</x:v>
      </x:c>
    </x:row>
    <x:row r="9">
      <x:c r="A9" s="31" t="str">
        <x:v>albendazole</x:v>
      </x:c>
      <x:c r="B9" s="31" t="str">
        <x:v>cimetidine</x:v>
      </x:c>
      <x:c r="C9" s="31" t="str">
        <x:v>moderate</x:v>
      </x:c>
      <x:c r="D9" s="31" t="str">
        <x:v>eligible</x:v>
      </x:c>
      <x:c r="E9" s="31" t="str">
        <x:v>r0012_smpc</x:v>
      </x:c>
      <x:c r="F9" s="31" t="str">
        <x:v>SMPC</x:v>
      </x:c>
      <x:c r="G9" s="31" t="n">
        <x:v>8</x:v>
      </x:c>
      <x:c r="H9" s="31" t="str">
        <x:v>cimetidine</x:v>
      </x:c>
      <x:c r="I9" s="37" t="str">
        <x:v>It is important to consider the contribution of excipients from all the medicines that the patient is taking. 4.5. Interaction with other medicinal products and other forms of interaction Dexamethasone, praziquantel and cimetidine may increase the plasma concentration of the active metabolite of albendazole, albendazole sulphoxide. Ritonavir, phenytoin, carbamazepine and phenobarbital may have the potential to reduce plasma concentrations of the active metabolite of albendazole. The clinical relevance of this is unknown, but may result in decreased efficacy, especially in the treatment of systemic helminth infections. Patients should be monitored for efficacy and m</x:v>
      </x:c>
      <x:c r="J9" s="37" t="str">
        <x:v>https://drug.fda.moph.go.th/media.php?id=809599347237986304&amp;name=SMPC_albendazole_tablet.pdf</x:v>
      </x:c>
    </x:row>
    <x:row r="10">
      <x:c r="A10" s="31" t="str">
        <x:v>albendazole</x:v>
      </x:c>
      <x:c r="B10" s="31" t="str">
        <x:v>dexamethasone</x:v>
      </x:c>
      <x:c r="C10" s="31" t="str">
        <x:v>moderate</x:v>
      </x:c>
      <x:c r="D10" s="31" t="str">
        <x:v>eligible</x:v>
      </x:c>
      <x:c r="E10" s="31" t="str">
        <x:v>r0012_smpc</x:v>
      </x:c>
      <x:c r="F10" s="31" t="str">
        <x:v>SMPC</x:v>
      </x:c>
      <x:c r="G10" s="31" t="n">
        <x:v>8</x:v>
      </x:c>
      <x:c r="H10" s="31" t="str">
        <x:v>dexamethasone</x:v>
      </x:c>
      <x:c r="I10" s="37" t="str">
        <x:v>It is important to consider the contribution of excipients from all the medicines that the patient is taking. 4.5. Interaction with other medicinal products and other forms of interaction Dexamethasone, praziquantel and cimetidine may increase the plasma concentration of the active metabolite of albendazole, albendazole sulphoxide. Ritonavir, phenytoin, carbamazepine and phenobarbital may have the potential to reduce plasma concentrations of the active metabolite of albendazole. The clinical relevance of this is unknown, but may result in decreased efficacy, especially in the treatment of systemic helminth infections. Patients should be</x:v>
      </x:c>
      <x:c r="J10" s="37" t="str">
        <x:v>https://drug.fda.moph.go.th/media.php?id=809599347237986304&amp;name=SMPC_albendazole_tablet.pdf</x:v>
      </x:c>
    </x:row>
    <x:row r="11">
      <x:c r="A11" s="31" t="str">
        <x:v>alteplase</x:v>
      </x:c>
      <x:c r="B11" s="31" t="str">
        <x:v>dobutamine</x:v>
      </x:c>
      <x:c r="C11" s="31" t="str">
        <x:v>unclassified</x:v>
      </x:c>
      <x:c r="D11" s="31" t="str">
        <x:v>review</x:v>
      </x:c>
      <x:c r="E11" s="31" t="str">
        <x:v>r0434_smpc</x:v>
      </x:c>
      <x:c r="F11" s="31" t="str">
        <x:v>SMPC</x:v>
      </x:c>
      <x:c r="G11" s="31" t="n">
        <x:v>13</x:v>
      </x:c>
      <x:c r="H11" s="31" t="str">
        <x:v>alteplase</x:v>
      </x:c>
      <x:c r="I11" s="37" t="str">
        <x:v>An impairment of implantation and pre- and postnatal growth retardations were observed in rats at doses toxic to mothers. No influence on fertility was seen in rats. 6. PHARMACEUTICAL PARTICULARS 6.1 List of excipients &lt;ปรับตามทะเบียน&gt; 6.2 Incompatibilities Dobutamine solutions have proven to be incompatible with: Alkaline solutions (e. g. sodium hydrogen carbonate), solutions containing both sodium metabisulfite and ethanol, aciclovir, alteplase, aminophylline, bretylium, calcium chloride, calcium gluconate, cefamandol formiate, cephalotine sodium, cephazolin sodium, diazepam, digoxin, etacrynic acid (sodium salt), furosemide, heparin sodium, hydrogen cortisone sodium succinate, insulin, potassium chloride, magnesium sulfate, penicillin, phenytoin, streptokinase, verapamil. Furthermore known incompatibilities for sodium metabisulfite are: - chloramphenicol, - cisplatin. This medi</x:v>
      </x:c>
      <x:c r="J11" s="37" t="str">
        <x:v>https://drug.fda.moph.go.th/media.php?id=904966129582219264&amp;name=2. Ref SmPC_Dobutamine.pdf</x:v>
      </x:c>
    </x:row>
    <x:row r="12">
      <x:c r="A12" s="31" t="str">
        <x:v>aluminium_hydroxide_magnesium_hydroxide</x:v>
      </x:c>
      <x:c r="B12" s="31" t="str">
        <x:v>magnesium</x:v>
      </x:c>
      <x:c r="C12" s="31" t="str">
        <x:v>unclassified</x:v>
      </x:c>
      <x:c r="D12" s="31" t="str">
        <x:v>review</x:v>
      </x:c>
      <x:c r="E12" s="31" t="str">
        <x:v>r0017_smpc</x:v>
      </x:c>
      <x:c r="F12" s="31" t="str">
        <x:v>SMPC</x:v>
      </x:c>
      <x:c r="G12" s="31" t="n">
        <x:v>3</x:v>
      </x:c>
      <x:c r="H12" s="31" t="str">
        <x:v>magnesium</x:v>
      </x:c>
      <x:c r="I12" s="37" t="str">
        <x:v>1 Ref: Mucogel, MHRA, 25/01/2022 3 4.5. Interaction with other medicinal products and other forms of interaction Antacids inhibit the absorption of tetracyclines and vitamins and should not be taken concomitantly. Urine alkalinisation secondary to administration of magnesium hydroxide may modify excretion of some drugs; thus, increased excretion of salicylates has been seen. 4.6. Fertility, pregnancy and lactation For dried aluminium hydroxide and magnesium hydroxide no clinical data on exposed pregnancies are available. Animal studies do not indicate direct or indirect harmful effects with respect to pregnancy, embryonal/foetal development, parturition or postnatal development. Caution should b</x:v>
      </x:c>
      <x:c r="J12" s="37" t="str">
        <x:v>https://drug.fda.moph.go.th/media.php?id=809650671178620928&amp;name=SMPC_aluminium hydroxide and magnesium hydroxide_suspension.pdf</x:v>
      </x:c>
    </x:row>
    <x:row r="13">
      <x:c r="A13" s="31" t="str">
        <x:v>ambroxol</x:v>
      </x:c>
      <x:c r="B13" s="31" t="str">
        <x:v>amoxicillin</x:v>
      </x:c>
      <x:c r="C13" s="31" t="str">
        <x:v>unclassified</x:v>
      </x:c>
      <x:c r="D13" s="31" t="str">
        <x:v>review</x:v>
      </x:c>
      <x:c r="E13" s="31" t="str">
        <x:v>r0019_smpc</x:v>
      </x:c>
      <x:c r="F13" s="31" t="str">
        <x:v>SMPC</x:v>
      </x:c>
      <x:c r="G13" s="31" t="n">
        <x:v>3</x:v>
      </x:c>
      <x:c r="H13" s="31" t="str">
        <x:v>amoxicillin</x:v>
      </x:c>
      <x:c r="I13" s="37" t="str">
        <x:v>patients with history of peptic or duodenal ulcers. In patients with asthma and serious asthmatic attacks, ambroxol should be used cautiously. Excipient information &lt;REGARDING THE APPROVAL&gt; 4.5. Interaction with other medicinal products and other forms of interaction Combination of ambroxol with cough suppressants can, due to suppressed cough reflex, cause serious obstruction of the airways. Administration of ambroxol with antibiotics (amoxicillin, cefuroxim, and erythromycin) leads to increase of antibiotics concentrations in mucus. No clinically relevant unfavourable interactions with other medications have been reported. 4.6. Fertility, pregnancy and lactation Pregnancy There are no adequate data from the use of ambroxol in pregnant women, especially in the first 28 weeks of pregnancy. Animal studies do not indicate direct or indirect harmful effects with respect to pregnancy</x:v>
      </x:c>
      <x:c r="J13" s="37" t="str">
        <x:v>https://drug.fda.moph.go.th/media.php?id=809651334000287744&amp;name=SMPC_Ambroxol_Syrup.pdf</x:v>
      </x:c>
    </x:row>
    <x:row r="14">
      <x:c r="A14" s="31" t="str">
        <x:v>ambroxol</x:v>
      </x:c>
      <x:c r="B14" s="31" t="str">
        <x:v>erythromycin</x:v>
      </x:c>
      <x:c r="C14" s="31" t="str">
        <x:v>unclassified</x:v>
      </x:c>
      <x:c r="D14" s="31" t="str">
        <x:v>review</x:v>
      </x:c>
      <x:c r="E14" s="31" t="str">
        <x:v>r0019_smpc</x:v>
      </x:c>
      <x:c r="F14" s="31" t="str">
        <x:v>SMPC</x:v>
      </x:c>
      <x:c r="G14" s="31" t="n">
        <x:v>3</x:v>
      </x:c>
      <x:c r="H14" s="31" t="str">
        <x:v>erythromycin</x:v>
      </x:c>
      <x:c r="I14" s="37" t="str">
        <x:v>tic or duodenal ulcers. In patients with asthma and serious asthmatic attacks, ambroxol should be used cautiously. Excipient information &lt;REGARDING THE APPROVAL&gt; 4.5. Interaction with other medicinal products and other forms of interaction Combination of ambroxol with cough suppressants can, due to suppressed cough reflex, cause serious obstruction of the airways. Administration of ambroxol with antibiotics (amoxicillin, cefuroxim, and erythromycin) leads to increase of antibiotics concentrations in mucus. No clinically relevant unfavourable interactions with other medications have been reported. 4.6. Fertility, pregnancy and lactation Pregnancy There are no adequate data from the use of ambroxol in pregnant women, especially in the first 28 weeks of pregnancy. Animal studies do not indicate direct or indirect harmful effects with respect to pregnancy, embryonal/foetal development</x:v>
      </x:c>
      <x:c r="J14" s="37" t="str">
        <x:v>https://drug.fda.moph.go.th/media.php?id=809651334000287744&amp;name=SMPC_Ambroxol_Syrup.pdf</x:v>
      </x:c>
    </x:row>
    <x:row r="15">
      <x:c r="A15" s="31" t="str">
        <x:v>amino_acid</x:v>
      </x:c>
      <x:c r="B15" s="31" t="str">
        <x:v>benzylpenicillin_penicillin_g</x:v>
      </x:c>
      <x:c r="C15" s="31" t="str">
        <x:v>unclassified</x:v>
      </x:c>
      <x:c r="D15" s="31" t="str">
        <x:v>review</x:v>
      </x:c>
      <x:c r="E15" s="31" t="str">
        <x:v>r0033_smpc</x:v>
      </x:c>
      <x:c r="F15" s="31" t="str">
        <x:v>SMPC</x:v>
      </x:c>
      <x:c r="G15" s="31" t="n">
        <x:v>10</x:v>
      </x:c>
      <x:c r="H15" s="31" t="str">
        <x:v>amino acid</x:v>
      </x:c>
      <x:c r="I15" s="37" t="str">
        <x:v>r 6 to 8 weeks (see sections 4.5 and 4.8). - Determination of urinary protein using precipitation techniques (sulphosalicylic acid, trichloroacetic acid), the Folin -Ciocalteu-Lowry method or the Biuret method may lead to false-positive results. Caution should therefore be exercised when interpreting the results of such tests in patients receiving Benzylpenicillin. Protein determination with test strips is not affected. - Equally, urinary amino acid determination using the ninhydrin method may lead to false-positive results. - Penicillins bind to albumin. In electrophoresis methods to determine albumin, pseudobisalbuminaemia may thereby be simulated. - During therapy with Benzylpenicillin, non-enzymatic urinary glucose detection and urobilinogen detection may prove false -positive. Enzymatic urine glucose tests should be used in patients on therapy with Benzylpenicillin, as these are</x:v>
      </x:c>
      <x:c r="J15" s="37" t="str">
        <x:v>https://drug.fda.moph.go.th/media.php?id=809658888994562048&amp;name=SMPC_Benzylpenicillin Sodium_Powders for solutions for injections or infusions.pdf</x:v>
      </x:c>
    </x:row>
    <x:row r="16">
      <x:c r="A16" s="31" t="str">
        <x:v>amino_acid</x:v>
      </x:c>
      <x:c r="B16" s="31" t="str">
        <x:v>gentamicin_betamethasone_dipropionate</x:v>
      </x:c>
      <x:c r="C16" s="31" t="str">
        <x:v>unclassified</x:v>
      </x:c>
      <x:c r="D16" s="31" t="str">
        <x:v>review</x:v>
      </x:c>
      <x:c r="E16" s="31" t="str">
        <x:v>r0157_smpc</x:v>
      </x:c>
      <x:c r="F16" s="31" t="str">
        <x:v>SMPC</x:v>
      </x:c>
      <x:c r="G16" s="31" t="n">
        <x:v>11</x:v>
      </x:c>
      <x:c r="H16" s="31" t="str">
        <x:v>amino acid</x:v>
      </x:c>
      <x:c r="I16" s="37" t="str">
        <x:v>uocinolone acetonide, fluocortolone caproate, flumethasone pivalate and betamethasone valerate. Information on gentamicin Gentamicin is an antibiotic from the aminoglycoside group. It represents a mixture of the structurally very similar homologues gentamicin C1, C1a and C2. Mechanism of action For gentamicin, the mechanism of action is based on disruption of protein biosynthesis via interaction with ribosomal RNA, followed by faulty amino acid incorporation during translation. This results in a bactericidal effect. Pharmacokinetic/pharmacodynamic relationship Efficacy largely depends on the ratio between maximum achieved concentration (C max) on site of action and minimum inhibitory concentration (MIC) of the pathogen. Mechanisms of resistance Resistance to gentamicin may be based on the following mechanisms: - Enzymatic inactivation: enzymatic modification of aminoglycoside</x:v>
      </x:c>
      <x:c r="J16" s="37" t="str">
        <x:v>https://drug.fda.moph.go.th/media.php?id=810174762931331072&amp;name=SMPC_Gentamicin sulfate+betamethasone dipropionate_cream.pdf</x:v>
      </x:c>
    </x:row>
    <x:row r="17">
      <x:c r="A17" s="31" t="str">
        <x:v>amino_acid</x:v>
      </x:c>
      <x:c r="B17" s="31" t="str">
        <x:v>tetracycline</x:v>
      </x:c>
      <x:c r="C17" s="31" t="str">
        <x:v>unclassified</x:v>
      </x:c>
      <x:c r="D17" s="31" t="str">
        <x:v>review</x:v>
      </x:c>
      <x:c r="E17" s="31" t="str">
        <x:v>r0433_smpc</x:v>
      </x:c>
      <x:c r="F17" s="31" t="str">
        <x:v>SMPC</x:v>
      </x:c>
      <x:c r="G17" s="31" t="n">
        <x:v>2</x:v>
      </x:c>
      <x:c r="H17" s="31" t="str">
        <x:v>tetracycline</x:v>
      </x:c>
      <x:c r="I17" s="37" t="str">
        <x:v>on of peroxides and other degradation products. When used in newborns and children below 2 years, &lt;Trade name&gt; should be protected from ambient light until administration is completed. Patients with renal or hepatic impairment require an individualized dose. Care should be taken in case of hyponatremia. 4.5 Interaction with other medicinal products and other forms of interaction Avoid mixing &lt;Trade name&gt; with other drugs, especially in tetracycline. The addition of drugs may alter the chemical and physical properties of the solution and therefore give rise to toxic reactions. Should it nevertheless become necessary to add drugs to &lt;Trade name&gt;, it is imperative to ensure sterility, complete mixing and compatibility.</x:v>
      </x:c>
      <x:c r="J17" s="37" t="str">
        <x:v>https://drug.fda.moph.go.th/media.php?id=904601730573017088&amp;name=1. Ref SmPC_Amino acid.pdf</x:v>
      </x:c>
    </x:row>
    <x:row r="18">
      <x:c r="A18" s="31" t="str">
        <x:v>aminophylline</x:v>
      </x:c>
      <x:c r="B18" s="31" t="str">
        <x:v>carbamazepine</x:v>
      </x:c>
      <x:c r="C18" s="31" t="str">
        <x:v>unclassified</x:v>
      </x:c>
      <x:c r="D18" s="31" t="str">
        <x:v>review</x:v>
      </x:c>
      <x:c r="E18" s="31" t="str">
        <x:v>r0045_smpc</x:v>
      </x:c>
      <x:c r="F18" s="31" t="str">
        <x:v>SMPC</x:v>
      </x:c>
      <x:c r="G18" s="31" t="n">
        <x:v>15</x:v>
      </x:c>
      <x:c r="H18" s="31" t="str">
        <x:v>aminophylline</x:v>
      </x:c>
      <x:c r="I18" s="37" t="str">
        <x:v>oid phenytoin intoxication and subtherapeutic concentrations of carbamazepine it is recommended to adjust the plasma concentration of phenytoin to 13 micrograms /mL before adding carbamazepine to the treatment) and fosphenytoin, primidone, and, although the data are partly contradictory, possibly also clonazepam. Antineoplastics: cisplatin or doxorubicin. Antituberculosis: rifampicin. Bronchodilatators or anti-asthma drugs: theophylline, aminophylline. Dermatological drugs: isotretinoin. Other interactions : herbal preparations containing St John's wort (Hypericum perforatum). Effect of Carbamazepine on plasma levels of concomitant agents: Carbamazepine may lower the plasma level, diminish or even abolish the activity of certain drugs. The dosage of the following drugs may have to be adjusted to clinical requirement: Analgesics, anti -inflammatory agents : buprenorphine, methadone, p</x:v>
      </x:c>
      <x:c r="J18" s="37" t="str">
        <x:v>https://drug.fda.moph.go.th/media.php?id=809665211119312896&amp;name=SMPC_Carbamazepine_Tablets.pdf</x:v>
      </x:c>
    </x:row>
    <x:row r="19">
      <x:c r="A19" s="31" t="str">
        <x:v>aminophylline</x:v>
      </x:c>
      <x:c r="B19" s="31" t="str">
        <x:v>clindamycin</x:v>
      </x:c>
      <x:c r="C19" s="31" t="str">
        <x:v>unclassified</x:v>
      </x:c>
      <x:c r="D19" s="31" t="str">
        <x:v>review</x:v>
      </x:c>
      <x:c r="E19" s="31" t="str">
        <x:v>r0076_smpc</x:v>
      </x:c>
      <x:c r="F19" s="31" t="str">
        <x:v>SMPC</x:v>
      </x:c>
      <x:c r="G19" s="31" t="n">
        <x:v>25</x:v>
      </x:c>
      <x:c r="H19" s="31" t="str">
        <x:v>aminophylline</x:v>
      </x:c>
      <x:c r="I19" s="37" t="str">
        <x:v>Reproductive toxicity studies in rats and rabbits administered clindamycin orally (rats only) and subcutaneously showed no evidence of fertility or foetal injury, except for doses that resulted in maternal toxicity. 6. PHARMACEUTICAL PARTICULARS 6.1. List of excipients &lt;Regarding the approval&gt; 6.2. Incompatibilities Clindamycin must not be administered together with ampicillin, phenytoin sodium, barbiturates, aminophylline, calcium gluconate, ceftriaxone sodium, ciprofloxacin, diphenylhydantoin, idarubicin hydrochloride, magnesium sulphate and ranitidine hydrochloride in a mixed injection. The application of this medicinal product must be conducted separately. Solutions of clindamycin salts have a low pH and incompatibility may reasonably be expected with alkaline preparations or with medicinal products unstable at low pH. This medicinal product must not b</x:v>
      </x:c>
      <x:c r="J19" s="37" t="str">
        <x:v>https://drug.fda.moph.go.th/media.php?id=809679498764230656&amp;name=SMPC_clindamycin phosphate_solution for injection and infusion.pdf</x:v>
      </x:c>
    </x:row>
    <x:row r="20">
      <x:c r="A20" s="31" t="str">
        <x:v>aminophylline</x:v>
      </x:c>
      <x:c r="B20" s="31" t="str">
        <x:v>dobutamine</x:v>
      </x:c>
      <x:c r="C20" s="31" t="str">
        <x:v>unclassified</x:v>
      </x:c>
      <x:c r="D20" s="31" t="str">
        <x:v>review</x:v>
      </x:c>
      <x:c r="E20" s="31" t="str">
        <x:v>r0434_smpc</x:v>
      </x:c>
      <x:c r="F20" s="31" t="str">
        <x:v>SMPC</x:v>
      </x:c>
      <x:c r="G20" s="31" t="n">
        <x:v>13</x:v>
      </x:c>
      <x:c r="H20" s="31" t="str">
        <x:v>aminophylline</x:v>
      </x:c>
      <x:c r="I20" s="37" t="str">
        <x:v>ent of implantation and pre- and postnatal growth retardations were observed in rats at doses toxic to mothers. No influence on fertility was seen in rats. 6. PHARMACEUTICAL PARTICULARS 6.1 List of excipients &lt;ปรับตามทะเบียน&gt; 6.2 Incompatibilities Dobutamine solutions have proven to be incompatible with: Alkaline solutions (e. g. sodium hydrogen carbonate), solutions containing both sodium metabisulfite and ethanol, aciclovir, alteplase, aminophylline, bretylium, calcium chloride, calcium gluconate, cefamandol formiate, cephalotine sodium, cephazolin sodium, diazepam, digoxin, etacrynic acid (sodium salt), furosemide, heparin sodium, hydrogen cortisone sodium succinate, insulin, potassium chloride, magnesium sulfate, penicillin, phenytoin, streptokinase, verapamil. Furthermore known incompatibilities for sodium metabisulfite are: - chloramphenicol, - cisplatin. This medicinal product m</x:v>
      </x:c>
      <x:c r="J20" s="37" t="str">
        <x:v>https://drug.fda.moph.go.th/media.php?id=904966129582219264&amp;name=2. Ref SmPC_Dobutamine.pdf</x:v>
      </x:c>
    </x:row>
    <x:row r="21">
      <x:c r="A21" s="31" t="str">
        <x:v>amitriptyline</x:v>
      </x:c>
      <x:c r="B21" s="31" t="str">
        <x:v>carbamazepine</x:v>
      </x:c>
      <x:c r="C21" s="31" t="str">
        <x:v>unclassified</x:v>
      </x:c>
      <x:c r="D21" s="31" t="str">
        <x:v>review</x:v>
      </x:c>
      <x:c r="E21" s="31" t="str">
        <x:v>r0020_smpc</x:v>
      </x:c>
      <x:c r="F21" s="31" t="str">
        <x:v>SMPC</x:v>
      </x:c>
      <x:c r="G21" s="31" t="n">
        <x:v>12</x:v>
      </x:c>
      <x:c r="H21" s="31" t="str">
        <x:v>carbamazepine</x:v>
      </x:c>
      <x:c r="I21" s="37" t="str">
        <x:v>, MHRA, 11/01/2022 12 expected with concomitant use of amitriptyline and strong CYP3A4 inhibitors such as ketoconazole, itraconazole and ritonavir. Tricyclic antidepressants and neuroleptics mutually inhibit the metabolism of each other; this may lead to a lowered convulsion threshold, and seizures. It may be necessary to adjust the dosage of these drugs. Cytochrome P450 inducers: Oral contraceptives, rifampicin, phenytoin, barbiturates, carbamazepine and St. John’s Wort (Hypericum perforatum) may increase the metabolism of tricyclic antidepressants and result in lowered plasma levels of tricyclic antidepre ssants and reduced antidepressant response. In the presence of ethanol amitriptyline free plasma concentrations and nortriptyline concentrations were increased. Amitriptyline plasma concentration can be increased by sodium valproate and valpromide. Clinical monitoring is therefore</x:v>
      </x:c>
      <x:c r="J21" s="37" t="str">
        <x:v>https://drug.fda.moph.go.th/media.php?id=809652580375470080&amp;name=SMPC_Amitriptyline_Tablets.pdf</x:v>
      </x:c>
    </x:row>
    <x:row r="22">
      <x:c r="A22" s="31" t="str">
        <x:v>amitriptyline</x:v>
      </x:c>
      <x:c r="B22" s="31" t="str">
        <x:v>cimetidine</x:v>
      </x:c>
      <x:c r="C22" s="31" t="str">
        <x:v>unclassified</x:v>
      </x:c>
      <x:c r="D22" s="31" t="str">
        <x:v>review</x:v>
      </x:c>
      <x:c r="E22" s="31" t="str">
        <x:v>r0020_smpc</x:v>
      </x:c>
      <x:c r="F22" s="31" t="str">
        <x:v>SMPC</x:v>
      </x:c>
      <x:c r="G22" s="31" t="n">
        <x:v>11</x:v>
      </x:c>
      <x:c r="H22" s="31" t="str">
        <x:v>cimetidine</x:v>
      </x:c>
      <x:c r="I22" s="37" t="str">
        <x:v>stantial decreases in TCA metabolism and marked increases in plasma concentrations. Consider to monitor TCA plasma levels, whenever a TCA is to be co -administered with another drug known to be a strong inhibitor of CYP2D6. Dose adjustment of amitriptyline may be necessary (see section 4.2). Caution is advised in the case of co - administration of amitriptyline with duloxetine, a moderate CYP2D6 inhibitor. Other Cytochrome P450 inhibitors: Cimetidine, methylphenidate and calcium-channel blockers (e.g. diltiazem and verapamil) may increase plasma levels of tricyclic antidepressants and accompanying toxicity. Antifungals such as fluconazole (CYP2C9 inhibitor) and terbinafine (CYP2D6 inhibitor) have been observed to increase serum le vels of amitriptyline and nortriptyline. The CYP3A4 and CYP1A2 isozymes metabolise amitriptyline to a lesser extent. However, fluvoxamine (strong CYP1A2 inh</x:v>
      </x:c>
      <x:c r="J22" s="37" t="str">
        <x:v>https://drug.fda.moph.go.th/media.php?id=809652580375470080&amp;name=SMPC_Amitriptyline_Tablets.pdf</x:v>
      </x:c>
    </x:row>
    <x:row r="23">
      <x:c r="A23" s="31" t="str">
        <x:v>amitriptyline</x:v>
      </x:c>
      <x:c r="B23" s="31" t="str">
        <x:v>cimetidine</x:v>
      </x:c>
      <x:c r="C23" s="31" t="str">
        <x:v>unclassified</x:v>
      </x:c>
      <x:c r="D23" s="31" t="str">
        <x:v>review</x:v>
      </x:c>
      <x:c r="E23" s="31" t="str">
        <x:v>r0068_smpc</x:v>
      </x:c>
      <x:c r="F23" s="31" t="str">
        <x:v>SMPC</x:v>
      </x:c>
      <x:c r="G23" s="31" t="n">
        <x:v>5</x:v>
      </x:c>
      <x:c r="H23" s="31" t="str">
        <x:v>amitriptyline</x:v>
      </x:c>
      <x:c r="I23" s="37" t="str">
        <x:v>ate dosage adjustment of the affected drug or discontinuation of treatment (see Section 4.4). Interactions may occur by several mechanisms including: 1) Inhibition of certain cytochrome P450 enzymes (including CYP1A2, CYP2C9, CYP2D6 and CYP3A3/A4, and CYP2C18); Inhibition of these enzymes may result in increased plasma levels of certain drugs including warfarin -type coumarin anticoagulants (e.g. warfarin), tricyclic antidepressants (e.g. amitriptyline), class I antiarrhythmics (e.g. lidocaine), calcium channel blockers (e.g.</x:v>
      </x:c>
      <x:c r="J23" s="37" t="str">
        <x:v>https://drug.fda.moph.go.th/media.php?id=809675069696647168&amp;name=SMPC_Cimetidine_Tablets.pdf</x:v>
      </x:c>
    </x:row>
    <x:row r="24">
      <x:c r="A24" s="31" t="str">
        <x:v>amitriptyline</x:v>
      </x:c>
      <x:c r="B24" s="31" t="str">
        <x:v>clonidine</x:v>
      </x:c>
      <x:c r="C24" s="31" t="str">
        <x:v>unclassified</x:v>
      </x:c>
      <x:c r="D24" s="31" t="str">
        <x:v>review</x:v>
      </x:c>
      <x:c r="E24" s="31" t="str">
        <x:v>r0020_smpc</x:v>
      </x:c>
      <x:c r="F24" s="31" t="str">
        <x:v>SMPC</x:v>
      </x:c>
      <x:c r="G24" s="31" t="n">
        <x:v>10</x:v>
      </x:c>
      <x:c r="H24" s="31" t="str">
        <x:v>clonidine</x:v>
      </x:c>
      <x:c r="I24" s="37" t="str">
        <x:v>1 Ref: ELAVIL/Amitriptyline, MHRA, 11/01/2022 10 Adrenergic neurone blockers: Tricyclic antidepressants may counteract the antihypertensive effects of centrally acting antihypertensives such as guanethidine, betanidine, reserpine, clonidine and methyldopa. It is advisable to review all antihypertensive t herapy during treatment with tricyclic antidepressants. There is an increased risk of hypertension on clonidine withdrawal. Anticholinergic agents: Tricyclic antidepressants may potentiate the effects of these drugs on the eye, central nervous system, bowel and bladder; concomitant use of these should be avoided due to an increased risk of paralytic ileus, hyperpyrexia, etc.</x:v>
      </x:c>
      <x:c r="J24" s="37" t="str">
        <x:v>https://drug.fda.moph.go.th/media.php?id=809652580375470080&amp;name=SMPC_Amitriptyline_Tablets.pdf</x:v>
      </x:c>
    </x:row>
    <x:row r="25">
      <x:c r="A25" s="31" t="str">
        <x:v>amitriptyline</x:v>
      </x:c>
      <x:c r="B25" s="31" t="str">
        <x:v>diltiazem</x:v>
      </x:c>
      <x:c r="C25" s="31" t="str">
        <x:v>unclassified</x:v>
      </x:c>
      <x:c r="D25" s="31" t="str">
        <x:v>review</x:v>
      </x:c>
      <x:c r="E25" s="31" t="str">
        <x:v>r0020_smpc</x:v>
      </x:c>
      <x:c r="F25" s="31" t="str">
        <x:v>SMPC</x:v>
      </x:c>
      <x:c r="G25" s="31" t="n">
        <x:v>11</x:v>
      </x:c>
      <x:c r="H25" s="31" t="str">
        <x:v>diltiazem</x:v>
      </x:c>
      <x:c r="I25" s="37" t="str">
        <x:v>asma concentrations. Consider to monitor TCA plasma levels, whenever a TCA is to be co -administered with another drug known to be a strong inhibitor of CYP2D6. Dose adjustment of amitriptyline may be necessary (see section 4.2). Caution is advised in the case of co - administration of amitriptyline with duloxetine, a moderate CYP2D6 inhibitor. Other Cytochrome P450 inhibitors: Cimetidine, methylphenidate and calcium-channel blockers (e.g. diltiazem and verapamil) may increase plasma levels of tricyclic antidepressants and accompanying toxicity. Antifungals such as fluconazole (CYP2C9 inhibitor) and terbinafine (CYP2D6 inhibitor) have been observed to increase serum le vels of amitriptyline and nortriptyline. The CYP3A4 and CYP1A2 isozymes metabolise amitriptyline to a lesser extent. However, fluvoxamine (strong CYP1A2 inhibitor) was shown to increase amitriptyline plasma concentrati</x:v>
      </x:c>
      <x:c r="J25" s="37" t="str">
        <x:v>https://drug.fda.moph.go.th/media.php?id=809652580375470080&amp;name=SMPC_Amitriptyline_Tablets.pdf</x:v>
      </x:c>
    </x:row>
    <x:row r="26">
      <x:c r="A26" s="31" t="str">
        <x:v>amitriptyline</x:v>
      </x:c>
      <x:c r="B26" s="31" t="str">
        <x:v>disulfiram</x:v>
      </x:c>
      <x:c r="C26" s="31" t="str">
        <x:v>unclassified</x:v>
      </x:c>
      <x:c r="D26" s="31" t="str">
        <x:v>review</x:v>
      </x:c>
      <x:c r="E26" s="31" t="str">
        <x:v>r0114_smpc</x:v>
      </x:c>
      <x:c r="F26" s="31" t="str">
        <x:v>SMPC</x:v>
      </x:c>
      <x:c r="G26" s="31" t="n">
        <x:v>4</x:v>
      </x:c>
      <x:c r="H26" s="31" t="str">
        <x:v>amitriptyline</x:v>
      </x:c>
      <x:c r="I26" s="37" t="str">
        <x:v>signs of liver injury associated with jaundice occur. Excipient information &lt;REGARDING THE APPROVAL&gt; 4.5. Interaction with other medicinal products and other forms of interaction Disulfiram blocks the metabolism of alcohol and leads to an accumulation of acetaldehyde in the blood stream. For full details of the disulfiram-alcohol reaction please refer to section 4.8. The intensity of the Disulfiram -alcohol reaction may be increased by amitriptyline. Chlorpromazine while decreasing certain components of the Disulfiram-alcohol reaction may increase the overall intensity of the reaction. Disulfiram inhibits the metabolism of certain benzodiazepines such as chlordiazepoxide and diazepam enhancing their sedative effect. The interaction is not indicated for oxazepam. Benzodiazepines may reduce the disulfiram-alcohol reaction. Disulfiram inhibits the metabolism of many drugs which are conv</x:v>
      </x:c>
      <x:c r="J26" s="37" t="str">
        <x:v>https://drug.fda.moph.go.th/media.php?id=810072772666597376&amp;name=SMPC_Disulfiram_Tablets.pdf</x:v>
      </x:c>
    </x:row>
    <x:row r="27">
      <x:c r="A27" s="31" t="str">
        <x:v>amitriptyline</x:v>
      </x:c>
      <x:c r="B27" s="31" t="str">
        <x:v>furosemide</x:v>
      </x:c>
      <x:c r="C27" s="31" t="str">
        <x:v>unclassified</x:v>
      </x:c>
      <x:c r="D27" s="31" t="str">
        <x:v>review</x:v>
      </x:c>
      <x:c r="E27" s="31" t="str">
        <x:v>r0020_smpc</x:v>
      </x:c>
      <x:c r="F27" s="31" t="str">
        <x:v>SMPC</x:v>
      </x:c>
      <x:c r="G27" s="31" t="n">
        <x:v>10</x:v>
      </x:c>
      <x:c r="H27" s="31" t="str">
        <x:v>furosemide</x:v>
      </x:c>
      <x:c r="I27" s="37" t="str">
        <x:v>zide and sertindole), cisapride, halofantrine, and sotalol, may increase the likelihood of vent ricular arrhythmias when taken with tricyclic antidepressants. Use caution when using amitriptyline and methadone concomitantly due to a potential for additive effects on the QT interval and increased risk of serious cardiovascular effects. Caution is also advised for co -administration of amitriptyline and diuretics inducing hypokalaemia (e.g. furosemide). Thioridazine: Co -administration of amitriptyline and thioridazine (CYP2D6 substrate) should be avoided due to inhibition of thioridazine metabolism and consequently increased risk of cardiac side effects. Tramadol: Concomitant use of tramadol (a CYP2D6 substrate) and tricyclic antidepressants (TCAs), such as amitriptyline increases the risk for seizures and serotonin syndrome. Additionally, this combination can inhibit the metabolism o</x:v>
      </x:c>
      <x:c r="J27" s="37" t="str">
        <x:v>https://drug.fda.moph.go.th/media.php?id=809652580375470080&amp;name=SMPC_Amitriptyline_Tablets.pdf</x:v>
      </x:c>
    </x:row>
    <x:row r="28">
      <x:c r="A28" s="31" t="str">
        <x:v>amitriptyline</x:v>
      </x:c>
      <x:c r="B28" s="31" t="str">
        <x:v>itraconazole</x:v>
      </x:c>
      <x:c r="C28" s="31" t="str">
        <x:v>unclassified</x:v>
      </x:c>
      <x:c r="D28" s="31" t="str">
        <x:v>review</x:v>
      </x:c>
      <x:c r="E28" s="31" t="str">
        <x:v>r0020_smpc</x:v>
      </x:c>
      <x:c r="F28" s="31" t="str">
        <x:v>SMPC</x:v>
      </x:c>
      <x:c r="G28" s="31" t="n">
        <x:v>12</x:v>
      </x:c>
      <x:c r="H28" s="31" t="str">
        <x:v>itraconazole</x:v>
      </x:c>
      <x:c r="I28" s="37" t="str">
        <x:v>1 Ref: ELAVIL/Amitriptyline, MHRA, 11/01/2022 12 expected with concomitant use of amitriptyline and strong CYP3A4 inhibitors such as ketoconazole, itraconazole and ritonavir. Tricyclic antidepressants and neuroleptics mutually inhibit the metabolism of each other; this may lead to a lowered convulsion threshold, and seizures. It may be necessary to adjust the dosage of these drugs. Cytochrome P450 inducers: Oral contraceptives, rifampicin, phenytoin, barbiturates, carbamazepine and St. John’s Wort (Hypericum perforatum) may increase the metabolism of tricyclic antidepressants and result in lowe</x:v>
      </x:c>
      <x:c r="J28" s="37" t="str">
        <x:v>https://drug.fda.moph.go.th/media.php?id=809652580375470080&amp;name=SMPC_Amitriptyline_Tablets.pdf</x:v>
      </x:c>
    </x:row>
    <x:row r="29">
      <x:c r="A29" s="31" t="str">
        <x:v>amitriptyline</x:v>
      </x:c>
      <x:c r="B29" s="31" t="str">
        <x:v>ketoconazole</x:v>
      </x:c>
      <x:c r="C29" s="31" t="str">
        <x:v>unclassified</x:v>
      </x:c>
      <x:c r="D29" s="31" t="str">
        <x:v>review</x:v>
      </x:c>
      <x:c r="E29" s="31" t="str">
        <x:v>r0020_smpc</x:v>
      </x:c>
      <x:c r="F29" s="31" t="str">
        <x:v>SMPC</x:v>
      </x:c>
      <x:c r="G29" s="31" t="n">
        <x:v>12</x:v>
      </x:c>
      <x:c r="H29" s="31" t="str">
        <x:v>ketoconazole</x:v>
      </x:c>
      <x:c r="I29" s="37" t="str">
        <x:v>1 Ref: ELAVIL/Amitriptyline, MHRA, 11/01/2022 12 expected with concomitant use of amitriptyline and strong CYP3A4 inhibitors such as ketoconazole, itraconazole and ritonavir. Tricyclic antidepressants and neuroleptics mutually inhibit the metabolism of each other; this may lead to a lowered convulsion threshold, and seizures. It may be necessary to adjust the dosage of these drugs. Cytochrome P450 inducers: Oral contraceptives, rifampicin, phenytoin, barbiturates, carbamazepine and St. John’s Wort (Hypericum perforatum) may increase the metabolism of tricyclic antidepressants and</x:v>
      </x:c>
      <x:c r="J29" s="37" t="str">
        <x:v>https://drug.fda.moph.go.th/media.php?id=809652580375470080&amp;name=SMPC_Amitriptyline_Tablets.pdf</x:v>
      </x:c>
    </x:row>
    <x:row r="30">
      <x:c r="A30" s="31" t="str">
        <x:v>amitriptyline</x:v>
      </x:c>
      <x:c r="B30" s="31" t="str">
        <x:v>methyldopa</x:v>
      </x:c>
      <x:c r="C30" s="31" t="str">
        <x:v>unclassified</x:v>
      </x:c>
      <x:c r="D30" s="31" t="str">
        <x:v>review</x:v>
      </x:c>
      <x:c r="E30" s="31" t="str">
        <x:v>r0020_smpc</x:v>
      </x:c>
      <x:c r="F30" s="31" t="str">
        <x:v>SMPC</x:v>
      </x:c>
      <x:c r="G30" s="31" t="n">
        <x:v>10</x:v>
      </x:c>
      <x:c r="H30" s="31" t="str">
        <x:v>methyldopa</x:v>
      </x:c>
      <x:c r="I30" s="37" t="str">
        <x:v>1 Ref: ELAVIL/Amitriptyline, MHRA, 11/01/2022 10 Adrenergic neurone blockers: Tricyclic antidepressants may counteract the antihypertensive effects of centrally acting antihypertensives such as guanethidine, betanidine, reserpine, clonidine and methyldopa. It is advisable to review all antihypertensive t herapy during treatment with tricyclic antidepressants. There is an increased risk of hypertension on clonidine withdrawal. Anticholinergic agents: Tricyclic antidepressants may potentiate the effects of these drugs on the eye, central nervous system, bowel and bladder; concomitant use of these should be avoided due to an increased risk of paralytic ileus, hyperpyrexia, etc. Drugs which p</x:v>
      </x:c>
      <x:c r="J30" s="37" t="str">
        <x:v>https://drug.fda.moph.go.th/media.php?id=809652580375470080&amp;name=SMPC_Amitriptyline_Tablets.pdf</x:v>
      </x:c>
    </x:row>
    <x:row r="31">
      <x:c r="A31" s="31" t="str">
        <x:v>amitriptyline</x:v>
      </x:c>
      <x:c r="B31" s="31" t="str">
        <x:v>nortriptyline</x:v>
      </x:c>
      <x:c r="C31" s="31" t="str">
        <x:v>unclassified</x:v>
      </x:c>
      <x:c r="D31" s="31" t="str">
        <x:v>review</x:v>
      </x:c>
      <x:c r="E31" s="31" t="str">
        <x:v>r0020_smpc</x:v>
      </x:c>
      <x:c r="F31" s="31" t="str">
        <x:v>SMPC</x:v>
      </x:c>
      <x:c r="G31" s="31" t="n">
        <x:v>5</x:v>
      </x:c>
      <x:c r="H31" s="31" t="str">
        <x:v>nortriptyline</x:v>
      </x:c>
      <x:c r="I31" s="37" t="str">
        <x:v>level determination is advisable. Cytochrome P450 inhibitors of CYP2D6 Depending on individual patient response, a lower dose of amitriptyline should be considered if a strong CYP2D6 inhibitor (e.g. bupropion, quinidine, fluoxetine, paroxetine) is added to amitriptyline treatment (see section 4.5). Known poor metabolisers of CYP2D6 or CYP2C19 These patients may have higher plasma concentrations of amitriptyline and its active metabolite nortriptyline. Consider a 50% reduction of the recommended starting dose. Method of administration For oral administration. The tablets should be swallowed with water. Discontinuation of treatment When stopping therapy the drug should be gradually withdrawn during several weeks. 4.3. Contraindications Hypersensitivity to the active substance or to any of the excipients listed in section 6.1. Recent myocardial infarction. Any degree of heart block o</x:v>
      </x:c>
      <x:c r="J31" s="37" t="str">
        <x:v>https://drug.fda.moph.go.th/media.php?id=809652580375470080&amp;name=SMPC_Amitriptyline_Tablets.pdf</x:v>
      </x:c>
    </x:row>
    <x:row r="32">
      <x:c r="A32" s="31" t="str">
        <x:v>amitriptyline</x:v>
      </x:c>
      <x:c r="B32" s="31" t="str">
        <x:v>nortriptyline</x:v>
      </x:c>
      <x:c r="C32" s="31" t="str">
        <x:v>unclassified</x:v>
      </x:c>
      <x:c r="D32" s="31" t="str">
        <x:v>review</x:v>
      </x:c>
      <x:c r="E32" s="31" t="str">
        <x:v>r0020_smpc</x:v>
      </x:c>
      <x:c r="F32" s="31" t="str">
        <x:v>SMPC</x:v>
      </x:c>
      <x:c r="G32" s="31" t="n">
        <x:v>11</x:v>
      </x:c>
      <x:c r="H32" s="31" t="str">
        <x:v>nortriptyline</x:v>
      </x:c>
      <x:c r="I32" s="37" t="str">
        <x:v>of co - administration of amitriptyline with duloxetine, a moderate CYP2D6 inhibitor. Other Cytochrome P450 inhibitors: Cimetidine, methylphenidate and calcium-channel blockers (e.g. diltiazem and verapamil) may increase plasma levels of tricyclic antidepressants and accompanying toxicity. Antifungals such as fluconazole (CYP2C9 inhibitor) and terbinafine (CYP2D6 inhibitor) have been observed to increase serum le vels of amitriptyline and nortriptyline. The CYP3A4 and CYP1A2 isozymes metabolise amitriptyline to a lesser extent. However, fluvoxamine (strong CYP1A2 inhibitor) was shown to increase amitriptyline plasma concentrations and this combination should be avoided. Clinically relevant interactions may be</x:v>
      </x:c>
      <x:c r="J32" s="37" t="str">
        <x:v>https://drug.fda.moph.go.th/media.php?id=809652580375470080&amp;name=SMPC_Amitriptyline_Tablets.pdf</x:v>
      </x:c>
    </x:row>
    <x:row r="33">
      <x:c r="A33" s="31" t="str">
        <x:v>amitriptyline</x:v>
      </x:c>
      <x:c r="B33" s="31" t="str">
        <x:v>pimozide</x:v>
      </x:c>
      <x:c r="C33" s="31" t="str">
        <x:v>unclassified</x:v>
      </x:c>
      <x:c r="D33" s="31" t="str">
        <x:v>review</x:v>
      </x:c>
      <x:c r="E33" s="31" t="str">
        <x:v>r0020_smpc</x:v>
      </x:c>
      <x:c r="F33" s="31" t="str">
        <x:v>SMPC</x:v>
      </x:c>
      <x:c r="G33" s="31" t="n">
        <x:v>10</x:v>
      </x:c>
      <x:c r="H33" s="31" t="str">
        <x:v>pimozide</x:v>
      </x:c>
      <x:c r="I33" s="37" t="str">
        <x:v>nsion on clonidine withdrawal. Anticholinergic agents: Tricyclic antidepressants may potentiate the effects of these drugs on the eye, central nervous system, bowel and bladder; concomitant use of these should be avoided due to an increased risk of paralytic ileus, hyperpyrexia, etc. Drugs which prolong the QT-interval including antiarrhythmics such as quinidine, the antihistamines astemizole and terfenadine, some antipsychotics (notably pimozide and sertindole), cisapride, halofantrine, and sotalol, may increase the likelihood of vent ricular arrhythmias when taken with tricyclic antidepressants. Use caution when using amitriptyline and methadone concomitantly due to a potential for additive effects on the QT interval and increased risk of serious cardiovascular effects. Caution is also advised for co -administration of amitriptyline and diuretics inducing hypokalaemia (e.g. furo</x:v>
      </x:c>
      <x:c r="J33" s="37" t="str">
        <x:v>https://drug.fda.moph.go.th/media.php?id=809652580375470080&amp;name=SMPC_Amitriptyline_Tablets.pdf</x:v>
      </x:c>
    </x:row>
    <x:row r="34">
      <x:c r="A34" s="31" t="str">
        <x:v>amitriptyline</x:v>
      </x:c>
      <x:c r="B34" s="31" t="str">
        <x:v>pimozide</x:v>
      </x:c>
      <x:c r="C34" s="31" t="str">
        <x:v>unclassified</x:v>
      </x:c>
      <x:c r="D34" s="31" t="str">
        <x:v>review</x:v>
      </x:c>
      <x:c r="E34" s="31" t="str">
        <x:v>r0278_smpc</x:v>
      </x:c>
      <x:c r="F34" s="31" t="str">
        <x:v>SMPC</x:v>
      </x:c>
      <x:c r="G34" s="31" t="n">
        <x:v>9</x:v>
      </x:c>
      <x:c r="H34" s="31" t="str">
        <x:v>amitriptyline</x:v>
      </x:c>
      <x:c r="I34" s="37" t="str">
        <x:v>kinson effect of levodopa . The dosage of anticonvulsants may need to be increased to take account of lowered seizure threshold. Concomitant use of pimozide with drugs known to prolong the QT interval is contraindicated (see section 4 .3). Examples include certain antiarrhythmics, such as those of Class IA (such as quinidine, disopyramide and procainamide) and Class III (such as amiodarone and sotalol ), tricyclic antidepressants (such as amitriptyline ), certain tetracyclic antidepressants (such as maprotiline ), certain other</x:v>
      </x:c>
      <x:c r="J34" s="37" t="str">
        <x:v>https://drug.fda.moph.go.th/media.php?id=810432738745262080&amp;name=SMPC_Pimozide_Tablet.pdf</x:v>
      </x:c>
    </x:row>
    <x:row r="35">
      <x:c r="A35" s="31" t="str">
        <x:v>amitriptyline</x:v>
      </x:c>
      <x:c r="B35" s="31" t="str">
        <x:v>rifampicin</x:v>
      </x:c>
      <x:c r="C35" s="31" t="str">
        <x:v>unclassified</x:v>
      </x:c>
      <x:c r="D35" s="31" t="str">
        <x:v>review</x:v>
      </x:c>
      <x:c r="E35" s="31" t="str">
        <x:v>r0020_smpc</x:v>
      </x:c>
      <x:c r="F35" s="31" t="str">
        <x:v>SMPC</x:v>
      </x:c>
      <x:c r="G35" s="31" t="n">
        <x:v>12</x:v>
      </x:c>
      <x:c r="H35" s="31" t="str">
        <x:v>rifampicin</x:v>
      </x:c>
      <x:c r="I35" s="37" t="str">
        <x:v>1 Ref: ELAVIL/Amitriptyline, MHRA, 11/01/2022 12 expected with concomitant use of amitriptyline and strong CYP3A4 inhibitors such as ketoconazole, itraconazole and ritonavir. Tricyclic antidepressants and neuroleptics mutually inhibit the metabolism of each other; this may lead to a lowered convulsion threshold, and seizures. It may be necessary to adjust the dosage of these drugs. Cytochrome P450 inducers: Oral contraceptives, rifampicin, phenytoin, barbiturates, carbamazepine and St. John’s Wort (Hypericum perforatum) may increase the metabolism of tricyclic antidepressants and result in lowered plasma levels of tricyclic antidepre ssants and reduced antidepressant response. In the presence of ethanol amitriptyline free plasma concentrations and nortriptyline concentrations were increased. Amitriptyline plasma concentration can be increased by sodium valproate and valpr</x:v>
      </x:c>
      <x:c r="J35" s="37" t="str">
        <x:v>https://drug.fda.moph.go.th/media.php?id=809652580375470080&amp;name=SMPC_Amitriptyline_Tablets.pdf</x:v>
      </x:c>
    </x:row>
    <x:row r="36">
      <x:c r="A36" s="31" t="str">
        <x:v>amitriptyline</x:v>
      </x:c>
      <x:c r="B36" s="31" t="str">
        <x:v>thioridazine</x:v>
      </x:c>
      <x:c r="C36" s="31" t="str">
        <x:v>unclassified</x:v>
      </x:c>
      <x:c r="D36" s="31" t="str">
        <x:v>review</x:v>
      </x:c>
      <x:c r="E36" s="31" t="str">
        <x:v>r0020_smpc</x:v>
      </x:c>
      <x:c r="F36" s="31" t="str">
        <x:v>SMPC</x:v>
      </x:c>
      <x:c r="G36" s="31" t="n">
        <x:v>10</x:v>
      </x:c>
      <x:c r="H36" s="31" t="str">
        <x:v>thioridazine</x:v>
      </x:c>
      <x:c r="I36" s="37" t="str">
        <x:v>ndole), cisapride, halofantrine, and sotalol, may increase the likelihood of vent ricular arrhythmias when taken with tricyclic antidepressants. Use caution when using amitriptyline and methadone concomitantly due to a potential for additive effects on the QT interval and increased risk of serious cardiovascular effects. Caution is also advised for co -administration of amitriptyline and diuretics inducing hypokalaemia (e.g. furosemide). Thioridazine: Co -administration of amitriptyline and thioridazine (CYP2D6 substrate) should be avoided due to inhibition of thioridazine metabolism and consequently increased risk of cardiac side effects. Tramadol: Concomitant use of tramadol (a CYP2D6 substrate) and tricyclic antidepressants (TCAs), such as amitriptyline increases the risk for seizures and serotonin syndrome. Additionally, this combination can inhibit the metabolism of tramadol to th</x:v>
      </x:c>
      <x:c r="J36" s="37" t="str">
        <x:v>https://drug.fda.moph.go.th/media.php?id=809652580375470080&amp;name=SMPC_Amitriptyline_Tablets.pdf</x:v>
      </x:c>
    </x:row>
    <x:row r="37">
      <x:c r="A37" s="31" t="str">
        <x:v>amitriptyline</x:v>
      </x:c>
      <x:c r="B37" s="31" t="str">
        <x:v>tramadol</x:v>
      </x:c>
      <x:c r="C37" s="31" t="str">
        <x:v>moderate</x:v>
      </x:c>
      <x:c r="D37" s="31" t="str">
        <x:v>eligible</x:v>
      </x:c>
      <x:c r="E37" s="31" t="str">
        <x:v>r0020_smpc</x:v>
      </x:c>
      <x:c r="F37" s="31" t="str">
        <x:v>SMPC</x:v>
      </x:c>
      <x:c r="G37" s="31" t="n">
        <x:v>9</x:v>
      </x:c>
      <x:c r="H37" s="31" t="str">
        <x:v>tramadol</x:v>
      </x:c>
      <x:c r="I37" s="37" t="str">
        <x:v>h, maturation and cognitive and behavioural development are not available (see section 4.2). Excipient information &lt;REGARDING THE APPROVAL&gt; 4.5. Interaction with other medicinal products and other forms of interaction Potential for amitriptyline to affect other medicinal products Analgesics: increased anticholinergic side -effects with nefopam; increased analgesia with morphine. Increased risk of CNS toxicity when tricyclics given with tramadol. Muscle relaxants : Tricyclics enhance muscle relaxant effect of baclofen. Nitrates: reduced effect of sublingual nitrates (owing to dry mouth). Contraindicated combinations MAOIs (non -selective as well as selective A (moclobemide) and B (selegiline)) - risk of “serotonin syndrome” (see section 4.3). Combinations that are not recommended Sympathomimetic agents: Amitriptyline may potentiate the cardiovascular effects of adrenaline, ephe</x:v>
      </x:c>
      <x:c r="J37" s="37" t="str">
        <x:v>https://drug.fda.moph.go.th/media.php?id=809652580375470080&amp;name=SMPC_Amitriptyline_Tablets.pdf</x:v>
      </x:c>
    </x:row>
    <x:row r="38">
      <x:c r="A38" s="31" t="str">
        <x:v>amitriptyline</x:v>
      </x:c>
      <x:c r="B38" s="31" t="str">
        <x:v>tramadol</x:v>
      </x:c>
      <x:c r="C38" s="31" t="str">
        <x:v>unclassified</x:v>
      </x:c>
      <x:c r="D38" s="31" t="str">
        <x:v>review</x:v>
      </x:c>
      <x:c r="E38" s="31" t="str">
        <x:v>r0020_smpc</x:v>
      </x:c>
      <x:c r="F38" s="31" t="str">
        <x:v>SMPC</x:v>
      </x:c>
      <x:c r="G38" s="31" t="n">
        <x:v>10</x:v>
      </x:c>
      <x:c r="H38" s="31" t="str">
        <x:v>tramadol</x:v>
      </x:c>
      <x:c r="I38" s="37" t="str">
        <x:v>tly due to a potential for additive effects on the QT interval and increased risk of serious cardiovascular effects. Caution is also advised for co -administration of amitriptyline and diuretics inducing hypokalaemia (e.g. furosemide). Thioridazine: Co -administration of amitriptyline and thioridazine (CYP2D6 substrate) should be avoided due to inhibition of thioridazine metabolism and consequently increased risk of cardiac side effects. Tramadol: Concomitant use of tramadol (a CYP2D6 substrate) and tricyclic antidepressants (TCAs), such as amitriptyline increases the risk for seizures and serotonin syndrome. Additionally, this combination can inhibit the metabolism of tramadol to the active metabolite and thereby increasing tramadol concentrations potentially causing opioid toxicity. Buprenorphine: Concomitant use of buprenorphine and tricyclic antidepressants (TCAs), such as amit</x:v>
      </x:c>
      <x:c r="J38" s="37" t="str">
        <x:v>https://drug.fda.moph.go.th/media.php?id=809652580375470080&amp;name=SMPC_Amitriptyline_Tablets.pdf</x:v>
      </x:c>
    </x:row>
    <x:row r="39">
      <x:c r="A39" s="31" t="str">
        <x:v>amitriptyline</x:v>
      </x:c>
      <x:c r="B39" s="31" t="str">
        <x:v>verapamil</x:v>
      </x:c>
      <x:c r="C39" s="31" t="str">
        <x:v>unclassified</x:v>
      </x:c>
      <x:c r="D39" s="31" t="str">
        <x:v>review</x:v>
      </x:c>
      <x:c r="E39" s="31" t="str">
        <x:v>r0020_smpc</x:v>
      </x:c>
      <x:c r="F39" s="31" t="str">
        <x:v>SMPC</x:v>
      </x:c>
      <x:c r="G39" s="31" t="n">
        <x:v>11</x:v>
      </x:c>
      <x:c r="H39" s="31" t="str">
        <x:v>verapamil</x:v>
      </x:c>
      <x:c r="I39" s="37" t="str">
        <x:v>tions. Consider to monitor TCA plasma levels, whenever a TCA is to be co -administered with another drug known to be a strong inhibitor of CYP2D6. Dose adjustment of amitriptyline may be necessary (see section 4.2). Caution is advised in the case of co - administration of amitriptyline with duloxetine, a moderate CYP2D6 inhibitor. Other Cytochrome P450 inhibitors: Cimetidine, methylphenidate and calcium-channel blockers (e.g. diltiazem and verapamil) may increase plasma levels of tricyclic antidepressants and accompanying toxicity. Antifungals such as fluconazole (CYP2C9 inhibitor) and terbinafine (CYP2D6 inhibitor) have been observed to increase serum le vels of amitriptyline and nortriptyline. The CYP3A4 and CYP1A2 isozymes metabolise amitriptyline to a lesser extent. However, fluvoxamine (strong CYP1A2 inhibitor) was shown to increase amitriptyline plasma concentrations and this</x:v>
      </x:c>
      <x:c r="J39" s="37" t="str">
        <x:v>https://drug.fda.moph.go.th/media.php?id=809652580375470080&amp;name=SMPC_Amitriptyline_Tablets.pdf</x:v>
      </x:c>
    </x:row>
    <x:row r="40">
      <x:c r="A40" s="31" t="str">
        <x:v>amoxicillin</x:v>
      </x:c>
      <x:c r="B40" s="31" t="str">
        <x:v>methotrexate</x:v>
      </x:c>
      <x:c r="C40" s="31" t="str">
        <x:v>unclassified</x:v>
      </x:c>
      <x:c r="D40" s="31" t="str">
        <x:v>review</x:v>
      </x:c>
      <x:c r="E40" s="31" t="str">
        <x:v>r0022_smpc</x:v>
      </x:c>
      <x:c r="F40" s="31" t="str">
        <x:v>SMPC</x:v>
      </x:c>
      <x:c r="G40" s="31" t="n">
        <x:v>11</x:v>
      </x:c>
      <x:c r="H40" s="31" t="str">
        <x:v>methotrexate</x:v>
      </x:c>
      <x:c r="I40" s="37" t="str">
        <x:v>1 Ref: Amoxil, MHRA, 07/05/2024 11 amoxicillin. If co-administration is necessary, the prothrombin time or international normalised ratio should be carefully monitored with the addition or withdrawal of amoxicillin. Moreover, adjustments in the dose of oral anticoagulants may be necessary (see sections 4.4 and 4.8). Methotrexate Penicillins may reduce the excretion of methotrexate causing a potential increase in toxicity. 4.6. Fertility, pregnancy and lactation Pregnancy Animal studies do not indicate direct or indirect harmful effects with respect to reproductive toxicity. Limited data on the use of amoxicillin during pregnancy in humans do not indicate an increased risk of congenital malformations. Amoxicillin may be used in pregnancy when the potential benef</x:v>
      </x:c>
      <x:c r="J40" s="37" t="str">
        <x:v>https://drug.fda.moph.go.th/media.php?id=809653143766966272&amp;name=SMPC_Amoxicillin_Dry syrup.pdf</x:v>
      </x:c>
    </x:row>
    <x:row r="41">
      <x:c r="A41" s="31" t="str">
        <x:v>amoxicillin</x:v>
      </x:c>
      <x:c r="B41" s="31" t="str">
        <x:v>methotrexate</x:v>
      </x:c>
      <x:c r="C41" s="31" t="str">
        <x:v>unclassified</x:v>
      </x:c>
      <x:c r="D41" s="31" t="str">
        <x:v>review</x:v>
      </x:c>
      <x:c r="E41" s="31" t="str">
        <x:v>r0023_smpc</x:v>
      </x:c>
      <x:c r="F41" s="31" t="str">
        <x:v>SMPC</x:v>
      </x:c>
      <x:c r="G41" s="31" t="n">
        <x:v>12</x:v>
      </x:c>
      <x:c r="H41" s="31" t="str">
        <x:v>methotrexate</x:v>
      </x:c>
      <x:c r="I41" s="37" t="str">
        <x:v>, in the literature there are cases of increased international normalised ratio in patients maintained on acenocoumarol or warfarin and prescribed a course of amoxicillin. If co - administration is necessary, the prothrombin time or international normalised ratio should be carefully monitored with the addition or withdrawal of amoxicillin. Moreover, adjustments in the dose of oral anticoagulants may be necessary (see sections 4.4 and 4.8). Methotrexate Penicillins may reduce the excretion of methotrexate causing a potential increase in toxicity. 4.6. Fertility, Pregnancy and lactation Pregnancy Animal studies do not indicate direct or indirect harmful effects with respect to reproductive toxicity. Limited data on the use of amoxicillin during pregnancy in humans do not indicate an increased risk of congenital</x:v>
      </x:c>
      <x:c r="J41" s="37" t="str">
        <x:v>https://drug.fda.moph.go.th/media.php?id=809653635419086848&amp;name=SMPC_Amoxicillin_Film-coated tablet.pdf</x:v>
      </x:c>
    </x:row>
    <x:row r="42">
      <x:c r="A42" s="31" t="str">
        <x:v>amoxicillin</x:v>
      </x:c>
      <x:c r="B42" s="31" t="str">
        <x:v>ranitidine</x:v>
      </x:c>
      <x:c r="C42" s="31" t="str">
        <x:v>unclassified</x:v>
      </x:c>
      <x:c r="D42" s="31" t="str">
        <x:v>review</x:v>
      </x:c>
      <x:c r="E42" s="31" t="str">
        <x:v>r0301_smpc</x:v>
      </x:c>
      <x:c r="F42" s="31" t="str">
        <x:v>SMPC</x:v>
      </x:c>
      <x:c r="G42" s="31" t="n">
        <x:v>8</x:v>
      </x:c>
      <x:c r="H42" s="31" t="str">
        <x:v>amoxicillin</x:v>
      </x:c>
      <x:c r="I42" s="37" t="str">
        <x:v>Concomitant administration of 300 mg ranitidine and erlotinib decreased erlotinib exposure [AUC] and maximum concentrations [Cmax] by 33% and 54%, respectively. However, when erlotinib was dosed in staggered manner 2 hours before or 10 hours after ranitidine 150 mg b.i.d., erlotinib exposure [AUC] and maximum concentrations [C max] decreased only by 15% and 17%, respectively. There is no evidence of an interaction between ranitidine and amoxicillin or metronidazole. If high doses (2 g) of sucralfate are co-administered with ranitidine the absorption of the latter may be reduced. This effect is not seen if sucralfate is taken after an interval of 2 hours.</x:v>
      </x:c>
      <x:c r="J42" s="37" t="str">
        <x:v>https://drug.fda.moph.go.th/media.php?id=810446254327865344&amp;name=SMPC_Ranitidine_Tablet.pdf</x:v>
      </x:c>
    </x:row>
    <x:row r="43">
      <x:c r="A43" s="31" t="str">
        <x:v>amoxicillin</x:v>
      </x:c>
      <x:c r="B43" s="31" t="str">
        <x:v>tetracycline</x:v>
      </x:c>
      <x:c r="C43" s="31" t="str">
        <x:v>moderate</x:v>
      </x:c>
      <x:c r="D43" s="31" t="str">
        <x:v>eligible</x:v>
      </x:c>
      <x:c r="E43" s="31" t="str">
        <x:v>r0022_smpc</x:v>
      </x:c>
      <x:c r="F43" s="31" t="str">
        <x:v>SMPC</x:v>
      </x:c>
      <x:c r="G43" s="31" t="n">
        <x:v>10</x:v>
      </x:c>
      <x:c r="H43" s="31" t="str">
        <x:v>tetracycline</x:v>
      </x:c>
      <x:c r="I43" s="37" t="str">
        <x:v>th other medicinal products and other forms of interaction Probenecid Concomitant use of probenecid is not recommended. Probenecid decreases the renal tubular secretion of amoxicillin. Concomitant use of probenecid may result in increased and prolonged blood levels of amoxicillin. Allopurinol Concurrent administration of allopurinol during treatment with amoxicillin can increase the likelihood of allergic skin reactions. Tetracyclines Tetracycline and other bacteriostatic drugs may interfere with the bactericidal effects of amoxicillin. Oral anticoagulants Oral anticoagulants and penicillin antibiotics have been widely used in practice without reports of interaction. However, in the literature there are cases of increased international normalised ratio in patients maintained on acenocoumarol or warfarin and prescribed a course of</x:v>
      </x:c>
      <x:c r="J43" s="37" t="str">
        <x:v>https://drug.fda.moph.go.th/media.php?id=809653143766966272&amp;name=SMPC_Amoxicillin_Dry syrup.pdf</x:v>
      </x:c>
    </x:row>
    <x:row r="44">
      <x:c r="A44" s="31" t="str">
        <x:v>ampicillin</x:v>
      </x:c>
      <x:c r="B44" s="31" t="str">
        <x:v>bromhexine</x:v>
      </x:c>
      <x:c r="C44" s="31" t="str">
        <x:v>unclassified</x:v>
      </x:c>
      <x:c r="D44" s="31" t="str">
        <x:v>review</x:v>
      </x:c>
      <x:c r="E44" s="31" t="str">
        <x:v>r0039_smpc</x:v>
      </x:c>
      <x:c r="F44" s="31" t="str">
        <x:v>SMPC</x:v>
      </x:c>
      <x:c r="G44" s="31" t="n">
        <x:v>3</x:v>
      </x:c>
      <x:c r="H44" s="31" t="str">
        <x:v>ampicillin</x:v>
      </x:c>
      <x:c r="I44" s="37" t="str">
        <x:v>ction No clinically relevant unfavourable interactions with other medicines have been reported. Following the administration of bromhexine, the antibiotic concentrations of amoxycillin, erythromycin and oxytetracycline in the sputum and bronchopulmonary secretions are increased. Also, interaction studies with oral anticoagulants or digoxin were not performed. Bromhexine pharmacokinetics are not relevantly affected by co-administration of ampicillin or oxytetracycline. There was also no relevant interaction between bromhexine and erythromycin according to a historical comparison. The lack of any relevant interaction reports during the long -term marketing of the drug suggests no substantial interaction potential with these drugs. 4.6. Fertility, pregnancy and lactation Pregnancy Category A: Drugs which have been taken by a large number of pregnant women and women of childbearing age</x:v>
      </x:c>
      <x:c r="J44" s="37" t="str">
        <x:v>https://drug.fda.moph.go.th/media.php?id=809661846922600448&amp;name=SMPC_Bromhexine_Tablets.pdf</x:v>
      </x:c>
    </x:row>
    <x:row r="45">
      <x:c r="A45" s="31" t="str">
        <x:v>ampicillin</x:v>
      </x:c>
      <x:c r="B45" s="31" t="str">
        <x:v>clindamycin</x:v>
      </x:c>
      <x:c r="C45" s="31" t="str">
        <x:v>unclassified</x:v>
      </x:c>
      <x:c r="D45" s="31" t="str">
        <x:v>review</x:v>
      </x:c>
      <x:c r="E45" s="31" t="str">
        <x:v>r0076_smpc</x:v>
      </x:c>
      <x:c r="F45" s="31" t="str">
        <x:v>SMPC</x:v>
      </x:c>
      <x:c r="G45" s="31" t="n">
        <x:v>25</x:v>
      </x:c>
      <x:c r="H45" s="31" t="str">
        <x:v>ampicillin</x:v>
      </x:c>
      <x:c r="I45" s="37" t="str">
        <x:v>Reproductive toxicity studies in rats and rabbits administered clindamycin orally (rats only) and subcutaneously showed no evidence of fertility or foetal injury, except for doses that resulted in maternal toxicity. 6. PHARMACEUTICAL PARTICULARS 6.1. List of excipients &lt;Regarding the approval&gt; 6.2. Incompatibilities Clindamycin must not be administered together with ampicillin, phenytoin sodium, barbiturates, aminophylline, calcium gluconate, ceftriaxone sodium, ciprofloxacin, diphenylhydantoin, idarubicin hydrochloride, magnesium sulphate and ranitidine hydrochloride in a mixed injection. The application of this medicinal product must be conducted separately. Solutions of clindamycin salts have a low pH and incompatibility may reasonably be expected with alkaline preparations or with medicinal products unstab</x:v>
      </x:c>
      <x:c r="J45" s="37" t="str">
        <x:v>https://drug.fda.moph.go.th/media.php?id=809679498764230656&amp;name=SMPC_clindamycin phosphate_solution for injection and infusion.pdf</x:v>
      </x:c>
    </x:row>
    <x:row r="46">
      <x:c r="A46" s="31" t="str">
        <x:v>ampicillin</x:v>
      </x:c>
      <x:c r="B46" s="31" t="str">
        <x:v>glucose_monohydrate_and</x:v>
      </x:c>
      <x:c r="C46" s="31" t="str">
        <x:v>unclassified</x:v>
      </x:c>
      <x:c r="D46" s="31" t="str">
        <x:v>review</x:v>
      </x:c>
      <x:c r="E46" s="31" t="str">
        <x:v>r0165_smpc</x:v>
      </x:c>
      <x:c r="F46" s="31" t="str">
        <x:v>SMPC</x:v>
      </x:c>
      <x:c r="G46" s="31" t="n">
        <x:v>10</x:v>
      </x:c>
      <x:c r="H46" s="31" t="str">
        <x:v>ampicillin</x:v>
      </x:c>
      <x:c r="I46" s="37" t="str">
        <x:v>re addition. In the absence of compatibility studies, this medicinal product must not be mixed with other medicinal products. Reference should be made to the Summary of Product Characteristics for the additive medicine. Those additives known to be incompatible should not be used. As a guidance, the following medications are incompatible with the Sodium Chloride 0.9 % &amp; Glucose 5% (non-exhaustive listing): • amiodarone • amphotericin B • ampicillin sodium • amsacrine • erythromycin lactobionate (unless the Sodium Chloride 0.9 % and Glucose 5% is buffered) • sodium nitroprusside Because of the presence of glucose, Sodium chloride 0.9% and Glucose 5% should not be administered through the same infusion equipment as whole blood as haemolysis and clumping can occur. Because of the nature of the plastic material of the Steriflex bag (PVC) this solution should not be used as a vehicle f</x:v>
      </x:c>
      <x:c r="J46" s="37" t="str">
        <x:v>https://drug.fda.moph.go.th/media.php?id=810179446651887616&amp;name=SMPC_Glucose monohydrate+Sodium chloride_Intravenous Fluid.pdf</x:v>
      </x:c>
    </x:row>
    <x:row r="47">
      <x:c r="A47" s="31" t="str">
        <x:v>ascorbic_acid</x:v>
      </x:c>
      <x:c r="B47" s="31" t="str">
        <x:v>ferrous</x:v>
      </x:c>
      <x:c r="C47" s="31" t="str">
        <x:v>unclassified</x:v>
      </x:c>
      <x:c r="D47" s="31" t="str">
        <x:v>review</x:v>
      </x:c>
      <x:c r="E47" s="31" t="str">
        <x:v>r0145_smpc</x:v>
      </x:c>
      <x:c r="F47" s="31" t="str">
        <x:v>SMPC</x:v>
      </x:c>
      <x:c r="G47" s="31" t="n">
        <x:v>5</x:v>
      </x:c>
      <x:c r="H47" s="31" t="str">
        <x:v>ascorbic acid</x:v>
      </x:c>
      <x:c r="I47" s="37" t="str">
        <x:v>ted by at least 2 hours. Cholestyramine: Absorption of iron is impaired by cholestyramine. Dimercaprol: Concomitant administration of oral iron preparations and dimercaprol should be avoided. Dopaminergics: Oral iron preparations may reduce the absorption of dopaminergics such as co-careldopa, entacapone and levodopa. Food products: Absorption of iron is impaired by tea, eggs or milk. Absorption of iron salts is enhanced by ascorbic acid and meat. Methyldopa: Oral iron preparations may antagonise the antihypertensive effect of methyldopa. Mycophenolate mofetil: Oral iron preparations significantly reduce the absorption of mycophenolate mofetil.</x:v>
      </x:c>
      <x:c r="J47" s="37" t="str">
        <x:v>https://drug.fda.moph.go.th/media.php?id=810081060158316544&amp;name=SMPC_Ferrous sulfate_film-coated tablets.pdf</x:v>
      </x:c>
    </x:row>
    <x:row r="48">
      <x:c r="A48" s="31" t="str">
        <x:v>ascorbic_acid</x:v>
      </x:c>
      <x:c r="B48" s="31" t="str">
        <x:v>tetracycline</x:v>
      </x:c>
      <x:c r="C48" s="31" t="str">
        <x:v>unclassified</x:v>
      </x:c>
      <x:c r="D48" s="31" t="str">
        <x:v>review</x:v>
      </x:c>
      <x:c r="E48" s="31" t="str">
        <x:v>r0026_smpc</x:v>
      </x:c>
      <x:c r="F48" s="31" t="str">
        <x:v>SMPC</x:v>
      </x:c>
      <x:c r="G48" s="31" t="n">
        <x:v>2</x:v>
      </x:c>
      <x:c r="H48" s="31" t="str">
        <x:v>tetracycline</x:v>
      </x:c>
      <x:c r="I48" s="37" t="str">
        <x:v>. Large doses of Ascorbic Acid have resulted in haemolysis in patients with glucose-6-phosphate dehydrogenase (G6PD) deficiency. 4.5. Interaction with other medicinal products and other forms of interaction Drugs which induce tissue desaturation of ascorbic acid include aspirin, nicotine from cigarettes, alcohol, several appetite suppressants, iron, phenytoin, some anti-convulsant drugs, the oestrogen component of oral contraceptives and tetracycline. Large doses of ascorbic acid may cause the urine to become acidic causing unexpected renal tubular reabsorption of acidic drugs, thus producing an exaggerated response. Conversely basic drugs may exhibit decreased reabsorption resulting in a decreased therapeutic effect. Large doses may reduce the response to oral anticoagulants. It has been reported that concurrent administration of ascorbic acid and fluphenazine has resulted in decreas</x:v>
      </x:c>
      <x:c r="J48" s="37" t="str">
        <x:v>https://drug.fda.moph.go.th/media.php?id=809654213054439424&amp;name=SMPC_Ascorbic acid_solution for injection.pdf</x:v>
      </x:c>
    </x:row>
    <x:row r="49">
      <x:c r="A49" s="31" t="str">
        <x:v>atenolol</x:v>
      </x:c>
      <x:c r="B49" s="31" t="str">
        <x:v>felodipine</x:v>
      </x:c>
      <x:c r="C49" s="31" t="str">
        <x:v>unclassified</x:v>
      </x:c>
      <x:c r="D49" s="31" t="str">
        <x:v>review</x:v>
      </x:c>
      <x:c r="E49" s="31" t="str">
        <x:v>r0141_smpc</x:v>
      </x:c>
      <x:c r="F49" s="31" t="str">
        <x:v>SMPC</x:v>
      </x:c>
      <x:c r="G49" s="31" t="n">
        <x:v>5</x:v>
      </x:c>
      <x:c r="H49" s="31" t="str">
        <x:v>atenolol</x:v>
      </x:c>
      <x:c r="I49" s="37" t="str">
        <x:v>k plasma levels and bioavailability possibly due to an interaction with flavonoids in the fruit juice. This interaction has been seen with other dihydropyridine calcium antagonists and represents a class effect. Therefore grapefruit juice should not be taken together with felodipine. The anti -hypertensive effect of felodipine may be enhanced by other anti-hypertensive such as alpha-blockers (e.g. prazosin) or beta-blockers (e.g. atenolol) and general anaesthetics. 4.6. Fertility, pregnancy and lactation Felodipine should not be given during pregnancy. In a study on fertility and general reproductive performance in rats, a prolongation of parturition resulting in difficult labour, increased foetal deaths and early postnatal deaths were observed in the medium - and high-dose groups. Reproductive studies in rabbits have shown a dose - related reversible enlargement of</x:v>
      </x:c>
      <x:c r="J49" s="37" t="str">
        <x:v>https://drug.fda.moph.go.th/media.php?id=810078823658954752&amp;name=SMPC_Felodipine_prolonged release tablets.pdf</x:v>
      </x:c>
    </x:row>
    <x:row r="50">
      <x:c r="A50" s="31" t="str">
        <x:v>atenolol</x:v>
      </x:c>
      <x:c r="B50" s="31" t="str">
        <x:v>tenoxicam</x:v>
      </x:c>
      <x:c r="C50" s="31" t="str">
        <x:v>unclassified</x:v>
      </x:c>
      <x:c r="D50" s="31" t="str">
        <x:v>review</x:v>
      </x:c>
      <x:c r="E50" s="31" t="str">
        <x:v>r0333_smpc</x:v>
      </x:c>
      <x:c r="F50" s="31" t="str">
        <x:v>SMPC</x:v>
      </x:c>
      <x:c r="G50" s="31" t="n">
        <x:v>9</x:v>
      </x:c>
      <x:c r="H50" s="31" t="str">
        <x:v>atenolol</x:v>
      </x:c>
      <x:c r="I50" s="37" t="str">
        <x:v>ions. No clinically significant interaction between Tenoxicam and furosemide was noted, but Tenoxicam attenuates the blood pressu re lowering effect of hydrochlorothiazide. Antihypertensives As known from other NSAIDs, Tenoxicam might attenuate the antihypertensive effects of alpha -adrenergic blockers beta -adrenergic blockers and ACE inhibitors. There was no clinically relevant interaction when Tenoxicam was administered together with atenolol.</x:v>
      </x:c>
      <x:c r="J50" s="37" t="str">
        <x:v>https://drug.fda.moph.go.th/media.php?id=810466026549551104&amp;name=SMPC_Tenoxicam_Tablets.pdf</x:v>
      </x:c>
    </x:row>
    <x:row r="51">
      <x:c r="A51" s="31" t="str">
        <x:v>atropine</x:v>
      </x:c>
      <x:c r="B51" s="31" t="str">
        <x:v>cyproheptadine</x:v>
      </x:c>
      <x:c r="C51" s="31" t="str">
        <x:v>unclassified</x:v>
      </x:c>
      <x:c r="D51" s="31" t="str">
        <x:v>review</x:v>
      </x:c>
      <x:c r="E51" s="31" t="str">
        <x:v>r0094_smpc</x:v>
      </x:c>
      <x:c r="F51" s="31" t="str">
        <x:v>SMPC</x:v>
      </x:c>
      <x:c r="G51" s="31" t="n">
        <x:v>4</x:v>
      </x:c>
      <x:c r="H51" s="31" t="str">
        <x:v>atropine</x:v>
      </x:c>
      <x:c r="I51" s="37" t="str">
        <x:v>1 Ref: Cyproheptadine, MHRA, 17/03/2022 4 Because Cyproheptadine Hydrochloride has an atropine -like action, it should be used cautiously in patients with a history of bronchial asthma, increased intra -ocular pressure, hyperthyroidism, cardiovascular disease, or hypertension. Excipient information &lt;REGARDING THE APPROVAL&gt; 4.5. Interaction with other medicinal products and other forms of interaction MAO inhibitors prolong and intensify the anticholinergic effects of antihistamines. Antihistamines may have additive effects with a</x:v>
      </x:c>
      <x:c r="J51" s="37" t="str">
        <x:v>https://drug.fda.moph.go.th/media.php?id=809699643461083136&amp;name=SMPC_Cyproheptadine_Tablets.pdf</x:v>
      </x:c>
    </x:row>
    <x:row r="52">
      <x:c r="A52" s="31" t="str">
        <x:v>atropine</x:v>
      </x:c>
      <x:c r="B52" s="31" t="str">
        <x:v>dobutamine</x:v>
      </x:c>
      <x:c r="C52" s="31" t="str">
        <x:v>unclassified</x:v>
      </x:c>
      <x:c r="D52" s="31" t="str">
        <x:v>review</x:v>
      </x:c>
      <x:c r="E52" s="31" t="str">
        <x:v>r0434_smpc</x:v>
      </x:c>
      <x:c r="F52" s="31" t="str">
        <x:v>SMPC</x:v>
      </x:c>
      <x:c r="G52" s="31" t="n">
        <x:v>7</x:v>
      </x:c>
      <x:c r="H52" s="31" t="str">
        <x:v>atropine</x:v>
      </x:c>
      <x:c r="I52" s="37" t="str">
        <x:v>ventricular extrasystoles. The effects of dobutamine may be potentiated with concomitant use of entacapone. Dobutamine stress echocardiography In the case of anti-anginal therapy, in particular heart rate lowering agents like beta-blockers, the ischaemic reaction to stress is less pronounced or may be nonexistent. Therefore, anti-anginal therapy may need to be withheld for 12 hours prior to dobutamine stress echocardiography. When adding atropine at the highest titration level of dobutamine:</x:v>
      </x:c>
      <x:c r="J52" s="37" t="str">
        <x:v>https://drug.fda.moph.go.th/media.php?id=904966129582219264&amp;name=2. Ref SmPC_Dobutamine.pdf</x:v>
      </x:c>
    </x:row>
    <x:row r="53">
      <x:c r="A53" s="31" t="str">
        <x:v>atropine</x:v>
      </x:c>
      <x:c r="B53" s="31" t="str">
        <x:v>hyoscine_n_butylbromide</x:v>
      </x:c>
      <x:c r="C53" s="31" t="str">
        <x:v>unclassified</x:v>
      </x:c>
      <x:c r="D53" s="31" t="str">
        <x:v>review</x:v>
      </x:c>
      <x:c r="E53" s="31" t="str">
        <x:v>r0182_smpc</x:v>
      </x:c>
      <x:c r="F53" s="31" t="str">
        <x:v>SMPC</x:v>
      </x:c>
      <x:c r="G53" s="31" t="n">
        <x:v>3</x:v>
      </x:c>
      <x:c r="H53" s="31" t="str">
        <x:v>atropine</x:v>
      </x:c>
      <x:c r="I53" s="37" t="str">
        <x:v>lactose malabsorption or sucraseisomaltase insufficiency should not take hyoscine butylbromide coated tablets. 4.5. Interaction with other medicinal products and other forms of interaction The anticholinergic effect of drugs such as tri - and tetracyclic antidepressants, antihistamines, quinidine, amantadine, antipsychotics (e.g. butyrophenones, phenothiazines), disopyramide and other anticholinergics (e.g. tiotropium, ipratropium, atropine-like compounds) may be intensified by hyoscine butylbromide. Concomitant treatment with dopamine antagonists such as metoclopramide may result in diminution of the effects of both drugs on the gastrointestinal tract. The tachycardic effects of beta -adrenergic agents may be enhanced by hyoscine butylbromide. 4.6. Fertility, pregnancy and lactation</x:v>
      </x:c>
      <x:c r="J53" s="37" t="str">
        <x:v>https://drug.fda.moph.go.th/media.php?id=810382625893130240&amp;name=SMPC_Hyoscine butylbromide_coated tablets.pdf</x:v>
      </x:c>
    </x:row>
    <x:row r="54">
      <x:c r="A54" s="31" t="str">
        <x:v>atropine</x:v>
      </x:c>
      <x:c r="B54" s="31" t="str">
        <x:v>hyoscine_n_butylbromide</x:v>
      </x:c>
      <x:c r="C54" s="31" t="str">
        <x:v>unclassified</x:v>
      </x:c>
      <x:c r="D54" s="31" t="str">
        <x:v>review</x:v>
      </x:c>
      <x:c r="E54" s="31" t="str">
        <x:v>r0183_smpc</x:v>
      </x:c>
      <x:c r="F54" s="31" t="str">
        <x:v>SMPC</x:v>
      </x:c>
      <x:c r="G54" s="31" t="n">
        <x:v>3</x:v>
      </x:c>
      <x:c r="H54" s="31" t="str">
        <x:v>atropine</x:v>
      </x:c>
      <x:c r="I54" s="37" t="str">
        <x:v>drugs causing such reactions, patients receiving hyoscine butylbromide by injection should be kept under observation. 4.5. Interaction with other medicinal products and other forms of interaction The anticholinergic effect of drugs such as tri - and tetracyclic antidepressants, antihistamines, quinidine, amantadine, antipsychotics (e.g. phenothiazines, butyrophenones), disopyramide and other anticholinergics (e.g. tiotropium, ipratropium, atropine -like compounds) may be intensified by hyoscine butylbromide. The tachycardic effects of beta -adrenergic agents may be enhanced by hyoscine butylbromide.</x:v>
      </x:c>
      <x:c r="J54" s="37" t="str">
        <x:v>https://drug.fda.moph.go.th/media.php?id=810383049660440576&amp;name=SMPC_Hyoscine butylbromide_Solution for Injection.pdf</x:v>
      </x:c>
    </x:row>
    <x:row r="55">
      <x:c r="A55" s="31" t="str">
        <x:v>atropine</x:v>
      </x:c>
      <x:c r="B55" s="31" t="str">
        <x:v>ketoconazole</x:v>
      </x:c>
      <x:c r="C55" s="31" t="str">
        <x:v>unclassified</x:v>
      </x:c>
      <x:c r="D55" s="31" t="str">
        <x:v>review</x:v>
      </x:c>
      <x:c r="E55" s="31" t="str">
        <x:v>r0029_smpc</x:v>
      </x:c>
      <x:c r="F55" s="31" t="str">
        <x:v>SMPC</x:v>
      </x:c>
      <x:c r="G55" s="31" t="n">
        <x:v>3</x:v>
      </x:c>
      <x:c r="H55" s="31" t="str">
        <x:v>ketoconazole</x:v>
      </x:c>
      <x:c r="I55" s="37" t="str">
        <x:v>utions are necessary. Anticholinergics: Many drugs have antimuscarinic effects; concomitant use of two or more such drugs can increase side -effects such as dry mouth, urine retention, and constipation; concomitant use can lead to confusion in the elderly. Antidepressants: Increased antimuscarinic side -effects may occur with tricyclic antidepressants and mono-amine oxidase inhibitors (MAOIs). Antifungals: The absorption of ketoconazole can be reduced by atropine. Antihistamines: Increased antimuscarinic side -effects may occur with some antihistamines. Antipsychotics: Increased antimuscarinic side -effects may occur with phenothiazines and clozapine. Antivirals and Dopaminergics: Increased antimuscarinic side -effects may occur with amantadine. The absorption of levodopa may possibly be reduced when administered with antimuscarinic agents. Metoclopramid</x:v>
      </x:c>
      <x:c r="J55" s="37" t="str">
        <x:v>https://drug.fda.moph.go.th/media.php?id=809657437689880576&amp;name=SMPC_Atropine_Tablets.pdf</x:v>
      </x:c>
    </x:row>
    <x:row r="56">
      <x:c r="A56" s="31" t="str">
        <x:v>atropine</x:v>
      </x:c>
      <x:c r="B56" s="31" t="str">
        <x:v>methocarbamol</x:v>
      </x:c>
      <x:c r="C56" s="31" t="str">
        <x:v>unclassified</x:v>
      </x:c>
      <x:c r="D56" s="31" t="str">
        <x:v>review</x:v>
      </x:c>
      <x:c r="E56" s="31" t="str">
        <x:v>r0230_smpc</x:v>
      </x:c>
      <x:c r="F56" s="31" t="str">
        <x:v>SMPC</x:v>
      </x:c>
      <x:c r="G56" s="31" t="n">
        <x:v>4</x:v>
      </x:c>
      <x:c r="H56" s="31" t="str">
        <x:v>atropine</x:v>
      </x:c>
      <x:c r="I56" s="37" t="str">
        <x:v>is to say essentially ‘sodium-free’. 4.5. Interaction with other medicinal products and other forms of interaction The concomitant administration of &lt;GENERIC NAME&gt; and centrally acting medicinal products such as barbiturates, opioids and appetite suppressants may potentiate the effect of these products. Using &lt;GENERIC NAME&gt; together with alcohol may potentiate the effect of the medicinal product. The effects of anticholinergics, such as atropine and other psychotropic medicinal products may be increased by &lt;GENERIC NAME&gt;. Consumption of alcohol during &lt;GENERIC NAME&gt; treatment may lead to an increased effect. &lt;GENERIC NAME&gt; may inhibit the effect of pyridostigmine bromide. Therefore, &lt;GENERIC NAME&gt; must not be taken by patients with myasthenia gravis especially those who are being treated with pyridostigmine (see section 4.3). 4.6. Fertility, pregnancy and lactation Pregnancy T</x:v>
      </x:c>
      <x:c r="J56" s="37" t="str">
        <x:v>https://drug.fda.moph.go.th/media.php?id=810412334496489472&amp;name=SMPC_Methocarbamol_Film-coated Tablet.pdf</x:v>
      </x:c>
    </x:row>
    <x:row r="57">
      <x:c r="A57" s="31" t="str">
        <x:v>benzoyl_peroxide</x:v>
      </x:c>
      <x:c r="B57" s="31" t="str">
        <x:v>tretinoin</x:v>
      </x:c>
      <x:c r="C57" s="31" t="str">
        <x:v>unclassified</x:v>
      </x:c>
      <x:c r="D57" s="31" t="str">
        <x:v>review</x:v>
      </x:c>
      <x:c r="E57" s="31" t="str">
        <x:v>r0031_smpc</x:v>
      </x:c>
      <x:c r="F57" s="31" t="str">
        <x:v>SMPC</x:v>
      </x:c>
      <x:c r="G57" s="31" t="n">
        <x:v>3</x:v>
      </x:c>
      <x:c r="H57" s="31" t="str">
        <x:v>tretinoin</x:v>
      </x:c>
      <x:c r="I57" s="37" t="str">
        <x:v>prolonged exposure to sunlight should be avoided or minimised. When exposure to strong sunlight cannot be avoided, patients should be advised to use a sunscreen product and wear protective clothing. The product may bleach hair and coloured or dyed fabrics. Avoid contact with hair, fabrics, furniture or carpeting. 4.5. Interaction with other medicinal products and other forms of interaction Concomitant application of Benzoyl peroxide with tretinoin, isotretinoin, and tazarotene should be avoided since it may reduce their efficacy and increase irritation. If combination treatment is required, the products should be applied at different times of the day (e.g., one in the morning and the other in the evening). Using Benzoyl peroxide at the same time as topical sulphonamide - containing products may cause skin and facial hair to temporarily change colour (yellow/orange). 4.6. Fertility,</x:v>
      </x:c>
      <x:c r="J57" s="37" t="str">
        <x:v>https://drug.fda.moph.go.th/media.php?id=809657948493193216&amp;name=SMPC_Benzoyl peroxide_cream.pdf</x:v>
      </x:c>
    </x:row>
    <x:row r="58">
      <x:c r="A58" s="31" t="str">
        <x:v>benzylpenicillin_penicillin_g</x:v>
      </x:c>
      <x:c r="B58" s="31" t="str">
        <x:v>digoxin</x:v>
      </x:c>
      <x:c r="C58" s="31" t="str">
        <x:v>unclassified</x:v>
      </x:c>
      <x:c r="D58" s="31" t="str">
        <x:v>review</x:v>
      </x:c>
      <x:c r="E58" s="31" t="str">
        <x:v>r0033_smpc</x:v>
      </x:c>
      <x:c r="F58" s="31" t="str">
        <x:v>SMPC</x:v>
      </x:c>
      <x:c r="G58" s="31" t="n">
        <x:v>11</x:v>
      </x:c>
      <x:c r="H58" s="31" t="str">
        <x:v>digoxin</x:v>
      </x:c>
      <x:c r="I58" s="37" t="str">
        <x:v>tion of benzyl penicillin into brain tissue even further. Anti-inflammatories, antirheumatics and antipyretics: When co - administering Benzylpenicillin with anti -inflammatories, antirheumatics or antipyretics (especially indomethacin, phenylbutazone, salicylates at high doses), it should be pointed out that excretion is competitively inhibited, resulting in an increase in serum concentration and prolongation of the elimination half-life. Digoxin: In patients on digoxin treatment, Benzylpenicillin should only be used with caution, as there is a risk of bradycardia as a result of interactions. Methotrexate: When taken at the same time as Benzylpenicillin, the excretion of methotrexate is reduced. This can lead to increased methotrexate toxicity. Concomitant use of methotrexate and penicillin</x:v>
      </x:c>
      <x:c r="J58" s="37" t="str">
        <x:v>https://drug.fda.moph.go.th/media.php?id=809658888994562048&amp;name=SMPC_Benzylpenicillin Sodium_Powders for solutions for injections or infusions.pdf</x:v>
      </x:c>
    </x:row>
    <x:row r="59">
      <x:c r="A59" s="31" t="str">
        <x:v>benzylpenicillin_penicillin_g</x:v>
      </x:c>
      <x:c r="B59" s="31" t="str">
        <x:v>indomethacin</x:v>
      </x:c>
      <x:c r="C59" s="31" t="str">
        <x:v>unclassified</x:v>
      </x:c>
      <x:c r="D59" s="31" t="str">
        <x:v>review</x:v>
      </x:c>
      <x:c r="E59" s="31" t="str">
        <x:v>r0033_smpc</x:v>
      </x:c>
      <x:c r="F59" s="31" t="str">
        <x:v>SMPC</x:v>
      </x:c>
      <x:c r="G59" s="31" t="n">
        <x:v>11</x:v>
      </x:c>
      <x:c r="H59" s="31" t="str">
        <x:v>indomethacin</x:v>
      </x:c>
      <x:c r="I59" s="37" t="str">
        <x:v>concentration and prolongation of the elimination half-life. Furthermore probenecid inhibits the penicillin transport from the cerebrospinal fluid, so that the concomitant administration of probenecid reduces the penetration of benzyl penicillin into brain tissue even further. Anti-inflammatories, antirheumatics and antipyretics: When co - administering Benzylpenicillin with anti -inflammatories, antirheumatics or antipyretics (especially indomethacin, phenylbutazone, salicylates at high doses), it should be pointed out that excretion is competitively inhibited, resulting in an increase in serum concentration and prolongation of the elimination half-life. Digoxin: In patients on digoxin treatment, Benzylpenicillin should only be used with caution, as there is a risk of bradycardia as a result of interactions. Methotrexate: When taken at the same time as Benzylpenicillin, the excretion</x:v>
      </x:c>
      <x:c r="J59" s="37" t="str">
        <x:v>https://drug.fda.moph.go.th/media.php?id=809658888994562048&amp;name=SMPC_Benzylpenicillin Sodium_Powders for solutions for injections or infusions.pdf</x:v>
      </x:c>
    </x:row>
    <x:row r="60">
      <x:c r="A60" s="31" t="str">
        <x:v>benzylpenicillin_penicillin_g</x:v>
      </x:c>
      <x:c r="B60" s="31" t="str">
        <x:v>methotrexate</x:v>
      </x:c>
      <x:c r="C60" s="31" t="str">
        <x:v>unclassified</x:v>
      </x:c>
      <x:c r="D60" s="31" t="str">
        <x:v>review</x:v>
      </x:c>
      <x:c r="E60" s="31" t="str">
        <x:v>r0033_smpc</x:v>
      </x:c>
      <x:c r="F60" s="31" t="str">
        <x:v>SMPC</x:v>
      </x:c>
      <x:c r="G60" s="31" t="n">
        <x:v>11</x:v>
      </x:c>
      <x:c r="H60" s="31" t="str">
        <x:v>methotrexate</x:v>
      </x:c>
      <x:c r="I60" s="37" t="str">
        <x:v>nti -inflammatories, antirheumatics or antipyretics (especially indomethacin, phenylbutazone, salicylates at high doses), it should be pointed out that excretion is competitively inhibited, resulting in an increase in serum concentration and prolongation of the elimination half-life. Digoxin: In patients on digoxin treatment, Benzylpenicillin should only be used with caution, as there is a risk of bradycardia as a result of interactions. Methotrexate: When taken at the same time as Benzylpenicillin, the excretion of methotrexate is reduced. This can lead to increased methotrexate toxicity. Concomitant use of methotrexate and penicillin</x:v>
      </x:c>
      <x:c r="J60" s="37" t="str">
        <x:v>https://drug.fda.moph.go.th/media.php?id=809658888994562048&amp;name=SMPC_Benzylpenicillin Sodium_Powders for solutions for injections or infusions.pdf</x:v>
      </x:c>
    </x:row>
    <x:row r="61">
      <x:c r="A61" s="31" t="str">
        <x:v>benzylpenicillin_penicillin_g</x:v>
      </x:c>
      <x:c r="B61" s="31" t="str">
        <x:v>methotrexate</x:v>
      </x:c>
      <x:c r="C61" s="31" t="str">
        <x:v>unclassified</x:v>
      </x:c>
      <x:c r="D61" s="31" t="str">
        <x:v>review</x:v>
      </x:c>
      <x:c r="E61" s="31" t="str">
        <x:v>r0033_smpc</x:v>
      </x:c>
      <x:c r="F61" s="31" t="str">
        <x:v>SMPC</x:v>
      </x:c>
      <x:c r="G61" s="31" t="n">
        <x:v>12</x:v>
      </x:c>
      <x:c r="H61" s="31" t="str">
        <x:v>methotrexate</x:v>
      </x:c>
      <x:c r="I61" s="37" t="str">
        <x:v>1 Ref: Benzylpenicillin, MHRA, 04/06/24 12 should be avoided if possible. If concomitant use is unavoidable, a reduction in the methotrexate dose should be considered and methotrexate serum levels should be monitored. The patient should be monitored for possible additional adverse reactions of meth otrexate, including leukopenia, thrombocytopenia and skin suppuration. Oral anticoagulants: Oral anticoagulants and penicillin antibiotics have been used extensively in practice without interactions. However, in the literature, there are reports of an increased number of patients who</x:v>
      </x:c>
      <x:c r="J61" s="37" t="str">
        <x:v>https://drug.fda.moph.go.th/media.php?id=809658888994562048&amp;name=SMPC_Benzylpenicillin Sodium_Powders for solutions for injections or infusions.pdf</x:v>
      </x:c>
    </x:row>
    <x:row r="62">
      <x:c r="A62" s="31" t="str">
        <x:v>betahistine</x:v>
      </x:c>
      <x:c r="B62" s="31" t="str">
        <x:v>dimenhydrinate</x:v>
      </x:c>
      <x:c r="C62" s="31" t="str">
        <x:v>unclassified</x:v>
      </x:c>
      <x:c r="D62" s="31" t="str">
        <x:v>review</x:v>
      </x:c>
      <x:c r="E62" s="31" t="str">
        <x:v>r0111_smpc</x:v>
      </x:c>
      <x:c r="F62" s="31" t="str">
        <x:v>SMPC</x:v>
      </x:c>
      <x:c r="G62" s="31" t="n">
        <x:v>3</x:v>
      </x:c>
      <x:c r="H62" s="31" t="str">
        <x:v>betahistine</x:v>
      </x:c>
      <x:c r="I62" s="37" t="str">
        <x:v>caused by ototoxic drugs such as the amino - glycoside antibiotics. Excipient information &lt;REGARDING THE APPROVAL&gt; 4.5. Interaction with other medicinal products and other forms of interaction Dimenhydrinate will interact with anticholinergic, anti -depressant (tricyclic and MAOIs) and anti -parkinsonian drugs such as Trihexyphenidyl, increasing the anticholinergic side effects, dry mouth, urine retention, confusion, etc. The effects of Betahistine may be antagonized. Sedating antihistamines may enhance the sedative effects of CNS depressants including alcohol, other sedating antihistamines, barbiturates, hypnotics, opiods, anxiolytic sedatives and antipsychotics. It is important that the dose of Neperidine, Morphine or other narcotic analgesics and of barbiturates be reduced by 1⁄4 or 1⁄2 when used concomitantly. 4.6. Fertility, pregnancy and lactation Dimenhydrinate should not be</x:v>
      </x:c>
      <x:c r="J62" s="37" t="str">
        <x:v>https://drug.fda.moph.go.th/media.php?id=810072093092880384&amp;name=SMPC_Dimenhydrinate_Tablets.pdf</x:v>
      </x:c>
    </x:row>
    <x:row r="63">
      <x:c r="A63" s="31" t="str">
        <x:v>bisoprolol</x:v>
      </x:c>
      <x:c r="B63" s="31" t="str">
        <x:v>clonidine</x:v>
      </x:c>
      <x:c r="C63" s="31" t="str">
        <x:v>unclassified</x:v>
      </x:c>
      <x:c r="D63" s="31" t="str">
        <x:v>review</x:v>
      </x:c>
      <x:c r="E63" s="31" t="str">
        <x:v>r0438_smpc</x:v>
      </x:c>
      <x:c r="F63" s="31" t="str">
        <x:v>SMPC</x:v>
      </x:c>
      <x:c r="G63" s="31" t="n">
        <x:v>8</x:v>
      </x:c>
      <x:c r="H63" s="31" t="str">
        <x:v>clonidine</x:v>
      </x:c>
      <x:c r="I63" s="37" t="str">
        <x:v>duction time may be potentiated and negative inotropic effect increased. Applies to all indications: Calcium antagonists of the verapamil type and to a lesser extent of the diltiazem type: negative effect on contractility and atrio-ventricular conduction. Intravenous administration of verapamil in patients on beta- blocker treatment may lead to profound hypotension and atrio-ventricular block. Centrally-acting antihypertensive drugs (e.g. clonidine, methyldopa, moxonidine, rilmenidine): concomitant use of centrally-acting antihypertensive drugs may further decrease the central sympathetic tonus and may thus lead to reduction of heart rate and cardiac output and to vasodilatation. Abrupt withdrawal, particularly if prior to beta-blocker discontinuation, may increase the risk of “rebound hypertension”. Combinations to be used with caution Applies only to hypertension or angina pectori</x:v>
      </x:c>
      <x:c r="J63" s="37" t="str">
        <x:v>https://drug.fda.moph.go.th/media.php?id=904966131876503552&amp;name=6. Ref SmPC_Bisoprolol.pdf</x:v>
      </x:c>
    </x:row>
    <x:row r="64">
      <x:c r="A64" s="31" t="str">
        <x:v>bisoprolol</x:v>
      </x:c>
      <x:c r="B64" s="31" t="str">
        <x:v>diltiazem</x:v>
      </x:c>
      <x:c r="C64" s="31" t="str">
        <x:v>unclassified</x:v>
      </x:c>
      <x:c r="D64" s="31" t="str">
        <x:v>review</x:v>
      </x:c>
      <x:c r="E64" s="31" t="str">
        <x:v>r0438_smpc</x:v>
      </x:c>
      <x:c r="F64" s="31" t="str">
        <x:v>SMPC</x:v>
      </x:c>
      <x:c r="G64" s="31" t="n">
        <x:v>7</x:v>
      </x:c>
      <x:c r="H64" s="31" t="str">
        <x:v>diltiazem</x:v>
      </x:c>
      <x:c r="I64" s="37" t="str">
        <x:v>ust be aware of beta-blockade because of the potential for interactions with other drugs, resulting in bradyarrhythmias, attenuation of reflex tachycardia, and decreased reflex ability to compensate for blood loss. If it is thought necessary to withdraw beta-blocker therapy before surgery, this should be done gradually and completed about 48 hours before anaesthesia. - Combination of bisoprolol with calcium antagonists of the verapamil or diltiazem type, with Class I antiarrhythmic drugs and with centrally acting antihypertensive drugs is generally not recommended, for details please refer to section 4.5. - Although cardioselective (beta1) beta-blockers may have less effect on lung function than non-selective beta- blockers, as with all beta-blockers, these should be avoided in patients with obstructive airways diseases, unless there are compelling clinical reasons for their use. Whe</x:v>
      </x:c>
      <x:c r="J64" s="37" t="str">
        <x:v>https://drug.fda.moph.go.th/media.php?id=904966131876503552&amp;name=6. Ref SmPC_Bisoprolol.pdf</x:v>
      </x:c>
    </x:row>
    <x:row r="65">
      <x:c r="A65" s="31" t="str">
        <x:v>bisoprolol</x:v>
      </x:c>
      <x:c r="B65" s="31" t="str">
        <x:v>diltiazem</x:v>
      </x:c>
      <x:c r="C65" s="31" t="str">
        <x:v>moderate</x:v>
      </x:c>
      <x:c r="D65" s="31" t="str">
        <x:v>eligible</x:v>
      </x:c>
      <x:c r="E65" s="31" t="str">
        <x:v>r0438_smpc</x:v>
      </x:c>
      <x:c r="F65" s="31" t="str">
        <x:v>SMPC</x:v>
      </x:c>
      <x:c r="G65" s="31" t="n">
        <x:v>8</x:v>
      </x:c>
      <x:c r="H65" s="31" t="str">
        <x:v>diltiazem</x:v>
      </x:c>
      <x:c r="I65" s="37" t="str">
        <x:v>with other medicinal products and other forms of interactions Combinations not recommended Applies only to chronic heart failure: Class-I antiarrhythmic drugs (e.g. quinidine, disopyramide, lidocaine, phenytoin, flecainide, propafenone): effect on atrio-ventricular conduction time may be potentiated and negative inotropic effect increased. Applies to all indications: Calcium antagonists of the verapamil type and to a lesser extent of the diltiazem type: negative effect on contractility and atrio-ventricular conduction. Intravenous administration of verapamil in patients on beta- blocker treatment may lead to profound hypotension and atrio-ventricular block. Centrally-acting antihypertensive drugs (e.g. clonidine, methyldopa, moxonidine, rilmenidine): concomitant use of centrally-acting antihypertensive drugs may further decrease the central sympathetic tonus and may thus lead to red</x:v>
      </x:c>
      <x:c r="J65" s="37" t="str">
        <x:v>https://drug.fda.moph.go.th/media.php?id=904966131876503552&amp;name=6. Ref SmPC_Bisoprolol.pdf</x:v>
      </x:c>
    </x:row>
    <x:row r="66">
      <x:c r="A66" s="31" t="str">
        <x:v>bisoprolol</x:v>
      </x:c>
      <x:c r="B66" s="31" t="str">
        <x:v>felodipine</x:v>
      </x:c>
      <x:c r="C66" s="31" t="str">
        <x:v>unclassified</x:v>
      </x:c>
      <x:c r="D66" s="31" t="str">
        <x:v>review</x:v>
      </x:c>
      <x:c r="E66" s="31" t="str">
        <x:v>r0438_smpc</x:v>
      </x:c>
      <x:c r="F66" s="31" t="str">
        <x:v>SMPC</x:v>
      </x:c>
      <x:c r="G66" s="31" t="n">
        <x:v>9</x:v>
      </x:c>
      <x:c r="H66" s="31" t="str">
        <x:v>felodipine</x:v>
      </x:c>
      <x:c r="I66" s="37" t="str">
        <x:v>Applies to all indications • Calcium antagonists of the dihydropyridine type (e.g. nifedipine, amlodipine, felodipine): Concomitant use may increase the risk of hypotension, and an increase in the risk of a further deterioration of the ventricular pump function in patients with heart failure cannot be excluded. • Class-III antiarrhythmic drugs (e.g. amiodarone): Effect on atrio- ventricular conduction time may be potentiated. • Topical beta-blockers (e.g. eye drops for glaucoma treatment) may add to the systemic effects of bisoprolol. • Parasympathomimet</x:v>
      </x:c>
      <x:c r="J66" s="37" t="str">
        <x:v>https://drug.fda.moph.go.th/media.php?id=904966131876503552&amp;name=6. Ref SmPC_Bisoprolol.pdf</x:v>
      </x:c>
    </x:row>
    <x:row r="67">
      <x:c r="A67" s="31" t="str">
        <x:v>bisoprolol</x:v>
      </x:c>
      <x:c r="B67" s="31" t="str">
        <x:v>insulin</x:v>
      </x:c>
      <x:c r="C67" s="31" t="str">
        <x:v>unclassified</x:v>
      </x:c>
      <x:c r="D67" s="31" t="str">
        <x:v>review</x:v>
      </x:c>
      <x:c r="E67" s="31" t="str">
        <x:v>r0438_smpc</x:v>
      </x:c>
      <x:c r="F67" s="31" t="str">
        <x:v>SMPC</x:v>
      </x:c>
      <x:c r="G67" s="31" t="n">
        <x:v>9</x:v>
      </x:c>
      <x:c r="H67" s="31" t="str">
        <x:v>insulin</x:v>
      </x:c>
      <x:c r="I67" s="37" t="str">
        <x:v>ration of the ventricular pump function in patients with heart failure cannot be excluded. • Class-III antiarrhythmic drugs (e.g. amiodarone): Effect on atrio- ventricular conduction time may be potentiated. • Topical beta-blockers (e.g. eye drops for glaucoma treatment) may add to the systemic effects of bisoprolol. • Parasympathomimetic drugs: Concomitant use may increase atrio- ventricular conduction time and the risk of bradycardia. • Insulin and oral antidiabetic drugs: Increase of blood sugar lowering effect. Blockade of beta-adrenoreceptors may mask symptoms of hypoglycaemia. • Anaesthetic agents: Attenuation of the reflex tachycardia and increase of the risk of hypotension (for further information on general anaesthesia see also section 4.4). • Digitalis glycosides: Reduction of heart rate, increase of atrio- ventricular conduction time. • Non-steroidal anti-inflammatory d</x:v>
      </x:c>
      <x:c r="J67" s="37" t="str">
        <x:v>https://drug.fda.moph.go.th/media.php?id=904966131876503552&amp;name=6. Ref SmPC_Bisoprolol.pdf</x:v>
      </x:c>
    </x:row>
    <x:row r="68">
      <x:c r="A68" s="31" t="str">
        <x:v>bisoprolol</x:v>
      </x:c>
      <x:c r="B68" s="31" t="str">
        <x:v>lidocaine</x:v>
      </x:c>
      <x:c r="C68" s="31" t="str">
        <x:v>moderate</x:v>
      </x:c>
      <x:c r="D68" s="31" t="str">
        <x:v>eligible</x:v>
      </x:c>
      <x:c r="E68" s="31" t="str">
        <x:v>r0438_smpc</x:v>
      </x:c>
      <x:c r="F68" s="31" t="str">
        <x:v>SMPC</x:v>
      </x:c>
      <x:c r="G68" s="31" t="n">
        <x:v>8</x:v>
      </x:c>
      <x:c r="H68" s="31" t="str">
        <x:v>lidocaine</x:v>
      </x:c>
      <x:c r="I68" s="37" t="str">
        <x:v>seases, which may cause symptoms, concomitant bronchodilating therapy is recommended. Occasionally an increase of the airway resistance may occur in patients with asthma, therefore the dose of beta2- stimulants may have to be increased. 4.5 Interactions with other medicinal products and other forms of interactions Combinations not recommended Applies only to chronic heart failure: Class-I antiarrhythmic drugs (e.g. quinidine, disopyramide, lidocaine, phenytoin, flecainide, propafenone): effect on atrio-ventricular conduction time may be potentiated and negative inotropic effect increased. Applies to all indications: Calcium antagonists of the verapamil type and to a lesser extent of the diltiazem type: negative effect on contractility and atrio-ventricular conduction. Intravenous administration of verapamil in patients on beta- blocker treatment may lead to profound hypotension and at</x:v>
      </x:c>
      <x:c r="J68" s="37" t="str">
        <x:v>https://drug.fda.moph.go.th/media.php?id=904966131876503552&amp;name=6. Ref SmPC_Bisoprolol.pdf</x:v>
      </x:c>
    </x:row>
    <x:row r="69">
      <x:c r="A69" s="31" t="str">
        <x:v>bisoprolol</x:v>
      </x:c>
      <x:c r="B69" s="31" t="str">
        <x:v>methyldopa</x:v>
      </x:c>
      <x:c r="C69" s="31" t="str">
        <x:v>unclassified</x:v>
      </x:c>
      <x:c r="D69" s="31" t="str">
        <x:v>review</x:v>
      </x:c>
      <x:c r="E69" s="31" t="str">
        <x:v>r0438_smpc</x:v>
      </x:c>
      <x:c r="F69" s="31" t="str">
        <x:v>SMPC</x:v>
      </x:c>
      <x:c r="G69" s="31" t="n">
        <x:v>8</x:v>
      </x:c>
      <x:c r="H69" s="31" t="str">
        <x:v>methyldopa</x:v>
      </x:c>
      <x:c r="I69" s="37" t="str">
        <x:v>me may be potentiated and negative inotropic effect increased. Applies to all indications: Calcium antagonists of the verapamil type and to a lesser extent of the diltiazem type: negative effect on contractility and atrio-ventricular conduction. Intravenous administration of verapamil in patients on beta- blocker treatment may lead to profound hypotension and atrio-ventricular block. Centrally-acting antihypertensive drugs (e.g. clonidine, methyldopa, moxonidine, rilmenidine): concomitant use of centrally-acting antihypertensive drugs may further decrease the central sympathetic tonus and may thus lead to reduction of heart rate and cardiac output and to vasodilatation. Abrupt withdrawal, particularly if prior to beta-blocker discontinuation, may increase the risk of “rebound hypertension”. Combinations to be used with caution Applies only to hypertension or angina pectoris: • Class</x:v>
      </x:c>
      <x:c r="J69" s="37" t="str">
        <x:v>https://drug.fda.moph.go.th/media.php?id=904966131876503552&amp;name=6. Ref SmPC_Bisoprolol.pdf</x:v>
      </x:c>
    </x:row>
    <x:row r="70">
      <x:c r="A70" s="31" t="str">
        <x:v>bisoprolol</x:v>
      </x:c>
      <x:c r="B70" s="31" t="str">
        <x:v>rifampicin</x:v>
      </x:c>
      <x:c r="C70" s="31" t="str">
        <x:v>unclassified</x:v>
      </x:c>
      <x:c r="D70" s="31" t="str">
        <x:v>review</x:v>
      </x:c>
      <x:c r="E70" s="31" t="str">
        <x:v>r0438_smpc</x:v>
      </x:c>
      <x:c r="F70" s="31" t="str">
        <x:v>SMPC</x:v>
      </x:c>
      <x:c r="G70" s="31" t="n">
        <x:v>10</x:v>
      </x:c>
      <x:c r="H70" s="31" t="str">
        <x:v>rifampicin</x:v>
      </x:c>
      <x:c r="I70" s="37" t="str">
        <x:v>ons. • Concomitant use with antihypertensive agents as well as with other drugs with blood pressure lowering potential (e.g. tricyclic antidepressants, barbiturates, phenothiazines) may increase the risk of hypotension. Combinations to be considered • Mefloquine: increased risk of bradycardia • Monoamine oxidase inhibitors (except MAO-B inhibitors): Enhanced hypotensive effect of the beta-blockers but also risk for hypertensive crisis. Rifampicin: Slight reduction of the half-life of bisoprolol possible due to the induction of hepatic drug metabolising enzymes. Normally no dosage adjustment is necessary. Ergotamine derivatives: Exacerbation of peripheral circulatory disturbances.</x:v>
      </x:c>
      <x:c r="J70" s="37" t="str">
        <x:v>https://drug.fda.moph.go.th/media.php?id=904966131876503552&amp;name=6. Ref SmPC_Bisoprolol.pdf</x:v>
      </x:c>
    </x:row>
    <x:row r="71">
      <x:c r="A71" s="31" t="str">
        <x:v>bisoprolol</x:v>
      </x:c>
      <x:c r="B71" s="31" t="str">
        <x:v>verapamil</x:v>
      </x:c>
      <x:c r="C71" s="31" t="str">
        <x:v>unclassified</x:v>
      </x:c>
      <x:c r="D71" s="31" t="str">
        <x:v>review</x:v>
      </x:c>
      <x:c r="E71" s="31" t="str">
        <x:v>r0438_smpc</x:v>
      </x:c>
      <x:c r="F71" s="31" t="str">
        <x:v>SMPC</x:v>
      </x:c>
      <x:c r="G71" s="31" t="n">
        <x:v>7</x:v>
      </x:c>
      <x:c r="H71" s="31" t="str">
        <x:v>verapamil</x:v>
      </x:c>
      <x:c r="I71" s="37" t="str">
        <x:v>anaesthetist must be aware of beta-blockade because of the potential for interactions with other drugs, resulting in bradyarrhythmias, attenuation of reflex tachycardia, and decreased reflex ability to compensate for blood loss. If it is thought necessary to withdraw beta-blocker therapy before surgery, this should be done gradually and completed about 48 hours before anaesthesia. - Combination of bisoprolol with calcium antagonists of the verapamil or diltiazem type, with Class I antiarrhythmic drugs and with centrally acting antihypertensive drugs is generally not recommended, for details please refer to section 4.5. - Although cardioselective (beta1) beta-blockers may have less effect on lung function than non-selective beta- blockers, as with all beta-blockers, these should be avoided in patients with obstructive airways diseases, unless there are compelling clinical reasons for</x:v>
      </x:c>
      <x:c r="J71" s="37" t="str">
        <x:v>https://drug.fda.moph.go.th/media.php?id=904966131876503552&amp;name=6. Ref SmPC_Bisoprolol.pdf</x:v>
      </x:c>
    </x:row>
    <x:row r="72">
      <x:c r="A72" s="31" t="str">
        <x:v>bisoprolol</x:v>
      </x:c>
      <x:c r="B72" s="31" t="str">
        <x:v>verapamil</x:v>
      </x:c>
      <x:c r="C72" s="31" t="str">
        <x:v>moderate</x:v>
      </x:c>
      <x:c r="D72" s="31" t="str">
        <x:v>eligible</x:v>
      </x:c>
      <x:c r="E72" s="31" t="str">
        <x:v>r0438_smpc</x:v>
      </x:c>
      <x:c r="F72" s="31" t="str">
        <x:v>SMPC</x:v>
      </x:c>
      <x:c r="G72" s="31" t="n">
        <x:v>8</x:v>
      </x:c>
      <x:c r="H72" s="31" t="str">
        <x:v>verapamil</x:v>
      </x:c>
      <x:c r="I72" s="37" t="str">
        <x:v>s may have to be increased. 4.5 Interactions with other medicinal products and other forms of interactions Combinations not recommended Applies only to chronic heart failure: Class-I antiarrhythmic drugs (e.g. quinidine, disopyramide, lidocaine, phenytoin, flecainide, propafenone): effect on atrio-ventricular conduction time may be potentiated and negative inotropic effect increased. Applies to all indications: Calcium antagonists of the verapamil type and to a lesser extent of the diltiazem type: negative effect on contractility and atrio-ventricular conduction. Intravenous administration of verapamil in patients on beta- blocker treatment may lead to profound hypotension and atrio-ventricular block. Centrally-acting antihypertensive drugs (e.g. clonidine, methyldopa, moxonidine, rilmenidine): concomitant use of centrally-acting antihypertensive drugs may further decrease the centr</x:v>
      </x:c>
      <x:c r="J72" s="37" t="str">
        <x:v>https://drug.fda.moph.go.th/media.php?id=904966131876503552&amp;name=6. Ref SmPC_Bisoprolol.pdf</x:v>
      </x:c>
    </x:row>
    <x:row r="73">
      <x:c r="A73" s="31" t="str">
        <x:v>bromhexine</x:v>
      </x:c>
      <x:c r="B73" s="31" t="str">
        <x:v>digoxin</x:v>
      </x:c>
      <x:c r="C73" s="31" t="str">
        <x:v>unclassified</x:v>
      </x:c>
      <x:c r="D73" s="31" t="str">
        <x:v>review</x:v>
      </x:c>
      <x:c r="E73" s="31" t="str">
        <x:v>r0039_smpc</x:v>
      </x:c>
      <x:c r="F73" s="31" t="str">
        <x:v>SMPC</x:v>
      </x:c>
      <x:c r="G73" s="31" t="n">
        <x:v>3</x:v>
      </x:c>
      <x:c r="H73" s="31" t="str">
        <x:v>digoxin</x:v>
      </x:c>
      <x:c r="I73" s="37" t="str">
        <x:v>formation &lt;REGARDING THE APPROVAL&gt; 4.5. Interaction with other medicinal products and other forms of interaction No clinically relevant unfavourable interactions with other medicines have been reported. Following the administration of bromhexine, the antibiotic concentrations of amoxycillin, erythromycin and oxytetracycline in the sputum and bronchopulmonary secretions are increased. Also, interaction studies with oral anticoagulants or digoxin were not performed. Bromhexine pharmacokinetics are not relevantly affected by co-administration of ampicillin or oxytetracycline. There was also no relevant interaction between bromhexine and erythromycin according to a historical comparison. The lack of any relevant interaction reports during the long -term marketing of the drug suggests no substantial interaction potential with these drugs. 4.6. Fertility, pregnancy and lactation Preg</x:v>
      </x:c>
      <x:c r="J73" s="37" t="str">
        <x:v>https://drug.fda.moph.go.th/media.php?id=809661846922600448&amp;name=SMPC_Bromhexine_Tablets.pdf</x:v>
      </x:c>
    </x:row>
    <x:row r="74">
      <x:c r="A74" s="31" t="str">
        <x:v>bromhexine</x:v>
      </x:c>
      <x:c r="B74" s="31" t="str">
        <x:v>erythromycin</x:v>
      </x:c>
      <x:c r="C74" s="31" t="str">
        <x:v>unclassified</x:v>
      </x:c>
      <x:c r="D74" s="31" t="str">
        <x:v>review</x:v>
      </x:c>
      <x:c r="E74" s="31" t="str">
        <x:v>r0039_smpc</x:v>
      </x:c>
      <x:c r="F74" s="31" t="str">
        <x:v>SMPC</x:v>
      </x:c>
      <x:c r="G74" s="31" t="n">
        <x:v>3</x:v>
      </x:c>
      <x:c r="H74" s="31" t="str">
        <x:v>erythromycin</x:v>
      </x:c>
      <x:c r="I74" s="37" t="str">
        <x:v>s with renal or liver insufficiency. (refer to Section 5.2 Pharmacokinetic properties) Effects on laboratory tests No data available Excipient information &lt;REGARDING THE APPROVAL&gt; 4.5. Interaction with other medicinal products and other forms of interaction No clinically relevant unfavourable interactions with other medicines have been reported. Following the administration of bromhexine, the antibiotic concentrations of amoxycillin, erythromycin and oxytetracycline in the sputum and bronchopulmonary secretions are increased. Also, interaction studies with oral anticoagulants or digoxin were not performed. Bromhexine pharmacokinetics are not relevantly affected by co-administration of ampicillin or oxytetracycline. There was also no relevant interaction between bromhexine and erythromycin according to a historical comparison. The lack of any relevant interaction reports during the</x:v>
      </x:c>
      <x:c r="J74" s="37" t="str">
        <x:v>https://drug.fda.moph.go.th/media.php?id=809661846922600448&amp;name=SMPC_Bromhexine_Tablets.pdf</x:v>
      </x:c>
    </x:row>
    <x:row r="75">
      <x:c r="A75" s="31" t="str">
        <x:v>bromhexine</x:v>
      </x:c>
      <x:c r="B75" s="31" t="str">
        <x:v>oxytetracycline</x:v>
      </x:c>
      <x:c r="C75" s="31" t="str">
        <x:v>unclassified</x:v>
      </x:c>
      <x:c r="D75" s="31" t="str">
        <x:v>review</x:v>
      </x:c>
      <x:c r="E75" s="31" t="str">
        <x:v>r0039_smpc</x:v>
      </x:c>
      <x:c r="F75" s="31" t="str">
        <x:v>SMPC</x:v>
      </x:c>
      <x:c r="G75" s="31" t="n">
        <x:v>3</x:v>
      </x:c>
      <x:c r="H75" s="31" t="str">
        <x:v>oxytetracycline</x:v>
      </x:c>
      <x:c r="I75" s="37" t="str">
        <x:v>liver insufficiency. (refer to Section 5.2 Pharmacokinetic properties) Effects on laboratory tests No data available Excipient information &lt;REGARDING THE APPROVAL&gt; 4.5. Interaction with other medicinal products and other forms of interaction No clinically relevant unfavourable interactions with other medicines have been reported. Following the administration of bromhexine, the antibiotic concentrations of amoxycillin, erythromycin and oxytetracycline in the sputum and bronchopulmonary secretions are increased. Also, interaction studies with oral anticoagulants or digoxin were not performed. Bromhexine pharmacokinetics are not relevantly affected by co-administration of ampicillin or oxytetracycline. There was also no relevant interaction between bromhexine and erythromycin according to a historical comparison. The lack of any relevant interaction reports during the long -term marketin</x:v>
      </x:c>
      <x:c r="J75" s="37" t="str">
        <x:v>https://drug.fda.moph.go.th/media.php?id=809661846922600448&amp;name=SMPC_Bromhexine_Tablets.pdf</x:v>
      </x:c>
    </x:row>
    <x:row r="76">
      <x:c r="A76" s="31" t="str">
        <x:v>bromocriptine</x:v>
      </x:c>
      <x:c r="B76" s="31" t="str">
        <x:v>chlorpromazine</x:v>
      </x:c>
      <x:c r="C76" s="31" t="str">
        <x:v>moderate</x:v>
      </x:c>
      <x:c r="D76" s="31" t="str">
        <x:v>eligible</x:v>
      </x:c>
      <x:c r="E76" s="31" t="str">
        <x:v>r0066_smpc</x:v>
      </x:c>
      <x:c r="F76" s="31" t="str">
        <x:v>SMPC</x:v>
      </x:c>
      <x:c r="G76" s="31" t="n">
        <x:v>9</x:v>
      </x:c>
      <x:c r="H76" s="31" t="str">
        <x:v>bromocriptine</x:v>
      </x:c>
      <x:c r="I76" s="37" t="str">
        <x:v>elosuppressive potential, such as carbamazepine or certain antibiotics and cytotoxics. Combinations contraindicated Dopaminergics (quinagolide, cabergoline), not including dopaminergic antiparkinsonism agents, are contraindicated (see Section 4.3): reciprocal antagonism of the dopaminergic agent and neuroleptic. Citalopram and escitalopram are contraindicated. Combinations not recommended Dopaminergic antiparkinsonism agents (amantadine, bromocriptine, cabergoline, levodopa, lisuride, pergolide, piribedil, ropinirole) are not recommended: reciprocal antagonism of the antiparkinsonism agent and neuroleptic (see Section 4.4). Neuroleptic -induced extrapyramidal syndrome should be treated with an anticholinergic rather than a dopaminergic antiparkinsonism agent (dopaminergic receptors blocked by neuroleptics). Levodopa: reciprocal antagonism of levodopa and the neuroleptic. In Parkinson'</x:v>
      </x:c>
      <x:c r="J76" s="37" t="str">
        <x:v>https://drug.fda.moph.go.th/media.php?id=809674435173949440&amp;name=SMPC_Chlorpromazine_Capsules.pdf</x:v>
      </x:c>
    </x:row>
    <x:row r="77">
      <x:c r="A77" s="31" t="str">
        <x:v>bromocriptine</x:v>
      </x:c>
      <x:c r="B77" s="31" t="str">
        <x:v>domperidone</x:v>
      </x:c>
      <x:c r="C77" s="31" t="str">
        <x:v>unclassified</x:v>
      </x:c>
      <x:c r="D77" s="31" t="str">
        <x:v>review</x:v>
      </x:c>
      <x:c r="E77" s="31" t="str">
        <x:v>r0118_smpc</x:v>
      </x:c>
      <x:c r="F77" s="31" t="str">
        <x:v>SMPC</x:v>
      </x:c>
      <x:c r="G77" s="31" t="n">
        <x:v>6</x:v>
      </x:c>
      <x:c r="H77" s="31" t="str">
        <x:v>bromocriptine</x:v>
      </x:c>
      <x:c r="I77" s="37" t="str">
        <x:v>stances requires caution in use Caution with bradycardia and hypokalaemia-inducing drugs, as well as with the following macrolides involved in QT -prolongation: azithromycin and roxithromycin (clarithromycin is contraindicated as it is a potent CYP3A4 inhibitor). The above list of substances is representative and not exhaustive. There is a theoretical potential that domperidone may antagonise the hypoprolactinaemia effect of drugs such as bromocriptine. Opioid analgesics and antimuscarinics may antagonise the prokinetic effects of domperidone.</x:v>
      </x:c>
      <x:c r="J77" s="37" t="str">
        <x:v>https://drug.fda.moph.go.th/media.php?id=810074487256129536&amp;name=SMPC_Domperidone_Tablets.pdf</x:v>
      </x:c>
    </x:row>
    <x:row r="78">
      <x:c r="A78" s="31" t="str">
        <x:v>bromocriptine</x:v>
      </x:c>
      <x:c r="B78" s="31" t="str">
        <x:v>erythromycin</x:v>
      </x:c>
      <x:c r="C78" s="31" t="str">
        <x:v>unclassified</x:v>
      </x:c>
      <x:c r="D78" s="31" t="str">
        <x:v>review</x:v>
      </x:c>
      <x:c r="E78" s="31" t="str">
        <x:v>r0126_smpc</x:v>
      </x:c>
      <x:c r="F78" s="31" t="str">
        <x:v>SMPC</x:v>
      </x:c>
      <x:c r="G78" s="31" t="n">
        <x:v>8</x:v>
      </x:c>
      <x:c r="H78" s="31" t="str">
        <x:v>bromocriptine</x:v>
      </x:c>
      <x:c r="I78" s="37" t="str">
        <x:v>mptoms may occur when symptomatic therapy is discontinued. This medicine contains less than 1mmol sodium (23mg) per tablet, which is to say essentially ‘sodium free’ 4.5. Interaction with other medicinal products and other forms of interaction Increases in serum concentrations of the following drugs metabolised by the cytochrome P450 system may occur when administered concurrently with erythromycin: acenocoumarol, alfentanil, astemizole, bromocriptine, carbamazepine, cilostazol, cyclosporin, dig oxin, dihydroergotamine, disopyramide, ergotamine, hexobarbitone, methylprednisolone, midazolam, omeprazole, phenytoin, quinidine, rifabutin, sildenafil, tacrolimus, terfenadine, domperidone, theophylline, triazolam, valproate, vinblastine, antifungals e.g fluconazole, ketoconazole and itraconazole and warfarin. Appropriate monitoring should be undertaken and dosage should be adjusted as necess</x:v>
      </x:c>
      <x:c r="J78" s="37" t="str">
        <x:v>https://drug.fda.moph.go.th/media.php?id=810076416409477120&amp;name=SMPC_Erythromycin_Gastro-resistant tablets.pdf</x:v>
      </x:c>
    </x:row>
    <x:row r="79">
      <x:c r="A79" s="31" t="str">
        <x:v>bromocriptine</x:v>
      </x:c>
      <x:c r="B79" s="31" t="str">
        <x:v>erythromycin</x:v>
      </x:c>
      <x:c r="C79" s="31" t="str">
        <x:v>unclassified</x:v>
      </x:c>
      <x:c r="D79" s="31" t="str">
        <x:v>review</x:v>
      </x:c>
      <x:c r="E79" s="31" t="str">
        <x:v>r0127_smpc</x:v>
      </x:c>
      <x:c r="F79" s="31" t="str">
        <x:v>SMPC</x:v>
      </x:c>
      <x:c r="G79" s="31" t="n">
        <x:v>7</x:v>
      </x:c>
      <x:c r="H79" s="31" t="str">
        <x:v>bromocriptine</x:v>
      </x:c>
      <x:c r="I79" s="37" t="str">
        <x:v>to be weighed against the potential risk of developing IHPS. Parents should be informed to contact their physician if vomiting or irritability with feeding occurs. 4.5. Interaction with other medicinal products and other forms of interaction Increases in serum concentrations of the following drugs metabolised by the cytochrome P450 system may occur : when administered concurrently with erythromycin: acenocoumarol, alfentanil, astemizole, bromocriptine, carbamazepine, cilostazol, cyclosporin, digoxin, dihydroergotamine, disopyramide, ergotamine, hexobarbitone, methylprednisolone, midazolam, omeprazole, phenytoin, quinidine, rifabutin , sildenafil, tacrolimus, terfenadine, domperidone, theophylline, triazolam, valproate, vinblastine, and antifung als e.g fluconazole, ketoconazole and itraconazole. Appropriate monitoring should be undertaken and dosage should be adjusted as necessary. Par</x:v>
      </x:c>
      <x:c r="J79" s="37" t="str">
        <x:v>https://drug.fda.moph.go.th/media.php?id=810076760694726656&amp;name=SMPC_Erythromycin_film-coated tablets.pdf</x:v>
      </x:c>
    </x:row>
    <x:row r="80">
      <x:c r="A80" s="31" t="str">
        <x:v>bromocriptine</x:v>
      </x:c>
      <x:c r="B80" s="31" t="str">
        <x:v>metoclopramide</x:v>
      </x:c>
      <x:c r="C80" s="31" t="str">
        <x:v>unclassified</x:v>
      </x:c>
      <x:c r="D80" s="31" t="str">
        <x:v>review</x:v>
      </x:c>
      <x:c r="E80" s="31" t="str">
        <x:v>r0237_smpc</x:v>
      </x:c>
      <x:c r="F80" s="31" t="str">
        <x:v>SMPC</x:v>
      </x:c>
      <x:c r="G80" s="31" t="n">
        <x:v>10</x:v>
      </x:c>
      <x:c r="H80" s="31" t="str">
        <x:v>bromocriptine</x:v>
      </x:c>
      <x:c r="I80" s="37" t="str">
        <x:v>sodium This medicinal product contains less than 1 mmol sodium (23mg) per 6 ml, i.e. essentially ‘sodium- free’. 4.5. Interaction with other medicinal products and other forms of interaction Contraindicated combination Levodopa or dopaminergic agonists and metoclopramide have a mutual antagonism (see section 4.3). Metoclopramide should be used with care in association with other drugs acting at central dopamine receptors such as bromocriptine and pergolide. Combination to be avoided Alcohol potentiates the sedative effect of metoclopramide. Combination to be taken into account Due to the prokinetic effect of metoclopramide, the absorption of certain drugs may be modified.</x:v>
      </x:c>
      <x:c r="J80" s="37" t="str">
        <x:v>https://drug.fda.moph.go.th/media.php?id=810415338977107968&amp;name=SMPC_Metoclopramide_solution for infusion.pdf</x:v>
      </x:c>
    </x:row>
    <x:row r="81">
      <x:c r="A81" s="31" t="str">
        <x:v>calcium</x:v>
      </x:c>
      <x:c r="B81" s="31" t="str">
        <x:v>tetracycline</x:v>
      </x:c>
      <x:c r="C81" s="31" t="str">
        <x:v>unclassified</x:v>
      </x:c>
      <x:c r="D81" s="31" t="str">
        <x:v>review</x:v>
      </x:c>
      <x:c r="E81" s="31" t="str">
        <x:v>r0041_smpc</x:v>
      </x:c>
      <x:c r="F81" s="31" t="str">
        <x:v>SMPC</x:v>
      </x:c>
      <x:c r="G81" s="31" t="n">
        <x:v>3</x:v>
      </x:c>
      <x:c r="H81" s="31" t="str">
        <x:v>tetracycline</x:v>
      </x:c>
      <x:c r="I81" s="37" t="str">
        <x:v>fects of digitalis and other cardiac glycosides may be accentuated with the oral administration of calcium combined with Vitamin D. Strict medical supervision is needed and, if necessary monitoring of ECG and calcium. Certain foods (e.g. those containing oxalic acid, phosphate or phytinic acid) may reduce the absorption of calcium. Calcium salts may reduce the absorption of thyroxine, bisphosphonates, sodium fluoride, quinolone and tetracycline antibiotics or iron. It is advisable to allow a minimum period of four hours before taking the calcium. Calcium absorption is reduced in patients receiving systemic corticosteroid therapy. This should be taken into account when patients are receiving concomitant therapy. 4.6. Fertility, pregnancy and lactation During pregnancy and lactation treatment with calcium carbonate should be under the direction of a physician. During preg</x:v>
      </x:c>
      <x:c r="J81" s="37" t="str">
        <x:v>https://drug.fda.moph.go.th/media.php?id=809662943624044544&amp;name=SMPC_Calcium carbonate_chewable tablets.pdf</x:v>
      </x:c>
    </x:row>
    <x:row r="82">
      <x:c r="A82" s="31" t="str">
        <x:v>calcium_folinate</x:v>
      </x:c>
      <x:c r="B82" s="31" t="str">
        <x:v>fluorouracil</x:v>
      </x:c>
      <x:c r="C82" s="31" t="str">
        <x:v>unclassified</x:v>
      </x:c>
      <x:c r="D82" s="31" t="str">
        <x:v>review</x:v>
      </x:c>
      <x:c r="E82" s="31" t="str">
        <x:v>r0042_smpc</x:v>
      </x:c>
      <x:c r="F82" s="31" t="str">
        <x:v>SMPC</x:v>
      </x:c>
      <x:c r="G82" s="31" t="n">
        <x:v>8</x:v>
      </x:c>
      <x:c r="H82" s="31" t="str">
        <x:v>fluorouracil</x:v>
      </x:c>
      <x:c r="I82" s="37" t="str">
        <x:v>eutralised. Calcium folinate may diminish the effect of the anti -epileptic substances: phenobarbital, primidone and phenytoine, succinimides, and may increase the frequency of seizures (a decrease of plasma levels of enzymatic inductor anticonvulsant drugs may be obse rved because the hepatic metabolism is increased as folates are one of the cofactors) (see also sections 4.4 and 4.8). Concomitant administration of calcium folinate with 5-fluorouracil has been shown to enhance both the efficacy and toxicity of 5 -fluorouracil (see section 4.5, 4.4 and 4.8). 4.6. Fertility, pregnancy and lactation Pregnancy There are no adequate and well-controlled clinical studies conducted in pregnant or breast -feeding women. No formal animal reproductive toxicity studies with calcium folinate have been conducted. There is no indication that folinic acid induces harmful eff ects if administered dur</x:v>
      </x:c>
      <x:c r="J82" s="37" t="str">
        <x:v>https://drug.fda.moph.go.th/media.php?id=809663362920226816&amp;name=SMPC_Calcium Folinate_Solutions for injections or infusions.pdf</x:v>
      </x:c>
    </x:row>
    <x:row r="83">
      <x:c r="A83" s="31" t="str">
        <x:v>calcium_folinate</x:v>
      </x:c>
      <x:c r="B83" s="31" t="str">
        <x:v>fluorouracil</x:v>
      </x:c>
      <x:c r="C83" s="31" t="str">
        <x:v>unclassified</x:v>
      </x:c>
      <x:c r="D83" s="31" t="str">
        <x:v>review</x:v>
      </x:c>
      <x:c r="E83" s="31" t="str">
        <x:v>r0148_smpc</x:v>
      </x:c>
      <x:c r="F83" s="31" t="str">
        <x:v>SMPC</x:v>
      </x:c>
      <x:c r="G83" s="31" t="n">
        <x:v>13</x:v>
      </x:c>
      <x:c r="H83" s="31" t="str">
        <x:v>calcium folinate</x:v>
      </x:c>
      <x:c r="I83" s="37" t="str">
        <x:v>1 Ref: Fluorouracil, MHRA, 25/01/2024 13 Various agents have been reported to biochemically modulate the anti - tumour efficacy or toxicity of Fluorouracil. Common drugs include methotrexate, metronidazole, folinic acid interferon alfa and allopurinol. Calcium folinate (Folinic acid) Folinic acid enhances the binding of fluorouracil to thymidylate synthase. Both the efficacy and toxicity of 5 -fluorouracil may be increased when 5-fluorouracil is used in combination with folinic acid. Side effects may be more pronounced and severe diarrh oea may occur. Life-threatening diarrhoeas have been observed if 600 mg/m2 of fluorouracil (i.v. bolus once weekly) is given together with folinic acid. In combination w</x:v>
      </x:c>
      <x:c r="J83" s="37" t="str">
        <x:v>https://drug.fda.moph.go.th/media.php?id=810172919505362944&amp;name=SMPC_Fluorouracil_Solution for Injection or Infusion.pdf</x:v>
      </x:c>
    </x:row>
    <x:row r="84">
      <x:c r="A84" s="31" t="str">
        <x:v>calcium_folinate</x:v>
      </x:c>
      <x:c r="B84" s="31" t="str">
        <x:v>folic_acid</x:v>
      </x:c>
      <x:c r="C84" s="31" t="str">
        <x:v>unclassified</x:v>
      </x:c>
      <x:c r="D84" s="31" t="str">
        <x:v>review</x:v>
      </x:c>
      <x:c r="E84" s="31" t="str">
        <x:v>r0042_smpc</x:v>
      </x:c>
      <x:c r="F84" s="31" t="str">
        <x:v>SMPC</x:v>
      </x:c>
      <x:c r="G84" s="31" t="n">
        <x:v>8</x:v>
      </x:c>
      <x:c r="H84" s="31" t="str">
        <x:v>folic acid</x:v>
      </x:c>
      <x:c r="I84" s="37" t="str">
        <x:v>1 Ref: Calcium Folinate 10 mg/ml Solution for Injection or Infusion, MHRA, 11/11/2020 8 &lt;REGARDING THE APPROVAL&gt; 4.5. Interaction with other medicinal products and other forms of interaction When calcium folinate is given in conjunction with a folic acid antagonist (e.g. co-trimoxazole, pyrimethamine) the efficacy of the folic acid antagonist may either be reduced or completely neutralised. Calcium folinate may diminish the effect of the anti -epileptic substances: phenobarbital, primidone and phenytoine, succinimides, and may increase the frequency of seizures (a decrease of plasma levels of enzymatic inductor anticonvulsant drugs may be obse rved because the hepatic metabolism is increa</x:v>
      </x:c>
      <x:c r="J84" s="37" t="str">
        <x:v>https://drug.fda.moph.go.th/media.php?id=809663362920226816&amp;name=SMPC_Calcium Folinate_Solutions for injections or infusions.pdf</x:v>
      </x:c>
    </x:row>
    <x:row r="85">
      <x:c r="A85" s="31" t="str">
        <x:v>calcium_folinate</x:v>
      </x:c>
      <x:c r="B85" s="31" t="str">
        <x:v>methotrexate</x:v>
      </x:c>
      <x:c r="C85" s="31" t="str">
        <x:v>unclassified</x:v>
      </x:c>
      <x:c r="D85" s="31" t="str">
        <x:v>review</x:v>
      </x:c>
      <x:c r="E85" s="31" t="str">
        <x:v>r0042_smpc</x:v>
      </x:c>
      <x:c r="F85" s="31" t="str">
        <x:v>SMPC</x:v>
      </x:c>
      <x:c r="G85" s="31" t="n">
        <x:v>8</x:v>
      </x:c>
      <x:c r="H85" s="31" t="str">
        <x:v>methotrexate</x:v>
      </x:c>
      <x:c r="I85" s="37" t="str">
        <x:v>the efficacy and toxicity of 5 -fluorouracil (see section 4.5, 4.4 and 4.8). 4.6. Fertility, pregnancy and lactation Pregnancy There are no adequate and well-controlled clinical studies conducted in pregnant or breast -feeding women. No formal animal reproductive toxicity studies with calcium folinate have been conducted. There is no indication that folinic acid induces harmful eff ects if administered during pregnancy. During pregnancy, methotrexate should only be administered on strict indications, where the benefits of the drug to the mother should be weighed against possible hazards to the foetus. Should treatment with methotrexa te or other folinate antagonists take place despite pregnancy or lactation, there are no limitations as to the use of calcium folinate to diminish toxicity or counteract the effects. 5-fluorouracil use is generally contraindicated during pregnancy and con</x:v>
      </x:c>
      <x:c r="J85" s="37" t="str">
        <x:v>https://drug.fda.moph.go.th/media.php?id=809663362920226816&amp;name=SMPC_Calcium Folinate_Solutions for injections or infusions.pdf</x:v>
      </x:c>
    </x:row>
    <x:row r="86">
      <x:c r="A86" s="31" t="str">
        <x:v>calcium_folinate</x:v>
      </x:c>
      <x:c r="B86" s="31" t="str">
        <x:v>pyrimethamine</x:v>
      </x:c>
      <x:c r="C86" s="31" t="str">
        <x:v>unclassified</x:v>
      </x:c>
      <x:c r="D86" s="31" t="str">
        <x:v>review</x:v>
      </x:c>
      <x:c r="E86" s="31" t="str">
        <x:v>r0042_smpc</x:v>
      </x:c>
      <x:c r="F86" s="31" t="str">
        <x:v>SMPC</x:v>
      </x:c>
      <x:c r="G86" s="31" t="n">
        <x:v>4</x:v>
      </x:c>
      <x:c r="H86" s="31" t="str">
        <x:v>pyrimethamine</x:v>
      </x:c>
      <x:c r="I86" s="37" t="str">
        <x:v>5 -fluorouracil, modification of the 5-fluorouacil dosage and the treatment-free interval may be necessary depending on patient condition, clinical response and dose limiting toxicity as stated in the prod uct information of 5 - fluorouracil. A reduction of calcium folinate dosage is not required. The number of repeat cycles used is at the discretion of the clinician. Antidote to the folic acid antagonists trimetrexate, trimethoprime, and pyrimethamine: Trimetrexate toxicity: • Prevention: Calcium folinate should be administered every day during treatment with trimetrexate and for 72 hours after the last dose of trimetrexate. Calcium folinate can be administered either intravenous route at a dose of 20 mg/m2 for 5 to 10 minutes every 6 hours for a total daily dose of 80 mg/m2, or by oral route with four doses of 20 mg/m2 administered at equal time intervals. Daily doses of calcium folin</x:v>
      </x:c>
      <x:c r="J86" s="37" t="str">
        <x:v>https://drug.fda.moph.go.th/media.php?id=809663362920226816&amp;name=SMPC_Calcium Folinate_Solutions for injections or infusions.pdf</x:v>
      </x:c>
    </x:row>
    <x:row r="87">
      <x:c r="A87" s="31" t="str">
        <x:v>calcium_folinate</x:v>
      </x:c>
      <x:c r="B87" s="31" t="str">
        <x:v>pyrimethamine</x:v>
      </x:c>
      <x:c r="C87" s="31" t="str">
        <x:v>unclassified</x:v>
      </x:c>
      <x:c r="D87" s="31" t="str">
        <x:v>review</x:v>
      </x:c>
      <x:c r="E87" s="31" t="str">
        <x:v>r0042_smpc</x:v>
      </x:c>
      <x:c r="F87" s="31" t="str">
        <x:v>SMPC</x:v>
      </x:c>
      <x:c r="G87" s="31" t="n">
        <x:v>8</x:v>
      </x:c>
      <x:c r="H87" s="31" t="str">
        <x:v>pyrimethamine</x:v>
      </x:c>
      <x:c r="I87" s="37" t="str">
        <x:v>1 Ref: Calcium Folinate 10 mg/ml Solution for Injection or Infusion, MHRA, 11/11/2020 8 &lt;REGARDING THE APPROVAL&gt; 4.5. Interaction with other medicinal products and other forms of interaction When calcium folinate is given in conjunction with a folic acid antagonist (e.g. co-trimoxazole, pyrimethamine) the efficacy of the folic acid antagonist may either be reduced or completely neutralised. Calcium folinate may diminish the effect of the anti -epileptic substances: phenobarbital, primidone and phenytoine, succinimides, and may increase the frequency of seizures (a decrease of plasma levels of enzymatic inductor anticonvulsant drugs may be obse rved because the hepatic metabolism is increased as folates are one of the cofactors) (see a</x:v>
      </x:c>
      <x:c r="J87" s="37" t="str">
        <x:v>https://drug.fda.moph.go.th/media.php?id=809663362920226816&amp;name=SMPC_Calcium Folinate_Solutions for injections or infusions.pdf</x:v>
      </x:c>
    </x:row>
    <x:row r="88">
      <x:c r="A88" s="31" t="str">
        <x:v>captopril</x:v>
      </x:c>
      <x:c r="B88" s="31" t="str">
        <x:v>clonidine</x:v>
      </x:c>
      <x:c r="C88" s="31" t="str">
        <x:v>unclassified</x:v>
      </x:c>
      <x:c r="D88" s="31" t="str">
        <x:v>review</x:v>
      </x:c>
      <x:c r="E88" s="31" t="str">
        <x:v>r0044_smpc</x:v>
      </x:c>
      <x:c r="F88" s="31" t="str">
        <x:v>SMPC</x:v>
      </x:c>
      <x:c r="G88" s="31" t="n">
        <x:v>15</x:v>
      </x:c>
      <x:c r="H88" s="31" t="str">
        <x:v>clonidine</x:v>
      </x:c>
      <x:c r="I88" s="37" t="str">
        <x:v>1 Ref:Captopril 25mg Tablets, MHRA, 02/10/2023 15 Clonidine: It has been suggested that the anti -hypertensive effect of captopril can be delayed when patients treated with clonidine are changed to captopril. Sympathomimetics: may reduce the antihypertensive effects of ACE inhibitors: patients should be carefully monitored. Antidiabetics: pharmacological studies have shown that ACE inhibitors, including captopril, can potentiate the blood glucose - reducing effects of insulin and oral antidiabetics</x:v>
      </x:c>
      <x:c r="J88" s="37" t="str">
        <x:v>https://drug.fda.moph.go.th/media.php?id=809664599430406144&amp;name=SMPC_Captopril_tablets.pdf</x:v>
      </x:c>
    </x:row>
    <x:row r="89">
      <x:c r="A89" s="31" t="str">
        <x:v>captopril</x:v>
      </x:c>
      <x:c r="B89" s="31" t="str">
        <x:v>dobutamine</x:v>
      </x:c>
      <x:c r="C89" s="31" t="str">
        <x:v>unclassified</x:v>
      </x:c>
      <x:c r="D89" s="31" t="str">
        <x:v>review</x:v>
      </x:c>
      <x:c r="E89" s="31" t="str">
        <x:v>r0434_smpc</x:v>
      </x:c>
      <x:c r="F89" s="31" t="str">
        <x:v>SMPC</x:v>
      </x:c>
      <x:c r="G89" s="31" t="n">
        <x:v>7</x:v>
      </x:c>
      <x:c r="H89" s="31" t="str">
        <x:v>captopril</x:v>
      </x:c>
      <x:c r="I89" s="37" t="str">
        <x:v>ressure than administration of one of the individual substances alone. Administering dobutamine to diabetic patients may cause increased insulin demand. In diabetic patients insulin levels should be checked when starting dobutamine therapy changing the rate of infusion and discontinuing the infusion. If necessary, the insulin dose must be adjusted as required. Simultaneous administration of high doses of dobutamine with ACE inhibitors (e.g. captopril) may cause an increase in cardiac output, accompanied by increased myocardial oxygen consumption. Chest pain and rhythm disturbances have been reported in this context. Dobutamine combined with dopamine causes – depending on the dopamine dosage and in contrast to its sole administration – a more distinct increase of blood pressure as well as a decrease or no change of ventricular filling pressure. Sodium metabisulfite is a very reactive co</x:v>
      </x:c>
      <x:c r="J89" s="37" t="str">
        <x:v>https://drug.fda.moph.go.th/media.php?id=904966129582219264&amp;name=2. Ref SmPC_Dobutamine.pdf</x:v>
      </x:c>
    </x:row>
    <x:row r="90">
      <x:c r="A90" s="31" t="str">
        <x:v>captopril</x:v>
      </x:c>
      <x:c r="B90" s="31" t="str">
        <x:v>furosemide</x:v>
      </x:c>
      <x:c r="C90" s="31" t="str">
        <x:v>unclassified</x:v>
      </x:c>
      <x:c r="D90" s="31" t="str">
        <x:v>review</x:v>
      </x:c>
      <x:c r="E90" s="31" t="str">
        <x:v>r0044_smpc</x:v>
      </x:c>
      <x:c r="F90" s="31" t="str">
        <x:v>SMPC</x:v>
      </x:c>
      <x:c r="G90" s="31" t="n">
        <x:v>4</x:v>
      </x:c>
      <x:c r="H90" s="31" t="str">
        <x:v>furosemide</x:v>
      </x:c>
      <x:c r="I90" s="37" t="str">
        <x:v>th other antihypertensive agents, i.e. diuretics, beta blockers, centrally acting agents or vasodilators if the r eduction in blood pressure is inadequate with captopril alone. Patients with renal impairment: Since captopril is excreted primarily via the kidneys, dosage should be reduced or the dosage interval should be increased in patients with impaired renal function. When concomitant diuretic therapy is required, a loop diuretic (e.g. Furosemide), rather than a thiazide diuretic, is preferred in patients with severe renal impairment. In patients with impaired renal function, the following daily dose may be recommended to avoid accumulation of captopril. Creatinine clearance (ml/min/1.73m2) Daily starting dose (mg) Daily maximum dose (mg) &gt;40 25-50 150 21-40 25 100</x:v>
      </x:c>
      <x:c r="J90" s="37" t="str">
        <x:v>https://drug.fda.moph.go.th/media.php?id=809664599430406144&amp;name=SMPC_Captopril_tablets.pdf</x:v>
      </x:c>
    </x:row>
    <x:row r="91">
      <x:c r="A91" s="31" t="str">
        <x:v>captopril</x:v>
      </x:c>
      <x:c r="B91" s="31" t="str">
        <x:v>furosemide</x:v>
      </x:c>
      <x:c r="C91" s="31" t="str">
        <x:v>unclassified</x:v>
      </x:c>
      <x:c r="D91" s="31" t="str">
        <x:v>review</x:v>
      </x:c>
      <x:c r="E91" s="31" t="str">
        <x:v>r0044_smpc</x:v>
      </x:c>
      <x:c r="F91" s="31" t="str">
        <x:v>SMPC</x:v>
      </x:c>
      <x:c r="G91" s="31" t="n">
        <x:v>13</x:v>
      </x:c>
      <x:c r="H91" s="31" t="str">
        <x:v>furosemide</x:v>
      </x:c>
      <x:c r="I91" s="37" t="str">
        <x:v>cs): prior treatment with high dose diuretics may result in volume depletion and a risk of hypotension when initiating therapy with captopril (see section 4.4). The hypotensive effects can be reduced by discontinuation of the diuretic, by increasing volume or salt intake or by initiating therapy with a low dose of captopril. However, no clinically significant drug interactions have been found in specific studies with hydrochlorothiazide or furosemide. Ciclosporin Hyperkalaemia may occur during concomitant use of ACE inhibitors with ciclosporin. Monitoring of serum potassium is recommended. Heparin Hyperkalaemia may occur during concomitant use of ACE inhibitors with heparin. Monitoring of serum potassium is recommended. Alpha blocking agents: concomitant use of alpha blocking agents may increase the antihypertensive effects of captopril and increase the risk of orthostatic hypotensi</x:v>
      </x:c>
      <x:c r="J91" s="37" t="str">
        <x:v>https://drug.fda.moph.go.th/media.php?id=809664599430406144&amp;name=SMPC_Captopril_tablets.pdf</x:v>
      </x:c>
    </x:row>
    <x:row r="92">
      <x:c r="A92" s="31" t="str">
        <x:v>captopril</x:v>
      </x:c>
      <x:c r="B92" s="31" t="str">
        <x:v>ibuprofen</x:v>
      </x:c>
      <x:c r="C92" s="31" t="str">
        <x:v>unclassified</x:v>
      </x:c>
      <x:c r="D92" s="31" t="str">
        <x:v>review</x:v>
      </x:c>
      <x:c r="E92" s="31" t="str">
        <x:v>r0044_smpc</x:v>
      </x:c>
      <x:c r="F92" s="31" t="str">
        <x:v>SMPC</x:v>
      </x:c>
      <x:c r="G92" s="31" t="n">
        <x:v>14</x:v>
      </x:c>
      <x:c r="H92" s="31" t="str">
        <x:v>ibuprofen</x:v>
      </x:c>
      <x:c r="I92" s="37" t="str">
        <x:v>uppressive agents: concomitant administration with ACE inhibitors may lead to an increase risk for leucopenia especially when the latter are used at higher than currently recommended doses. Probenecid: The renal clearance of captopril is reduced in the presence of probenecid. Non-steroidal anti -inflammatory medicinal products: it has been described that non -steroidal anti -inflammatory medicinal products (NSAIDS) (such as Indomethacin, Ibuprofen) and ACE inhibitors exert an additive effects on the increase in serum potassium whereas renal function may decrease. These effects are , in principle, reversible. Rarely, acute renal failure may occur, particularly in patients with compromised renal function such as the elderly or dehydrated. Chronic administration of NSAIDs may reduce the antihypertensive effect of an ACE inhibitor.</x:v>
      </x:c>
      <x:c r="J92" s="37" t="str">
        <x:v>https://drug.fda.moph.go.th/media.php?id=809664599430406144&amp;name=SMPC_Captopril_tablets.pdf</x:v>
      </x:c>
    </x:row>
    <x:row r="93">
      <x:c r="A93" s="31" t="str">
        <x:v>captopril</x:v>
      </x:c>
      <x:c r="B93" s="31" t="str">
        <x:v>indomethacin</x:v>
      </x:c>
      <x:c r="C93" s="31" t="str">
        <x:v>unclassified</x:v>
      </x:c>
      <x:c r="D93" s="31" t="str">
        <x:v>review</x:v>
      </x:c>
      <x:c r="E93" s="31" t="str">
        <x:v>r0044_smpc</x:v>
      </x:c>
      <x:c r="F93" s="31" t="str">
        <x:v>SMPC</x:v>
      </x:c>
      <x:c r="G93" s="31" t="n">
        <x:v>14</x:v>
      </x:c>
      <x:c r="H93" s="31" t="str">
        <x:v>indomethacin</x:v>
      </x:c>
      <x:c r="I93" s="37" t="str">
        <x:v>tic or immunosuppressive agents: concomitant administration with ACE inhibitors may lead to an increase risk for leucopenia especially when the latter are used at higher than currently recommended doses. Probenecid: The renal clearance of captopril is reduced in the presence of probenecid. Non-steroidal anti -inflammatory medicinal products: it has been described that non -steroidal anti -inflammatory medicinal products (NSAIDS) (such as Indomethacin, Ibuprofen) and ACE inhibitors exert an additive effects on the increase in serum potassium whereas renal function may decrease. These effects are , in principle, reversible. Rarely, acute renal failure may occur, particularly in patients with compromised renal function such as the elderly or dehydrated. Chronic administration of NSAIDs may reduce the antihypertensive effect of an ACE inhibitor.</x:v>
      </x:c>
      <x:c r="J93" s="37" t="str">
        <x:v>https://drug.fda.moph.go.th/media.php?id=809664599430406144&amp;name=SMPC_Captopril_tablets.pdf</x:v>
      </x:c>
    </x:row>
    <x:row r="94">
      <x:c r="A94" s="31" t="str">
        <x:v>captopril</x:v>
      </x:c>
      <x:c r="B94" s="31" t="str">
        <x:v>insulin</x:v>
      </x:c>
      <x:c r="C94" s="31" t="str">
        <x:v>unclassified</x:v>
      </x:c>
      <x:c r="D94" s="31" t="str">
        <x:v>review</x:v>
      </x:c>
      <x:c r="E94" s="31" t="str">
        <x:v>r0044_smpc</x:v>
      </x:c>
      <x:c r="F94" s="31" t="str">
        <x:v>SMPC</x:v>
      </x:c>
      <x:c r="G94" s="31" t="n">
        <x:v>15</x:v>
      </x:c>
      <x:c r="H94" s="31" t="str">
        <x:v>insulin</x:v>
      </x:c>
      <x:c r="I94" s="37" t="str">
        <x:v>MHRA, 02/10/2023 15 Clonidine: It has been suggested that the anti -hypertensive effect of captopril can be delayed when patients treated with clonidine are changed to captopril. Sympathomimetics: may reduce the antihypertensive effects of ACE inhibitors: patients should be carefully monitored. Antidiabetics: pharmacological studies have shown that ACE inhibitors, including captopril, can potentiate the blood glucose - reducing effects of insulin and oral antidiabetics such as sulphonylurea in diabetics. Should this very rare interaction occur, it may be necessary to reduce the dose of the antidiabetics during simultaneous treatment with ACE inhibitors. Clinical Chemistry: Captopril may cause a false-positive urine test for acetone. Angiotensin II receptor blockers or aliskiren: Clinical trial data has shown that dual blockade of the renin -angiotensin-aldosterone-system (RAAS) t</x:v>
      </x:c>
      <x:c r="J94" s="37" t="str">
        <x:v>https://drug.fda.moph.go.th/media.php?id=809664599430406144&amp;name=SMPC_Captopril_tablets.pdf</x:v>
      </x:c>
    </x:row>
    <x:row r="95">
      <x:c r="A95" s="31" t="str">
        <x:v>captopril</x:v>
      </x:c>
      <x:c r="B95" s="31" t="str">
        <x:v>insulin</x:v>
      </x:c>
      <x:c r="C95" s="31" t="str">
        <x:v>unclassified</x:v>
      </x:c>
      <x:c r="D95" s="31" t="str">
        <x:v>review</x:v>
      </x:c>
      <x:c r="E95" s="31" t="str">
        <x:v>r0044_smpc</x:v>
      </x:c>
      <x:c r="F95" s="31" t="str">
        <x:v>SMPC</x:v>
      </x:c>
      <x:c r="G95" s="31" t="n">
        <x:v>22</x:v>
      </x:c>
      <x:c r="H95" s="31" t="str">
        <x:v>insulin</x:v>
      </x:c>
      <x:c r="I95" s="37" t="str">
        <x:v>ive effect in relation to early mortality on the first day of treatment was found. Captopril cardioprotection effects are observed regardless of the patient’s age or gender, location of the infarction and concomitant treatments with proven efficacy during the post - infarction period (thrombolytic agents, beta-blockers and acetylsalicylic acid) Type I diabetic nephropathy In a placebo-controlled, multicentre double blind clinical trial in insulin- dependent (Type I) diabetes with proteinuria, with or without hypertension (simultaneous administration of other antihypertensives to control blood pressure was allowed), captopril significantly reduced (by 51%) the time to doubling of the baseline creatinine concentration compared to placebo; the incidence of terminal renal failure (dialysis, transplantation) or death was also significantly less common under captopril than under pl acebo</x:v>
      </x:c>
      <x:c r="J95" s="37" t="str">
        <x:v>https://drug.fda.moph.go.th/media.php?id=809664599430406144&amp;name=SMPC_Captopril_tablets.pdf</x:v>
      </x:c>
    </x:row>
    <x:row r="96">
      <x:c r="A96" s="31" t="str">
        <x:v>captopril</x:v>
      </x:c>
      <x:c r="B96" s="31" t="str">
        <x:v>insulin</x:v>
      </x:c>
      <x:c r="C96" s="31" t="str">
        <x:v>unclassified</x:v>
      </x:c>
      <x:c r="D96" s="31" t="str">
        <x:v>review</x:v>
      </x:c>
      <x:c r="E96" s="31" t="str">
        <x:v>r0191_smpc</x:v>
      </x:c>
      <x:c r="F96" s="31" t="str">
        <x:v>SMPC</x:v>
      </x:c>
      <x:c r="G96" s="31" t="n">
        <x:v>5</x:v>
      </x:c>
      <x:c r="H96" s="31" t="str">
        <x:v>captopril</x:v>
      </x:c>
      <x:c r="I96" s="37" t="str">
        <x:v>as glucocorticoids, thyroid hormones, growth hormone, danazol, beta2-sympatomimetics (such as ritodrine, salbutamol, terbutaline), thiazides. Insulin requirements may be reduced in the presence of substances with hypoglycaemic activity, such as oral hypoglycaemics (OHA), salicylates (for example, acetylsalicylic acid), certain antidepressants (monoamine oxidase inhibitors), certain angiotensin converting enzyme (ACE) inhibitors (captopril, enalapril), angiotensin II receptor blockers, non - selective beta-blocking agents and alcohol. Somatostatin analogues (octreotide, lanreotide) may both decrease or increase insulin dose requirements.</x:v>
      </x:c>
      <x:c r="J96" s="37" t="str">
        <x:v>https://drug.fda.moph.go.th/media.php?id=810385239439450112&amp;name=SMPC_Insulin_suspension for injection in vial.pdf</x:v>
      </x:c>
    </x:row>
    <x:row r="97">
      <x:c r="A97" s="31" t="str">
        <x:v>captopril</x:v>
      </x:c>
      <x:c r="B97" s="31" t="str">
        <x:v>lithium</x:v>
      </x:c>
      <x:c r="C97" s="31" t="str">
        <x:v>moderate</x:v>
      </x:c>
      <x:c r="D97" s="31" t="str">
        <x:v>eligible</x:v>
      </x:c>
      <x:c r="E97" s="31" t="str">
        <x:v>r0044_smpc</x:v>
      </x:c>
      <x:c r="F97" s="31" t="str">
        <x:v>SMPC</x:v>
      </x:c>
      <x:c r="G97" s="31" t="n">
        <x:v>9</x:v>
      </x:c>
      <x:c r="H97" s="31" t="str">
        <x:v>lithium</x:v>
      </x:c>
      <x:c r="I97" s="37" t="str">
        <x:v>tassium supplements or potassium-containing salt substitutes; or those patients taking other drugs associated with increases in serum potassium (e.g. heparin, co - trimoxazole also known as trim ethoprim/ sulfamethoxazole). If concomitant use of the above mentioned agents is deemed appropriate, regular monitoring of serum potassium is recommended (see section 4.5). Combination with Lithium: Captopril is not recommended in association with lithium due to the potentiation of lithium toxicity (see 4.5). Aortic and mitral valve stenosis/ Obstructive hypertropic cardiomyopathy: ACE inhibitors should be used with caution in patients with left ventricular valvular and outflow tract obstruction. As limited experience has been obtained in the treatment of acute</x:v>
      </x:c>
      <x:c r="J97" s="37" t="str">
        <x:v>https://drug.fda.moph.go.th/media.php?id=809664599430406144&amp;name=SMPC_Captopril_tablets.pdf</x:v>
      </x:c>
    </x:row>
    <x:row r="98">
      <x:c r="A98" s="31" t="str">
        <x:v>captopril</x:v>
      </x:c>
      <x:c r="B98" s="31" t="str">
        <x:v>lithium</x:v>
      </x:c>
      <x:c r="C98" s="31" t="str">
        <x:v>unclassified</x:v>
      </x:c>
      <x:c r="D98" s="31" t="str">
        <x:v>review</x:v>
      </x:c>
      <x:c r="E98" s="31" t="str">
        <x:v>r0044_smpc</x:v>
      </x:c>
      <x:c r="F98" s="31" t="str">
        <x:v>SMPC</x:v>
      </x:c>
      <x:c r="G98" s="31" t="n">
        <x:v>14</x:v>
      </x:c>
      <x:c r="H98" s="31" t="str">
        <x:v>lithium</x:v>
      </x:c>
      <x:c r="I98" s="37" t="str">
        <x:v>1 Ref:Captopril 25mg Tablets, MHRA, 02/10/2023 14 Treatment with nitroglycerine and other nitrates, or other vasodilators (such as minoxidil), should be used with caution. Treatments of acute myocardial infarction: Captopril may be used concomitantly with acetylsalicylic acid (at cardiologic doses), thrombolytics, beta-blockers and/or nitrates in patients with myocardial infarction. Lithium: Reversible increases in serum lithium concentrations and toxicity have been reported during concomitant administration of lithium with ACE inhibitors. Concomitant use of thiazide diuretics may increase the risk of lithium toxicity and enhance the already i ncreased risk of lithium toxicity with ACE inhibitors. Use of captopril with lithium is not recommended, but if the combination proves necessary, careful monitoring of serum lithium lev</x:v>
      </x:c>
      <x:c r="J98" s="37" t="str">
        <x:v>https://drug.fda.moph.go.th/media.php?id=809664599430406144&amp;name=SMPC_Captopril_tablets.pdf</x:v>
      </x:c>
    </x:row>
    <x:row r="99">
      <x:c r="A99" s="31" t="str">
        <x:v>captopril</x:v>
      </x:c>
      <x:c r="B99" s="31" t="str">
        <x:v>minoxidil</x:v>
      </x:c>
      <x:c r="C99" s="31" t="str">
        <x:v>unclassified</x:v>
      </x:c>
      <x:c r="D99" s="31" t="str">
        <x:v>review</x:v>
      </x:c>
      <x:c r="E99" s="31" t="str">
        <x:v>r0044_smpc</x:v>
      </x:c>
      <x:c r="F99" s="31" t="str">
        <x:v>SMPC</x:v>
      </x:c>
      <x:c r="G99" s="31" t="n">
        <x:v>14</x:v>
      </x:c>
      <x:c r="H99" s="31" t="str">
        <x:v>minoxidil</x:v>
      </x:c>
      <x:c r="I99" s="37" t="str">
        <x:v>1 Ref:Captopril 25mg Tablets, MHRA, 02/10/2023 14 Treatment with nitroglycerine and other nitrates, or other vasodilators (such as minoxidil), should be used with caution. Treatments of acute myocardial infarction: Captopril may be used concomitantly with acetylsalicylic acid (at cardiologic doses), thrombolytics, beta-blockers and/or nitrates in patients with myocardial infarction. Lithium: Reversible increases in serum lithium concentrations and toxicity have been reported during concomitant administration of lithium with ACE inhibitors. Concomitant use of thiazide diuretics</x:v>
      </x:c>
      <x:c r="J99" s="37" t="str">
        <x:v>https://drug.fda.moph.go.th/media.php?id=809664599430406144&amp;name=SMPC_Captopril_tablets.pdf</x:v>
      </x:c>
    </x:row>
    <x:row r="100">
      <x:c r="A100" s="31" t="str">
        <x:v>captopril</x:v>
      </x:c>
      <x:c r="B100" s="31" t="str">
        <x:v>sodium_bicarbonate</x:v>
      </x:c>
      <x:c r="C100" s="31" t="str">
        <x:v>unclassified</x:v>
      </x:c>
      <x:c r="D100" s="31" t="str">
        <x:v>review</x:v>
      </x:c>
      <x:c r="E100" s="31" t="str">
        <x:v>r0314_smpc</x:v>
      </x:c>
      <x:c r="F100" s="31" t="str">
        <x:v>SMPC</x:v>
      </x:c>
      <x:c r="G100" s="31" t="n">
        <x:v>3</x:v>
      </x:c>
      <x:c r="H100" s="31" t="str">
        <x:v>captopril</x:v>
      </x:c>
      <x:c r="I100" s="37" t="str">
        <x:v>entially absorbed by the kidney resulting in increased excretion of lithium (reduced plasma concentration). As a precaution for antacids, in order to minimise the risk of interactions affecting pharmacokinetics of concomitantly administered products, drug administrations should be separated by approximately 2 to 3 hours. Sodium bicarbonate reduces the absorption of a number of other drugs taken concomitantly. These include ACE inhibitors (captopril, enalapril, and fosinopril), antibacterials and antifungals (azithromycin, cefaclor, cefpodoxime, isoniazid, itraconazole, rif ampicin, tetracyclines, ketoconazole and the quinolone group of antibacterials); antivirals(atazanivir, fosamprenavir, tipranavir); antihistamines (fexofenadine); bisphosponates, corticosteroids (deflazacort); digoxin, dipyridamole, antiepileptics (gabapen tin and phenytoin), ulcer healing drugs (lansoprazole); le</x:v>
      </x:c>
      <x:c r="J100" s="37" t="str">
        <x:v>https://drug.fda.moph.go.th/media.php?id=810453894575562752&amp;name=SMPC_Sodium Bicarbonate_powder.pdf</x:v>
      </x:c>
    </x:row>
    <x:row r="101">
      <x:c r="A101" s="31" t="str">
        <x:v>carbamazepine</x:v>
      </x:c>
      <x:c r="B101" s="31" t="str">
        <x:v>cimetidine</x:v>
      </x:c>
      <x:c r="C101" s="31" t="str">
        <x:v>unclassified</x:v>
      </x:c>
      <x:c r="D101" s="31" t="str">
        <x:v>review</x:v>
      </x:c>
      <x:c r="E101" s="31" t="str">
        <x:v>r0045_smpc</x:v>
      </x:c>
      <x:c r="F101" s="31" t="str">
        <x:v>SMPC</x:v>
      </x:c>
      <x:c r="G101" s="31" t="n">
        <x:v>14</x:v>
      </x:c>
      <x:c r="H101" s="31" t="str">
        <x:v>cimetidine</x:v>
      </x:c>
      <x:c r="I101" s="37" t="str">
        <x:v>atrin. Antifungals: azoles (e.g. itraconazole, ketoconazole, fluconazole, voriconazole). Alternative anti -convulsants may be recommended in patients treated with voriconazole or itraconazole. Antipsychotics: olanzapine. Antituberculosis: isoniazid. Antivirals: protease inhibitors for HIV treatment (e.g. ritonavir). Carbonic anhydrase inhibitors: acetazolamide. Cardiovascular drugs: diltiazem, verapamil. Gastrointestinal drugs: possibly cimetidine, omeprazole. Other interactions: grapefruit juice, nicotinamide (only in high dosage). Agents that may raise the active metabolite carbamazepine -10,11- epoxide plasma levels: Since raised plasma carbamazepine-10,11-epoxide levels may result in adverse reactions (e.g. dizziness, drowsiness, ataxia, diplopia), the dosage of Carbamazepine should be adjusted accordingly and/or the plasma levels monitored when used concomitantly with the subst</x:v>
      </x:c>
      <x:c r="J101" s="37" t="str">
        <x:v>https://drug.fda.moph.go.th/media.php?id=809665211119312896&amp;name=SMPC_Carbamazepine_Tablets.pdf</x:v>
      </x:c>
    </x:row>
    <x:row r="102">
      <x:c r="A102" s="31" t="str">
        <x:v>carbamazepine</x:v>
      </x:c>
      <x:c r="B102" s="31" t="str">
        <x:v>clarithromycin</x:v>
      </x:c>
      <x:c r="C102" s="31" t="str">
        <x:v>unclassified</x:v>
      </x:c>
      <x:c r="D102" s="31" t="str">
        <x:v>review</x:v>
      </x:c>
      <x:c r="E102" s="31" t="str">
        <x:v>r0045_smpc</x:v>
      </x:c>
      <x:c r="F102" s="31" t="str">
        <x:v>SMPC</x:v>
      </x:c>
      <x:c r="G102" s="31" t="n">
        <x:v>14</x:v>
      </x:c>
      <x:c r="H102" s="31" t="str">
        <x:v>clarithromycin</x:v>
      </x:c>
      <x:c r="I102" s="37" t="str">
        <x:v>1 Ref: Tegretol, MHRA, 21/12/2023 14 Androgens: danazol. Antibiotics: macrolide antibiotics (e.g. erythromycin, clarithromycin), ciprofloxacine. Antidepressants: fluoxetine, fluvoxamine, paroxetine, trazodone. Antiepileptics: vigabatrin. Antifungals: azoles (e.g. itraconazole, ketoconazole, fluconazole, voriconazole). Alternative anti -convulsants may be recommended in patients treated with voriconazole or itraconazole. Antipsychotics: olanzapine. Antituberculosis: isoniazid. Antivirals: protease inhibitors for HIV treatment (e.g. ritonavir). Carbonic anhydras</x:v>
      </x:c>
      <x:c r="J102" s="37" t="str">
        <x:v>https://drug.fda.moph.go.th/media.php?id=809665211119312896&amp;name=SMPC_Carbamazepine_Tablets.pdf</x:v>
      </x:c>
    </x:row>
    <x:row r="103">
      <x:c r="A103" s="31" t="str">
        <x:v>carbamazepine</x:v>
      </x:c>
      <x:c r="B103" s="31" t="str">
        <x:v>clarithromycin</x:v>
      </x:c>
      <x:c r="C103" s="31" t="str">
        <x:v>unclassified</x:v>
      </x:c>
      <x:c r="D103" s="31" t="str">
        <x:v>review</x:v>
      </x:c>
      <x:c r="E103" s="31" t="str">
        <x:v>r0075_smpc</x:v>
      </x:c>
      <x:c r="F103" s="31" t="str">
        <x:v>SMPC</x:v>
      </x:c>
      <x:c r="G103" s="31" t="n">
        <x:v>15</x:v>
      </x:c>
      <x:c r="H103" s="31" t="str">
        <x:v>carbamazepine</x:v>
      </x:c>
      <x:c r="I103" s="37" t="str">
        <x:v>In situations where the concomitant use of clarithromycin with statins cannot be avoided, it is recommended to prescribe the lowest registered dose of the statin. Use of a statin tha t is not dependent on CYP3A metabolism (e.g. fluvastatin) can be considered. Patients should be monitored for signs and symptoms of myopathy. Effects of Other Medicinal Products on Clarithromycin Drugs that are inducers of CYP3A (e.g. rifampicin, phenytoin, carbamazepine, phenobarbital, St John’s wort) may induce the metabolism of clarithromycin. This may result in sub -therapeutic levels of clarithromycin leading to reduced efficacy. Furthermore, it might be necessary to monitor the plasma levels of the CYP3A inducer, which could be increased owing to the inhibition of CYP3A by clarithromycin (see also the relevant product information for the CYP3A4 inducer administered). Concomitant administration of rif</x:v>
      </x:c>
      <x:c r="J103" s="37" t="str">
        <x:v>https://drug.fda.moph.go.th/media.php?id=809678715939332096&amp;name=SMPC_Clarithromycin_Film-coated tablets.pdf</x:v>
      </x:c>
    </x:row>
    <x:row r="104">
      <x:c r="A104" s="31" t="str">
        <x:v>carbamazepine</x:v>
      </x:c>
      <x:c r="B104" s="31" t="str">
        <x:v>clarithromycin</x:v>
      </x:c>
      <x:c r="C104" s="31" t="str">
        <x:v>unclassified</x:v>
      </x:c>
      <x:c r="D104" s="31" t="str">
        <x:v>review</x:v>
      </x:c>
      <x:c r="E104" s="31" t="str">
        <x:v>r0075_smpc</x:v>
      </x:c>
      <x:c r="F104" s="31" t="str">
        <x:v>SMPC</x:v>
      </x:c>
      <x:c r="G104" s="31" t="n">
        <x:v>18</x:v>
      </x:c>
      <x:c r="H104" s="31" t="str">
        <x:v>carbamazepine</x:v>
      </x:c>
      <x:c r="I104" s="37" t="str">
        <x:v>ainly by CYP3A4 (e.g. lovastatin and simvastatin), colchicine, ticagrelor and ranolazine (see section 4.3). Concomitant administration of clarithromycin with lomitapide is contraindicated due to the potential for markedly increased transaminases (see section 4.3). Caution is required if clarithromycin is co-administered with other drugs known to be CYP3A enzyme substrates, especially if the CYP3A substrate has a narrow safety margin (e.g. carbamazepine) and/or the substrate is extensively metabolised by this enzyme. Dosage adjustments may be considered, and when possible, serum concentrations of drugs primarily metabolised by CYP3A should be monitored closely in patients concurrently receiv ing clarithromycin. Drugs or drug classes that are known or suspected to be metabolised by the same CYP3A isozyme include (but this list is not comprehensive) alprazolam, carbamazepine, cilostazole,</x:v>
      </x:c>
      <x:c r="J104" s="37" t="str">
        <x:v>https://drug.fda.moph.go.th/media.php?id=809678715939332096&amp;name=SMPC_Clarithromycin_Film-coated tablets.pdf</x:v>
      </x:c>
    </x:row>
    <x:row r="105">
      <x:c r="A105" s="31" t="str">
        <x:v>carbamazepine</x:v>
      </x:c>
      <x:c r="B105" s="31" t="str">
        <x:v>clindamycin</x:v>
      </x:c>
      <x:c r="C105" s="31" t="str">
        <x:v>unclassified</x:v>
      </x:c>
      <x:c r="D105" s="31" t="str">
        <x:v>review</x:v>
      </x:c>
      <x:c r="E105" s="31" t="str">
        <x:v>r0076_smpc</x:v>
      </x:c>
      <x:c r="F105" s="31" t="str">
        <x:v>SMPC</x:v>
      </x:c>
      <x:c r="G105" s="31" t="n">
        <x:v>11</x:v>
      </x:c>
      <x:c r="H105" s="31" t="str">
        <x:v>carbamazepine</x:v>
      </x:c>
      <x:c r="I105" s="37" t="str">
        <x:v>John's wort (Hypericum perforatum), carbamazepine, phenytoin or phenobarbital. For further information from in vitro studies on cytochrome mediated interactions see section 5.2. 4.6. Fertility, pregnancy and lactation Pregnancy Oral and subcutaneous reproductive toxicity studies in rats and rabbits revealed no evidence of impaired fertility or harm to the foetus due to clindamycin, except at doses that caused maternal toxicity (see section 5.3). Animal reproduction studies are no t alwa</x:v>
      </x:c>
      <x:c r="J105" s="37" t="str">
        <x:v>https://drug.fda.moph.go.th/media.php?id=809679498764230656&amp;name=SMPC_clindamycin phosphate_solution for injection and infusion.pdf</x:v>
      </x:c>
    </x:row>
    <x:row r="106">
      <x:c r="A106" s="31" t="str">
        <x:v>carbamazepine</x:v>
      </x:c>
      <x:c r="B106" s="31" t="str">
        <x:v>cyclophosphamide</x:v>
      </x:c>
      <x:c r="C106" s="31" t="str">
        <x:v>unclassified</x:v>
      </x:c>
      <x:c r="D106" s="31" t="str">
        <x:v>review</x:v>
      </x:c>
      <x:c r="E106" s="31" t="str">
        <x:v>r0091_smpc</x:v>
      </x:c>
      <x:c r="F106" s="31" t="str">
        <x:v>SMPC</x:v>
      </x:c>
      <x:c r="G106" s="31" t="n">
        <x:v>16</x:v>
      </x:c>
      <x:c r="H106" s="31" t="str">
        <x:v>carbamazepine</x:v>
      </x:c>
      <x:c r="I106" s="37" t="str">
        <x:v>en. Increased incidence of mucositis is reported in combined therapy of cyclophosphamide (CDE) and saquinavir - Inducers of human hepatic and extrahepatic microsomal enzymes (e.g., cytochrome P450 enzymes): The potential for hepatic and extrahepatic microsomal enzyme induction must be considered in case of prior or concomitant treatment with substances known to in duce an increased activity of such enzymes such as rifampin, phenobarbital, carbamazepine, phenytoin, St. John's wort, benzodiazepines and corticosteroids. - Dabrafenib Pharmacodynamic Interactions and Interactions of Unknown Mechanism Affecting the Use of Cyclophosphamide Combined or sequential use of cyclophosphamide and other agents with similar toxicities can cause combined (increased) toxic effects. • Increased hematotoxicity and/or immunosuppression may result from a combined effect of cyclophosphamideand, for example</x:v>
      </x:c>
      <x:c r="J106" s="37" t="str">
        <x:v>https://drug.fda.moph.go.th/media.php?id=809693226402455552&amp;name=SMPC_Cyclophosphamide_Powders for solutions for injections or infusions.pdf</x:v>
      </x:c>
    </x:row>
    <x:row r="107">
      <x:c r="A107" s="31" t="str">
        <x:v>carbamazepine</x:v>
      </x:c>
      <x:c r="B107" s="31" t="str">
        <x:v>dexamethasone</x:v>
      </x:c>
      <x:c r="C107" s="31" t="str">
        <x:v>unclassified</x:v>
      </x:c>
      <x:c r="D107" s="31" t="str">
        <x:v>review</x:v>
      </x:c>
      <x:c r="E107" s="31" t="str">
        <x:v>r0045_smpc</x:v>
      </x:c>
      <x:c r="F107" s="31" t="str">
        <x:v>SMPC</x:v>
      </x:c>
      <x:c r="G107" s="31" t="n">
        <x:v>16</x:v>
      </x:c>
      <x:c r="H107" s="31" t="str">
        <x:v>dexamethasone</x:v>
      </x:c>
      <x:c r="I107" s="37" t="str">
        <x:v>atment (e.g. indinavir, ritonavir, saquinavir). Anxiolytics: alprazolam. Bronchodilatators or anti-asthma drugs: theophylline. Contraceptives: hormonal contraceptives (alternative contraceptive methods should be considered). Cardiovascular drugs : calcium channel blockers (dihydropyridine group) e.g. felodipine, digoxin, simvastatin, atorvastatin, lovastatin, cerivastatin, ivabradine. Corticosteroids: corticosteroids (e.g. prednisolone, dexamethasone). Drugs used in erectile dysfunction: tadalafil. Immunosuppressants: ciclosporin, everolimus, tacrolimus, sirolimus. Thyroid agents: levothyroxine. Other drug interactions : products containing oestrogens and/or progesterones. Combinations that require specific consideration:</x:v>
      </x:c>
      <x:c r="J107" s="37" t="str">
        <x:v>https://drug.fda.moph.go.th/media.php?id=809665211119312896&amp;name=SMPC_Carbamazepine_Tablets.pdf</x:v>
      </x:c>
    </x:row>
    <x:row r="108">
      <x:c r="A108" s="31" t="str">
        <x:v>carbamazepine</x:v>
      </x:c>
      <x:c r="B108" s="31" t="str">
        <x:v>dexamethasone</x:v>
      </x:c>
      <x:c r="C108" s="31" t="str">
        <x:v>unclassified</x:v>
      </x:c>
      <x:c r="D108" s="31" t="str">
        <x:v>review</x:v>
      </x:c>
      <x:c r="E108" s="31" t="str">
        <x:v>r0097_smpc</x:v>
      </x:c>
      <x:c r="F108" s="31" t="str">
        <x:v>SMPC</x:v>
      </x:c>
      <x:c r="G108" s="31" t="n">
        <x:v>15</x:v>
      </x:c>
      <x:c r="H108" s="31" t="str">
        <x:v>carbamazepine</x:v>
      </x:c>
      <x:c r="I108" s="37" t="str">
        <x:v>ution can lead to positive results. Excipient Warnings &lt;REGARDING THE APPROV AL&gt; 4.5. Interaction with other medicinal products and other forms of interaction Effects of other drugs on Dexamethasone Effects of other medicinal products on Dexamethasone: Dexamethasone is metabolized via cytochrome P450 3A4 (CYP3A4). Concomitant administration of dexamethasone with inducers of CYP3A4, such as phenytoin, barbiturates, ephedrine, rifabutin, carbamazepine and rifampicin may lead to decreased plasma concentrati ons of dexamethasone and the dose may need to be increased. Concomitant administration of inhibitors of CYP3A4 such</x:v>
      </x:c>
      <x:c r="J108" s="37" t="str">
        <x:v>https://drug.fda.moph.go.th/media.php?id=810062372298432512&amp;name=SMPC_Dexamethasone_Oral solution.pdf</x:v>
      </x:c>
    </x:row>
    <x:row r="109">
      <x:c r="A109" s="31" t="str">
        <x:v>carbamazepine</x:v>
      </x:c>
      <x:c r="B109" s="31" t="str">
        <x:v>dexamethasone</x:v>
      </x:c>
      <x:c r="C109" s="31" t="str">
        <x:v>unclassified</x:v>
      </x:c>
      <x:c r="D109" s="31" t="str">
        <x:v>review</x:v>
      </x:c>
      <x:c r="E109" s="31" t="str">
        <x:v>r0098_smpc</x:v>
      </x:c>
      <x:c r="F109" s="31" t="str">
        <x:v>SMPC</x:v>
      </x:c>
      <x:c r="G109" s="31" t="n">
        <x:v>11</x:v>
      </x:c>
      <x:c r="H109" s="31" t="str">
        <x:v>carbamazepine</x:v>
      </x:c>
      <x:c r="I109" s="37" t="str">
        <x:v>NAME&gt; can lead to positive results. Excipient Warnings &lt;REGARDING THE APPROVAL&gt; 4.5. Interaction with other medicinal products and other forms of interaction Effects of other drugs on Dexamethasone Effects of other medicinal products on Dexamethasone: Dexamethasone is metabolized via cytochrome P450 3A4 (CYP3A4). Concomitant administration of dexamethasone with inducers of CYP3A4, such as phenytoin, barbiturates, ephedrine, rifabutin, carbamazepine and rifampicin may lead to decreased plasma concentrations of dexamethasone and the dose may need to be increased. Concomitant administration of inhibitors of CYP3A4 such as ketoconazole, ritonavir and erythromycin may lead to increased plasma concentrations of dexamethasone. Co-treatment with CYP3A inhibitors, including cobicistat -containing products, is expected to increase the risk of systemic side -effects. The combination should be</x:v>
      </x:c>
      <x:c r="J109" s="37" t="str">
        <x:v>https://drug.fda.moph.go.th/media.php?id=810066436012777472&amp;name=SMPC_Dexamethasone_syrup.pdf</x:v>
      </x:c>
    </x:row>
    <x:row r="110">
      <x:c r="A110" s="31" t="str">
        <x:v>carbamazepine</x:v>
      </x:c>
      <x:c r="B110" s="31" t="str">
        <x:v>digoxin</x:v>
      </x:c>
      <x:c r="C110" s="31" t="str">
        <x:v>unclassified</x:v>
      </x:c>
      <x:c r="D110" s="31" t="str">
        <x:v>review</x:v>
      </x:c>
      <x:c r="E110" s="31" t="str">
        <x:v>r0045_smpc</x:v>
      </x:c>
      <x:c r="F110" s="31" t="str">
        <x:v>SMPC</x:v>
      </x:c>
      <x:c r="G110" s="31" t="n">
        <x:v>16</x:v>
      </x:c>
      <x:c r="H110" s="31" t="str">
        <x:v>digoxin</x:v>
      </x:c>
      <x:c r="I110" s="37" t="str">
        <x:v>and bromperidol , olanzapine, quetiapine, risperidone, aripiprazole, paliperidone. Antivirals: protease inhibitors for HIV treatment (e.g. indinavir, ritonavir, saquinavir). Anxiolytics: alprazolam. Bronchodilatators or anti-asthma drugs: theophylline. Contraceptives: hormonal contraceptives (alternative contraceptive methods should be considered). Cardiovascular drugs : calcium channel blockers (dihydropyridine group) e.g. felodipine, digoxin, simvastatin, atorvastatin, lovastatin, cerivastatin, ivabradine. Corticosteroids: corticosteroids (e.g. prednisolone, dexamethasone). Drugs used in erectile dysfunction: tadalafil. Immunosuppressants: ciclosporin, everolimus, tacrolimus, sirolimus. Thyroid agents: levothyroxine. Other drug interactions : products containing oestrogens and/or progesterones. Combinations that require specific consideration:</x:v>
      </x:c>
      <x:c r="J110" s="37" t="str">
        <x:v>https://drug.fda.moph.go.th/media.php?id=809665211119312896&amp;name=SMPC_Carbamazepine_Tablets.pdf</x:v>
      </x:c>
    </x:row>
    <x:row r="111">
      <x:c r="A111" s="31" t="str">
        <x:v>carbamazepine</x:v>
      </x:c>
      <x:c r="B111" s="31" t="str">
        <x:v>diltiazem</x:v>
      </x:c>
      <x:c r="C111" s="31" t="str">
        <x:v>unclassified</x:v>
      </x:c>
      <x:c r="D111" s="31" t="str">
        <x:v>review</x:v>
      </x:c>
      <x:c r="E111" s="31" t="str">
        <x:v>r0045_smpc</x:v>
      </x:c>
      <x:c r="F111" s="31" t="str">
        <x:v>SMPC</x:v>
      </x:c>
      <x:c r="G111" s="31" t="n">
        <x:v>14</x:v>
      </x:c>
      <x:c r="H111" s="31" t="str">
        <x:v>diltiazem</x:v>
      </x:c>
      <x:c r="I111" s="37" t="str">
        <x:v>uvoxamine, paroxetine, trazodone. Antiepileptics: vigabatrin. Antifungals: azoles (e.g. itraconazole, ketoconazole, fluconazole, voriconazole). Alternative anti -convulsants may be recommended in patients treated with voriconazole or itraconazole. Antipsychotics: olanzapine. Antituberculosis: isoniazid. Antivirals: protease inhibitors for HIV treatment (e.g. ritonavir). Carbonic anhydrase inhibitors: acetazolamide. Cardiovascular drugs: diltiazem, verapamil. Gastrointestinal drugs: possibly cimetidine, omeprazole. Other interactions: grapefruit juice, nicotinamide (only in high dosage). Agents that may raise the active metabolite carbamazepine -10,11- epoxide plasma levels: Since raised plasma carbamazepine-10,11-epoxide levels may result in adverse reactions (e.g. dizziness, drowsiness, ataxia, diplopia), the dosage of Carbamazepine should be adjusted accordingly and/or the plasm</x:v>
      </x:c>
      <x:c r="J111" s="37" t="str">
        <x:v>https://drug.fda.moph.go.th/media.php?id=809665211119312896&amp;name=SMPC_Carbamazepine_Tablets.pdf</x:v>
      </x:c>
    </x:row>
    <x:row r="112">
      <x:c r="A112" s="31" t="str">
        <x:v>carbamazepine</x:v>
      </x:c>
      <x:c r="B112" s="31" t="str">
        <x:v>doxorubicin</x:v>
      </x:c>
      <x:c r="C112" s="31" t="str">
        <x:v>unclassified</x:v>
      </x:c>
      <x:c r="D112" s="31" t="str">
        <x:v>review</x:v>
      </x:c>
      <x:c r="E112" s="31" t="str">
        <x:v>r0045_smpc</x:v>
      </x:c>
      <x:c r="F112" s="31" t="str">
        <x:v>SMPC</x:v>
      </x:c>
      <x:c r="G112" s="31" t="n">
        <x:v>15</x:v>
      </x:c>
      <x:c r="H112" s="31" t="str">
        <x:v>doxorubicin</x:v>
      </x:c>
      <x:c r="I112" s="37" t="str">
        <x:v>Ref: Tegretol, MHRA, 21/12/2023 15 Antiepileptics: oxcarbazepine, phenobarbital, phenytoin (to avoid phenytoin intoxication and subtherapeutic concentrations of carbamazepine it is recommended to adjust the plasma concentration of phenytoin to 13 micrograms /mL before adding carbamazepine to the treatment) and fosphenytoin, primidone, and, although the data are partly contradictory, possibly also clonazepam. Antineoplastics: cisplatin or doxorubicin. Antituberculosis: rifampicin. Bronchodilatators or anti-asthma drugs: theophylline, aminophylline. Dermatological drugs: isotretinoin. Other interactions : herbal preparations containing St John's wort (Hypericum perforatum). Effect of Carbamazepine on plasma levels of concomitant agents: Carbamazepine may lower the plasma level, diminish or even abolish the activity of certain drugs. The dosage of the following drugs may have to be ad</x:v>
      </x:c>
      <x:c r="J112" s="37" t="str">
        <x:v>https://drug.fda.moph.go.th/media.php?id=809665211119312896&amp;name=SMPC_Carbamazepine_Tablets.pdf</x:v>
      </x:c>
    </x:row>
    <x:row r="113">
      <x:c r="A113" s="31" t="str">
        <x:v>carbamazepine</x:v>
      </x:c>
      <x:c r="B113" s="31" t="str">
        <x:v>doxycycline_hyclate</x:v>
      </x:c>
      <x:c r="C113" s="31" t="str">
        <x:v>unclassified</x:v>
      </x:c>
      <x:c r="D113" s="31" t="str">
        <x:v>review</x:v>
      </x:c>
      <x:c r="E113" s="31" t="str">
        <x:v>r0119_smpc</x:v>
      </x:c>
      <x:c r="F113" s="31" t="str">
        <x:v>SMPC</x:v>
      </x:c>
      <x:c r="G113" s="31" t="n">
        <x:v>9</x:v>
      </x:c>
      <x:c r="H113" s="31" t="str">
        <x:v>carbamazepine</x:v>
      </x:c>
      <x:c r="I113" s="37" t="str">
        <x:v>h the bactericidal action of penicillin, it is advisable to avoid giving &lt;GENERIC NAME&gt; in conjunction with penicillin. There have been reports of prolonged prothrombin time in patients taking warfarin and doxycycline. Tetracyclines depress plasma prothrombin activity and reduced doses of concomitant anticoagulants may be necessary. The serum half-life of doxycycline may be shortened when patients are concurrently receiving barbiturates, carbamazepine or phenytoin. An increase in the daily dosage of &lt;GENERIC NAME&gt; should be considered. Alcohol may decrease the half-life of doxycycline. A few cases of pregnancy or breakthrough bleeding have been attributed to the concurrent use of tetracycline antibiotics with oral contraceptives. Doxycycline may increase the plasma concentration of ciclosporin. Co- administration should only be undertaken with appropriate monitoring. The concurrent use</x:v>
      </x:c>
      <x:c r="J113" s="37" t="str">
        <x:v>https://drug.fda.moph.go.th/media.php?id=810074802814590976&amp;name=SMPC_Doxycycline_Tablet.pdf</x:v>
      </x:c>
    </x:row>
    <x:row r="114">
      <x:c r="A114" s="31" t="str">
        <x:v>carbamazepine</x:v>
      </x:c>
      <x:c r="B114" s="31" t="str">
        <x:v>erythromycin</x:v>
      </x:c>
      <x:c r="C114" s="31" t="str">
        <x:v>unclassified</x:v>
      </x:c>
      <x:c r="D114" s="31" t="str">
        <x:v>review</x:v>
      </x:c>
      <x:c r="E114" s="31" t="str">
        <x:v>r0045_smpc</x:v>
      </x:c>
      <x:c r="F114" s="31" t="str">
        <x:v>SMPC</x:v>
      </x:c>
      <x:c r="G114" s="31" t="n">
        <x:v>14</x:v>
      </x:c>
      <x:c r="H114" s="31" t="str">
        <x:v>erythromycin</x:v>
      </x:c>
      <x:c r="I114" s="37" t="str">
        <x:v>1 Ref: Tegretol, MHRA, 21/12/2023 14 Androgens: danazol. Antibiotics: macrolide antibiotics (e.g. erythromycin, clarithromycin), ciprofloxacine. Antidepressants: fluoxetine, fluvoxamine, paroxetine, trazodone. Antiepileptics: vigabatrin. Antifungals: azoles (e.g. itraconazole, ketoconazole, fluconazole, voriconazole). Alternative anti -convulsants may be recommended in patients treated with voriconazole or itraconazole. Antipsychotics: olanzapine. Antituberculosis: isoniazid. Antivirals: protease inhibitors for HIV treatment (e.g. ritonavir). C</x:v>
      </x:c>
      <x:c r="J114" s="37" t="str">
        <x:v>https://drug.fda.moph.go.th/media.php?id=809665211119312896&amp;name=SMPC_Carbamazepine_Tablets.pdf</x:v>
      </x:c>
    </x:row>
    <x:row r="115">
      <x:c r="A115" s="31" t="str">
        <x:v>carbamazepine</x:v>
      </x:c>
      <x:c r="B115" s="31" t="str">
        <x:v>erythromycin</x:v>
      </x:c>
      <x:c r="C115" s="31" t="str">
        <x:v>unclassified</x:v>
      </x:c>
      <x:c r="D115" s="31" t="str">
        <x:v>review</x:v>
      </x:c>
      <x:c r="E115" s="31" t="str">
        <x:v>r0126_smpc</x:v>
      </x:c>
      <x:c r="F115" s="31" t="str">
        <x:v>SMPC</x:v>
      </x:c>
      <x:c r="G115" s="31" t="n">
        <x:v>8</x:v>
      </x:c>
      <x:c r="H115" s="31" t="str">
        <x:v>carbamazepine</x:v>
      </x:c>
      <x:c r="I115" s="37" t="str">
        <x:v>r when symptomatic therapy is discontinued. This medicine contains less than 1mmol sodium (23mg) per tablet, which is to say essentially ‘sodium free’ 4.5. Interaction with other medicinal products and other forms of interaction Increases in serum concentrations of the following drugs metabolised by the cytochrome P450 system may occur when administered concurrently with erythromycin: acenocoumarol, alfentanil, astemizole, bromocriptine, carbamazepine, cilostazol, cyclosporin, dig oxin, dihydroergotamine, disopyramide, ergotamine, hexobarbitone, methylprednisolone, midazolam, omeprazole, phenytoin, quinidine, rifabutin, sildenafil, tacrolimus, terfenadine, domperidone, theophylline, triazolam, valproate, vinblastine, antifungals e.g fluconazole, ketoconazole and itraconazole and warfarin. Appropriate monitoring should be undertaken and dosage should be adjusted as necessary. Particula</x:v>
      </x:c>
      <x:c r="J115" s="37" t="str">
        <x:v>https://drug.fda.moph.go.th/media.php?id=810076416409477120&amp;name=SMPC_Erythromycin_Gastro-resistant tablets.pdf</x:v>
      </x:c>
    </x:row>
    <x:row r="116">
      <x:c r="A116" s="31" t="str">
        <x:v>carbamazepine</x:v>
      </x:c>
      <x:c r="B116" s="31" t="str">
        <x:v>erythromycin</x:v>
      </x:c>
      <x:c r="C116" s="31" t="str">
        <x:v>unclassified</x:v>
      </x:c>
      <x:c r="D116" s="31" t="str">
        <x:v>review</x:v>
      </x:c>
      <x:c r="E116" s="31" t="str">
        <x:v>r0127_smpc</x:v>
      </x:c>
      <x:c r="F116" s="31" t="str">
        <x:v>SMPC</x:v>
      </x:c>
      <x:c r="G116" s="31" t="n">
        <x:v>7</x:v>
      </x:c>
      <x:c r="H116" s="31" t="str">
        <x:v>carbamazepine</x:v>
      </x:c>
      <x:c r="I116" s="37" t="str">
        <x:v>gainst the potential risk of developing IHPS. Parents should be informed to contact their physician if vomiting or irritability with feeding occurs. 4.5. Interaction with other medicinal products and other forms of interaction Increases in serum concentrations of the following drugs metabolised by the cytochrome P450 system may occur : when administered concurrently with erythromycin: acenocoumarol, alfentanil, astemizole, bromocriptine, carbamazepine, cilostazol, cyclosporin, digoxin, dihydroergotamine, disopyramide, ergotamine, hexobarbitone, methylprednisolone, midazolam, omeprazole, phenytoin, quinidine, rifabutin , sildenafil, tacrolimus, terfenadine, domperidone, theophylline, triazolam, valproate, vinblastine, and antifung als e.g fluconazole, ketoconazole and itraconazole. Appropriate monitoring should be undertaken and dosage should be adjusted as necessary. Particular care sh</x:v>
      </x:c>
      <x:c r="J116" s="37" t="str">
        <x:v>https://drug.fda.moph.go.th/media.php?id=810076760694726656&amp;name=SMPC_Erythromycin_film-coated tablets.pdf</x:v>
      </x:c>
    </x:row>
    <x:row r="117">
      <x:c r="A117" s="31" t="str">
        <x:v>carbamazepine</x:v>
      </x:c>
      <x:c r="B117" s="31" t="str">
        <x:v>felodipine</x:v>
      </x:c>
      <x:c r="C117" s="31" t="str">
        <x:v>unclassified</x:v>
      </x:c>
      <x:c r="D117" s="31" t="str">
        <x:v>review</x:v>
      </x:c>
      <x:c r="E117" s="31" t="str">
        <x:v>r0045_smpc</x:v>
      </x:c>
      <x:c r="F117" s="31" t="str">
        <x:v>SMPC</x:v>
      </x:c>
      <x:c r="G117" s="31" t="n">
        <x:v>16</x:v>
      </x:c>
      <x:c r="H117" s="31" t="str">
        <x:v>felodipine</x:v>
      </x:c>
      <x:c r="I117" s="37" t="str">
        <x:v>haloperidol and bromperidol , olanzapine, quetiapine, risperidone, aripiprazole, paliperidone. Antivirals: protease inhibitors for HIV treatment (e.g. indinavir, ritonavir, saquinavir). Anxiolytics: alprazolam. Bronchodilatators or anti-asthma drugs: theophylline. Contraceptives: hormonal contraceptives (alternative contraceptive methods should be considered). Cardiovascular drugs : calcium channel blockers (dihydropyridine group) e.g. felodipine, digoxin, simvastatin, atorvastatin, lovastatin, cerivastatin, ivabradine. Corticosteroids: corticosteroids (e.g. prednisolone, dexamethasone). Drugs used in erectile dysfunction: tadalafil. Immunosuppressants: ciclosporin, everolimus, tacrolimus, sirolimus. Thyroid agents: levothyroxine. Other drug interactions : products containing oestrogens and/or progesterones. Combinations that require specific consideration:</x:v>
      </x:c>
      <x:c r="J117" s="37" t="str">
        <x:v>https://drug.fda.moph.go.th/media.php?id=809665211119312896&amp;name=SMPC_Carbamazepine_Tablets.pdf</x:v>
      </x:c>
    </x:row>
    <x:row r="118">
      <x:c r="A118" s="31" t="str">
        <x:v>carbamazepine</x:v>
      </x:c>
      <x:c r="B118" s="31" t="str">
        <x:v>felodipine</x:v>
      </x:c>
      <x:c r="C118" s="31" t="str">
        <x:v>unclassified</x:v>
      </x:c>
      <x:c r="D118" s="31" t="str">
        <x:v>review</x:v>
      </x:c>
      <x:c r="E118" s="31" t="str">
        <x:v>r0141_smpc</x:v>
      </x:c>
      <x:c r="F118" s="31" t="str">
        <x:v>SMPC</x:v>
      </x:c>
      <x:c r="G118" s="31" t="n">
        <x:v>4</x:v>
      </x:c>
      <x:c r="H118" s="31" t="str">
        <x:v>carbamazepine</x:v>
      </x:c>
      <x:c r="I118" s="37" t="str">
        <x:v>n Concomitant administration of substances which interfere with the cytochrome P450 system may affect plasma concentrations of felodipine. Enzyme inhibitors such as cimetidine, erythromycin, itraconazole, ketoconazole and ritonavir impair the elimination of felodipine, and felodipine dosage may need to be reduced when drugs are given concomitantly. Conversely, powerful enzyme inducing agents such as some anticonvulsants (phenytoin, carbamazepine, phenobarbitone) can increase felodipine elimination and higher than normal felodipine doses may be required in patients taking the drugs. No dosage adjustment is required felodipine are given concomitantly with digoxin. Felodipine does not appear to affect the unbound fraction of other extensively plasma protein bound drugs such as warfarin. Felodipine may increase the concentration of tacrolimus. When used together, the t</x:v>
      </x:c>
      <x:c r="J118" s="37" t="str">
        <x:v>https://drug.fda.moph.go.th/media.php?id=810078823658954752&amp;name=SMPC_Felodipine_prolonged release tablets.pdf</x:v>
      </x:c>
    </x:row>
    <x:row r="119">
      <x:c r="A119" s="31" t="str">
        <x:v>carbamazepine</x:v>
      </x:c>
      <x:c r="B119" s="31" t="str">
        <x:v>fluoxetine</x:v>
      </x:c>
      <x:c r="C119" s="31" t="str">
        <x:v>unclassified</x:v>
      </x:c>
      <x:c r="D119" s="31" t="str">
        <x:v>review</x:v>
      </x:c>
      <x:c r="E119" s="31" t="str">
        <x:v>r0045_smpc</x:v>
      </x:c>
      <x:c r="F119" s="31" t="str">
        <x:v>SMPC</x:v>
      </x:c>
      <x:c r="G119" s="31" t="n">
        <x:v>14</x:v>
      </x:c>
      <x:c r="H119" s="31" t="str">
        <x:v>fluoxetine</x:v>
      </x:c>
      <x:c r="I119" s="37" t="str">
        <x:v>1 Ref: Tegretol, MHRA, 21/12/2023 14 Androgens: danazol. Antibiotics: macrolide antibiotics (e.g. erythromycin, clarithromycin), ciprofloxacine. Antidepressants: fluoxetine, fluvoxamine, paroxetine, trazodone. Antiepileptics: vigabatrin. Antifungals: azoles (e.g. itraconazole, ketoconazole, fluconazole, voriconazole). Alternative anti -convulsants may be recommended in patients treated with voriconazole or itraconazole. Antipsychotics: olanzapine. Antituberculosis: isoniazid. Antivirals: protease inhibitors for HIV treatment (e.g. ritonavir). Carbonic anhydrase inhibitors: acetazolamide. Cardiovascular dru</x:v>
      </x:c>
      <x:c r="J119" s="37" t="str">
        <x:v>https://drug.fda.moph.go.th/media.php?id=809665211119312896&amp;name=SMPC_Carbamazepine_Tablets.pdf</x:v>
      </x:c>
    </x:row>
    <x:row r="120">
      <x:c r="A120" s="31" t="str">
        <x:v>carbamazepine</x:v>
      </x:c>
      <x:c r="B120" s="31" t="str">
        <x:v>fluoxetine</x:v>
      </x:c>
      <x:c r="C120" s="31" t="str">
        <x:v>unclassified</x:v>
      </x:c>
      <x:c r="D120" s="31" t="str">
        <x:v>review</x:v>
      </x:c>
      <x:c r="E120" s="31" t="str">
        <x:v>r0149_smpc</x:v>
      </x:c>
      <x:c r="F120" s="31" t="str">
        <x:v>SMPC</x:v>
      </x:c>
      <x:c r="G120" s="31" t="n">
        <x:v>13</x:v>
      </x:c>
      <x:c r="H120" s="31" t="str">
        <x:v>carbamazepine</x:v>
      </x:c>
      <x:c r="I120" s="37" t="str">
        <x:v>adjustment during the fluoxetine treatment and after its discontinuation may be suitable (see Sections 4.4 and 4.8). Cyproheptadine: There are individual case reports of reduced antidepressant activity of fluoxetine when used in combination with cyproheptadine. Drugs inducing hyponatremia: Hyponatremia is an undesirable effect of fluoxetine. Use in combination with other agents associated with hyponatremia (e.g. diuretics, desmopressin, carbamazepine and oxcarbazepine) may lead to an increased risk. (see section 4.8). Drugs lowering the epileptogenic threshold: Seizures are an undesirable effect of fluoxetine. Use in combination with other agents which may lower the seizure threshold (for example, TCAs, other SSRIs, phenothiazines, butyrophenones, mefloquine, chloroquin e, bupropion, tramadol) may lead to an increased risk. Other drugs metabolised by CYP2D6: Fluoxetine is a strong inh</x:v>
      </x:c>
      <x:c r="J120" s="37" t="str">
        <x:v>https://drug.fda.moph.go.th/media.php?id=810173242932338688&amp;name=SMPC_Fluoxetine_Capsules.pdf</x:v>
      </x:c>
    </x:row>
    <x:row r="121">
      <x:c r="A121" s="31" t="str">
        <x:v>carbamazepine</x:v>
      </x:c>
      <x:c r="B121" s="31" t="str">
        <x:v>furosemide</x:v>
      </x:c>
      <x:c r="C121" s="31" t="str">
        <x:v>unclassified</x:v>
      </x:c>
      <x:c r="D121" s="31" t="str">
        <x:v>review</x:v>
      </x:c>
      <x:c r="E121" s="31" t="str">
        <x:v>r0045_smpc</x:v>
      </x:c>
      <x:c r="F121" s="31" t="str">
        <x:v>SMPC</x:v>
      </x:c>
      <x:c r="G121" s="31" t="n">
        <x:v>17</x:v>
      </x:c>
      <x:c r="H121" s="31" t="str">
        <x:v>furosemide</x:v>
      </x:c>
      <x:c r="I121" s="37" t="str">
        <x:v>isoniazid-induced hepatotoxicity. The combination of lithium and carbamazepine may cause enhanced neurotoxicity in spite of lithium plasma concentrations being within the therapeutic range. Combined use of carbamazepine with metoclopramide or major tranquillisers, e.g. haloperidol, thiorid azine, may also result in an increase in neurological side-effects. Concomitant medication with Carbamazepine and some diuretics (hydrochlorothiazide, furosemide) may lead to symptomatic hyponatraemia. Carbamazepine may antagonise the effects of non -depolarising muscle relaxants (e.g. pancuronium). Their dosage should be raised and patients monitored closely for a more rapid recovery from neuromuscular blockade than expected. Carbamazepine, like other psychoactive drugs, may reduce alcohol tolerance. It is therefore advisable for the patient to abstain from alcohol. Concomitant use of carbamazep</x:v>
      </x:c>
      <x:c r="J121" s="37" t="str">
        <x:v>https://drug.fda.moph.go.th/media.php?id=809665211119312896&amp;name=SMPC_Carbamazepine_Tablets.pdf</x:v>
      </x:c>
    </x:row>
    <x:row r="122">
      <x:c r="A122" s="31" t="str">
        <x:v>carbamazepine</x:v>
      </x:c>
      <x:c r="B122" s="31" t="str">
        <x:v>glucose</x:v>
      </x:c>
      <x:c r="C122" s="31" t="str">
        <x:v>unclassified</x:v>
      </x:c>
      <x:c r="D122" s="31" t="str">
        <x:v>review</x:v>
      </x:c>
      <x:c r="E122" s="31" t="str">
        <x:v>r0163_smpc</x:v>
      </x:c>
      <x:c r="F122" s="31" t="str">
        <x:v>SMPC</x:v>
      </x:c>
      <x:c r="G122" s="31" t="n">
        <x:v>4</x:v>
      </x:c>
      <x:c r="H122" s="31" t="str">
        <x:v>carbamazepine</x:v>
      </x:c>
      <x:c r="I122" s="37" t="str">
        <x:v>medicinal products and other forms of interaction Drugs leading to an increased vasopressin effect. The below listed drugs increase the vasopressin effect, leading to reduced renal electrolyte free water excretion and increase the risk of hospital acquired hyponatraemia following inappropriately balanced treatment with i.v. fluids (see sections 4.2, 4.4 and 4.8). • Drugs stimulating vasopressin release, e.g.: Chlorpropamide, clofibrate, carbamazepine, vincristine, selective serotonin reuptake inhibitors, 3.4 -methylenedioxy-N-methamphetamine, ifosfamide, antipsychotics, narcotics • Drugs potentiating vasopressin action, e.g.: Chlorpropamide, NSAIDs, cyclophosphamide • Vasopressin analogues, e.g.: Desmopressin, oxytocin, vasopressin, terlipressin Other medicinal products increasing the risk of hyponatraemia also include diuretics in general and antiepileptics such as oxcarbazepine. C</x:v>
      </x:c>
      <x:c r="J122" s="37" t="str">
        <x:v>https://drug.fda.moph.go.th/media.php?id=810178343201808384&amp;name=SMPC_Glucose_10_Solution for Infusion.pdf</x:v>
      </x:c>
    </x:row>
    <x:row r="123">
      <x:c r="A123" s="31" t="str">
        <x:v>carbamazepine</x:v>
      </x:c>
      <x:c r="B123" s="31" t="str">
        <x:v>haloperidol</x:v>
      </x:c>
      <x:c r="C123" s="31" t="str">
        <x:v>unclassified</x:v>
      </x:c>
      <x:c r="D123" s="31" t="str">
        <x:v>review</x:v>
      </x:c>
      <x:c r="E123" s="31" t="str">
        <x:v>r0045_smpc</x:v>
      </x:c>
      <x:c r="F123" s="31" t="str">
        <x:v>SMPC</x:v>
      </x:c>
      <x:c r="G123" s="31" t="n">
        <x:v>17</x:v>
      </x:c>
      <x:c r="H123" s="31" t="str">
        <x:v>haloperidol</x:v>
      </x:c>
      <x:c r="I123" s="37" t="str">
        <x:v>f carbamazepine and levetiracetam has been reported to increase carbamazepine-induced toxicity. Concomitant use of carbamazepine and isoniazid has been reported to increase isoniazid-induced hepatotoxicity. The combination of lithium and carbamazepine may cause enhanced neurotoxicity in spite of lithium plasma concentrations being within the therapeutic range. Combined use of carbamazepine with metoclopramide or major tranquillisers, e.g. haloperidol, thiorid azine, may also result in an increase in neurological side-effects. Concomitant medication with Carbamazepine and some diuretics (hydrochlorothiazide, furosemide) may lead to symptomatic hyponatraemia. Carbamazepine may antagonise the effects of non -depolarising muscle relaxants (e.g. pancuronium). Their dosage should be raised and patients monitored closely for a more rapid recovery from neuromuscular blockade than expected.</x:v>
      </x:c>
      <x:c r="J123" s="37" t="str">
        <x:v>https://drug.fda.moph.go.th/media.php?id=809665211119312896&amp;name=SMPC_Carbamazepine_Tablets.pdf</x:v>
      </x:c>
    </x:row>
    <x:row r="124">
      <x:c r="A124" s="31" t="str">
        <x:v>carbamazepine</x:v>
      </x:c>
      <x:c r="B124" s="31" t="str">
        <x:v>haloperidol</x:v>
      </x:c>
      <x:c r="C124" s="31" t="str">
        <x:v>unclassified</x:v>
      </x:c>
      <x:c r="D124" s="31" t="str">
        <x:v>review</x:v>
      </x:c>
      <x:c r="E124" s="31" t="str">
        <x:v>r0172_smpc</x:v>
      </x:c>
      <x:c r="F124" s="31" t="str">
        <x:v>SMPC</x:v>
      </x:c>
      <x:c r="G124" s="31" t="n">
        <x:v>15</x:v>
      </x:c>
      <x:c r="H124" s="31" t="str">
        <x:v>carbamazepine</x:v>
      </x:c>
      <x:c r="I124" s="37" t="str">
        <x:v>1 Ref: HALDOL, MHRA, 03/11/2023 15 Coadministration of haloperidol with potent enzyme inducers of CYP3A4 may gradually decrease the plasma concentrations of haloperidol to such an extent that efficacy may be reduced. Examples include: • Carbamazepine, phenobarbital, phenytoin, rifampicin, St John’s Wort (Hypericum, perforatum). This list is not exhaustive. Enzyme induction may be observed after a few days of treatment. Maximal enzyme induction is generally seen in about 2 weeks and may then be sustained for the same period of time after the cessation of therapy with the medicinal product. During combination treatment with inducers of CYP3A4, it is recommended that patients be monitore</x:v>
      </x:c>
      <x:c r="J124" s="37" t="str">
        <x:v>https://drug.fda.moph.go.th/media.php?id=808571302360260608&amp;name=SmPC - Haloperidol ORAL SOLUTION.pdf</x:v>
      </x:c>
    </x:row>
    <x:row r="125">
      <x:c r="A125" s="31" t="str">
        <x:v>carbamazepine</x:v>
      </x:c>
      <x:c r="B125" s="31" t="str">
        <x:v>hydrochlorothiazide_amiloride</x:v>
      </x:c>
      <x:c r="C125" s="31" t="str">
        <x:v>unclassified</x:v>
      </x:c>
      <x:c r="D125" s="31" t="str">
        <x:v>review</x:v>
      </x:c>
      <x:c r="E125" s="31" t="str">
        <x:v>r0173_smpc</x:v>
      </x:c>
      <x:c r="F125" s="31" t="str">
        <x:v>SMPC</x:v>
      </x:c>
      <x:c r="G125" s="31" t="n">
        <x:v>9</x:v>
      </x:c>
      <x:c r="H125" s="31" t="str">
        <x:v>carbamazepine</x:v>
      </x:c>
      <x:c r="I125" s="37" t="str">
        <x:v>1 Ref:Co-amilozide tablet 5/50, MHRA, 02/07/2020 Co-amilozide tablet 2.5/25,MHRA, 22/12/2020 9 Antiepileptics: Although rare, increased risk of hyponatraemia with concomitant use of carbamazepine and thiazide diuretics such as bendroflumethizide. Antifungals: Increased risk of hypokalaemia with concurrent use of thiazide diuretics and amphotericin. Hydrochlorothiazide may increase the plasma concentration of fluconazole. Antigout agents: Potential for increased toxicity and hypersensitivity/allergic reactions with concomitant use of allopurinol and thiazide diuretics. Antihistamines: Hydrochlorothiazide -induced hypokalaemia may</x:v>
      </x:c>
      <x:c r="J125" s="37" t="str">
        <x:v>https://drug.fda.moph.go.th/media.php?id=810380894354415616&amp;name=SMPC_Amiloride+Hydrochlorothiazide _Tablets.pdf</x:v>
      </x:c>
    </x:row>
    <x:row r="126">
      <x:c r="A126" s="31" t="str">
        <x:v>carbamazepine</x:v>
      </x:c>
      <x:c r="B126" s="31" t="str">
        <x:v>isoniazid</x:v>
      </x:c>
      <x:c r="C126" s="31" t="str">
        <x:v>unclassified</x:v>
      </x:c>
      <x:c r="D126" s="31" t="str">
        <x:v>review</x:v>
      </x:c>
      <x:c r="E126" s="31" t="str">
        <x:v>r0045_smpc</x:v>
      </x:c>
      <x:c r="F126" s="31" t="str">
        <x:v>SMPC</x:v>
      </x:c>
      <x:c r="G126" s="31" t="n">
        <x:v>14</x:v>
      </x:c>
      <x:c r="H126" s="31" t="str">
        <x:v>isoniazid</x:v>
      </x:c>
      <x:c r="I126" s="37" t="str">
        <x:v>023 14 Androgens: danazol. Antibiotics: macrolide antibiotics (e.g. erythromycin, clarithromycin), ciprofloxacine. Antidepressants: fluoxetine, fluvoxamine, paroxetine, trazodone. Antiepileptics: vigabatrin. Antifungals: azoles (e.g. itraconazole, ketoconazole, fluconazole, voriconazole). Alternative anti -convulsants may be recommended in patients treated with voriconazole or itraconazole. Antipsychotics: olanzapine. Antituberculosis: isoniazid. Antivirals: protease inhibitors for HIV treatment (e.g. ritonavir). Carbonic anhydrase inhibitors: acetazolamide. Cardiovascular drugs: diltiazem, verapamil. Gastrointestinal drugs: possibly cimetidine, omeprazole. Other interactions: grapefruit juice, nicotinamide (only in high dosage). Agents that may raise the active metabolite carbamazepine -10,11- epoxide plasma levels: Since raised plasma carbamazepine-10,11-epoxide levels may resu</x:v>
      </x:c>
      <x:c r="J126" s="37" t="str">
        <x:v>https://drug.fda.moph.go.th/media.php?id=809665211119312896&amp;name=SMPC_Carbamazepine_Tablets.pdf</x:v>
      </x:c>
    </x:row>
    <x:row r="127">
      <x:c r="A127" s="31" t="str">
        <x:v>carbamazepine</x:v>
      </x:c>
      <x:c r="B127" s="31" t="str">
        <x:v>isoniazid</x:v>
      </x:c>
      <x:c r="C127" s="31" t="str">
        <x:v>unclassified</x:v>
      </x:c>
      <x:c r="D127" s="31" t="str">
        <x:v>review</x:v>
      </x:c>
      <x:c r="E127" s="31" t="str">
        <x:v>r0045_smpc</x:v>
      </x:c>
      <x:c r="F127" s="31" t="str">
        <x:v>SMPC</x:v>
      </x:c>
      <x:c r="G127" s="31" t="n">
        <x:v>17</x:v>
      </x:c>
      <x:c r="H127" s="31" t="str">
        <x:v>isoniazid</x:v>
      </x:c>
      <x:c r="I127" s="37" t="str">
        <x:v>1 Ref: Tegretol, MHRA, 21/12/2023 17 Concomitant use of carbamazepine and levetiracetam has been reported to increase carbamazepine-induced toxicity. Concomitant use of carbamazepine and isoniazid has been reported to increase isoniazid-induced hepatotoxicity. The combination of lithium and carbamazepine may cause enhanced neurotoxicity in spite of lithium plasma concentrations being within the therapeutic range. Combined use of carbamazepine with metoclopramide or major tranquillisers, e.g. haloperidol, thiorid azine, may also result in an increase in neurological side-effects. Concomitant medication with Carbamazepine and some di</x:v>
      </x:c>
      <x:c r="J127" s="37" t="str">
        <x:v>https://drug.fda.moph.go.th/media.php?id=809665211119312896&amp;name=SMPC_Carbamazepine_Tablets.pdf</x:v>
      </x:c>
    </x:row>
    <x:row r="128">
      <x:c r="A128" s="31" t="str">
        <x:v>carbamazepine</x:v>
      </x:c>
      <x:c r="B128" s="31" t="str">
        <x:v>isoniazid</x:v>
      </x:c>
      <x:c r="C128" s="31" t="str">
        <x:v>unclassified</x:v>
      </x:c>
      <x:c r="D128" s="31" t="str">
        <x:v>review</x:v>
      </x:c>
      <x:c r="E128" s="31" t="str">
        <x:v>r0195_smpc</x:v>
      </x:c>
      <x:c r="F128" s="31" t="str">
        <x:v>SMPC</x:v>
      </x:c>
      <x:c r="G128" s="31" t="n">
        <x:v>4</x:v>
      </x:c>
      <x:c r="H128" s="31" t="str">
        <x:v>carbamazepine</x:v>
      </x:c>
      <x:c r="I128" s="37" t="str">
        <x:v>1 Ref: Isoniazid, MHRA, 13/02/2019 4 Excipient information &lt;REGARDING THE APPROVAL&gt; 4.5. Interaction with other medicinal products and other forms of interaction Isoniazid is known to inhibit certain cytochrome P -450 enzymes and therefore can inhibit the hepatic metabolism of some drugs, in some cases leading to increased toxicity. These include the antiepileptics carbamazepine, ethosuximide, primidone, and phenyto in, the benzodiazepines diazepam and triazolam, chlorzoxazone, theophylline, and disulfiram. Plasma levels of these drugs should be monitored if concurrent therapy with Isoniazid is necessary. Isoniazid may induce abnormalities in liver function; this may be more likely when it is administered together with rifampicin (see section 4.4). The adverse CNS effects of cycloserine are increased by isoniazid.</x:v>
      </x:c>
      <x:c r="J128" s="37" t="str">
        <x:v>https://drug.fda.moph.go.th/media.php?id=810387533576937472&amp;name=SMPC_Isoniazid_Solutions for injections or infusions.pdf</x:v>
      </x:c>
    </x:row>
    <x:row r="129">
      <x:c r="A129" s="31" t="str">
        <x:v>carbamazepine</x:v>
      </x:c>
      <x:c r="B129" s="31" t="str">
        <x:v>itraconazole</x:v>
      </x:c>
      <x:c r="C129" s="31" t="str">
        <x:v>unclassified</x:v>
      </x:c>
      <x:c r="D129" s="31" t="str">
        <x:v>review</x:v>
      </x:c>
      <x:c r="E129" s="31" t="str">
        <x:v>r0045_smpc</x:v>
      </x:c>
      <x:c r="F129" s="31" t="str">
        <x:v>SMPC</x:v>
      </x:c>
      <x:c r="G129" s="31" t="n">
        <x:v>14</x:v>
      </x:c>
      <x:c r="H129" s="31" t="str">
        <x:v>itraconazole</x:v>
      </x:c>
      <x:c r="I129" s="37" t="str">
        <x:v>1 Ref: Tegretol, MHRA, 21/12/2023 14 Androgens: danazol. Antibiotics: macrolide antibiotics (e.g. erythromycin, clarithromycin), ciprofloxacine. Antidepressants: fluoxetine, fluvoxamine, paroxetine, trazodone. Antiepileptics: vigabatrin. Antifungals: azoles (e.g. itraconazole, ketoconazole, fluconazole, voriconazole). Alternative anti -convulsants may be recommended in patients treated with voriconazole or itraconazole. Antipsychotics: olanzapine. Antituberculosis: isoniazid. Antivirals: protease inhibitors for HIV treatment (e.g. ritonavir). Carbonic anhydrase inhibitors: acetazolamide. Cardiovascular drugs: diltiazem, verapamil. Gastrointestinal drugs: possibly cimetidine, omeprazole. Other interactions: g</x:v>
      </x:c>
      <x:c r="J129" s="37" t="str">
        <x:v>https://drug.fda.moph.go.th/media.php?id=809665211119312896&amp;name=SMPC_Carbamazepine_Tablets.pdf</x:v>
      </x:c>
    </x:row>
    <x:row r="130">
      <x:c r="A130" s="31" t="str">
        <x:v>carbamazepine</x:v>
      </x:c>
      <x:c r="B130" s="31" t="str">
        <x:v>itraconazole</x:v>
      </x:c>
      <x:c r="C130" s="31" t="str">
        <x:v>unclassified</x:v>
      </x:c>
      <x:c r="D130" s="31" t="str">
        <x:v>review</x:v>
      </x:c>
      <x:c r="E130" s="31" t="str">
        <x:v>r0201_smpc</x:v>
      </x:c>
      <x:c r="F130" s="31" t="str">
        <x:v>SMPC</x:v>
      </x:c>
      <x:c r="G130" s="31" t="n">
        <x:v>11</x:v>
      </x:c>
      <x:c r="H130" s="31" t="str">
        <x:v>carbamazepine</x:v>
      </x:c>
      <x:c r="I130" s="37" t="str">
        <x:v>1 Ref:Itraconazole 100mg Capsule, hard, MHRA, 06/10/2023 11 Coadministration of itraconazole with potent enzyme inducers of CYP3A4 may decrease the bioavailability of itraconazole and hydroxy- itraconazole to such an extent that efficacy may be largely reduced. Examples include: - Antibacterials: isoniazid, rifabutin (see also under Drugs that may have their plasma concentrations increased by itraconazole), rifampicin. - Anticonvulsants: carbamazepine, (see also under Drugs that may have their plasma concentrations increased by itraconazole), phenobarbital, phenytoin. - Antivirals: efavirenz, nevirapine. Therefore, administration of potent enzyme inducers of CYP3A4 with itraconazole is not recommended. It is recommended that the use of these drugs be avoided from 2 weeks before and during treatment with itraconazole, unless the benefits outweigh the risk of potentially reduced itracon</x:v>
      </x:c>
      <x:c r="J130" s="37" t="str">
        <x:v>https://drug.fda.moph.go.th/media.php?id=810398699489468416&amp;name=SMPC_Itraconazole_Hard capsules.pdf</x:v>
      </x:c>
    </x:row>
    <x:row r="131">
      <x:c r="A131" s="31" t="str">
        <x:v>carbamazepine</x:v>
      </x:c>
      <x:c r="B131" s="31" t="str">
        <x:v>ketoconazole</x:v>
      </x:c>
      <x:c r="C131" s="31" t="str">
        <x:v>unclassified</x:v>
      </x:c>
      <x:c r="D131" s="31" t="str">
        <x:v>review</x:v>
      </x:c>
      <x:c r="E131" s="31" t="str">
        <x:v>r0045_smpc</x:v>
      </x:c>
      <x:c r="F131" s="31" t="str">
        <x:v>SMPC</x:v>
      </x:c>
      <x:c r="G131" s="31" t="n">
        <x:v>14</x:v>
      </x:c>
      <x:c r="H131" s="31" t="str">
        <x:v>ketoconazole</x:v>
      </x:c>
      <x:c r="I131" s="37" t="str">
        <x:v>1 Ref: Tegretol, MHRA, 21/12/2023 14 Androgens: danazol. Antibiotics: macrolide antibiotics (e.g. erythromycin, clarithromycin), ciprofloxacine. Antidepressants: fluoxetine, fluvoxamine, paroxetine, trazodone. Antiepileptics: vigabatrin. Antifungals: azoles (e.g. itraconazole, ketoconazole, fluconazole, voriconazole). Alternative anti -convulsants may be recommended in patients treated with voriconazole or itraconazole. Antipsychotics: olanzapine. Antituberculosis: isoniazid. Antivirals: protease inhibitors for HIV treatment (e.g. ritonavir). Carbonic anhydrase inhibitors: acetazolamide. Cardiovascular drugs: diltiazem, verapamil. Gastrointestinal drugs: possibly cimetidine, omeprazole. Other interactions: grapefruit juic</x:v>
      </x:c>
      <x:c r="J131" s="37" t="str">
        <x:v>https://drug.fda.moph.go.th/media.php?id=809665211119312896&amp;name=SMPC_Carbamazepine_Tablets.pdf</x:v>
      </x:c>
    </x:row>
    <x:row r="132">
      <x:c r="A132" s="31" t="str">
        <x:v>carbamazepine</x:v>
      </x:c>
      <x:c r="B132" s="31" t="str">
        <x:v>levothyroxine</x:v>
      </x:c>
      <x:c r="C132" s="31" t="str">
        <x:v>unclassified</x:v>
      </x:c>
      <x:c r="D132" s="31" t="str">
        <x:v>review</x:v>
      </x:c>
      <x:c r="E132" s="31" t="str">
        <x:v>r0045_smpc</x:v>
      </x:c>
      <x:c r="F132" s="31" t="str">
        <x:v>SMPC</x:v>
      </x:c>
      <x:c r="G132" s="31" t="n">
        <x:v>16</x:v>
      </x:c>
      <x:c r="H132" s="31" t="str">
        <x:v>levothyroxine</x:v>
      </x:c>
      <x:c r="I132" s="37" t="str">
        <x:v>monal contraceptives (alternative contraceptive methods should be considered). Cardiovascular drugs : calcium channel blockers (dihydropyridine group) e.g. felodipine, digoxin, simvastatin, atorvastatin, lovastatin, cerivastatin, ivabradine. Corticosteroids: corticosteroids (e.g. prednisolone, dexamethasone). Drugs used in erectile dysfunction: tadalafil. Immunosuppressants: ciclosporin, everolimus, tacrolimus, sirolimus. Thyroid agents: levothyroxine. Other drug interactions : products containing oestrogens and/or progesterones. Combinations that require specific consideration:</x:v>
      </x:c>
      <x:c r="J132" s="37" t="str">
        <x:v>https://drug.fda.moph.go.th/media.php?id=809665211119312896&amp;name=SMPC_Carbamazepine_Tablets.pdf</x:v>
      </x:c>
    </x:row>
    <x:row r="133">
      <x:c r="A133" s="31" t="str">
        <x:v>carbamazepine</x:v>
      </x:c>
      <x:c r="B133" s="31" t="str">
        <x:v>lithium</x:v>
      </x:c>
      <x:c r="C133" s="31" t="str">
        <x:v>unclassified</x:v>
      </x:c>
      <x:c r="D133" s="31" t="str">
        <x:v>review</x:v>
      </x:c>
      <x:c r="E133" s="31" t="str">
        <x:v>r0045_smpc</x:v>
      </x:c>
      <x:c r="F133" s="31" t="str">
        <x:v>SMPC</x:v>
      </x:c>
      <x:c r="G133" s="31" t="n">
        <x:v>17</x:v>
      </x:c>
      <x:c r="H133" s="31" t="str">
        <x:v>lithium</x:v>
      </x:c>
      <x:c r="I133" s="37" t="str">
        <x:v>1 Ref: Tegretol, MHRA, 21/12/2023 17 Concomitant use of carbamazepine and levetiracetam has been reported to increase carbamazepine-induced toxicity. Concomitant use of carbamazepine and isoniazid has been reported to increase isoniazid-induced hepatotoxicity. The combination of lithium and carbamazepine may cause enhanced neurotoxicity in spite of lithium plasma concentrations being within the therapeutic range. Combined use of carbamazepine with metoclopramide or major tranquillisers, e.g. haloperidol, thiorid azine, may also result in an increase in neurological side-effects. Concomitant medication with Carbamazepine and some diuretics (hydrochlorothiazide, furosemide) may lead to symptomatic hyponatraemia. Carbamaze</x:v>
      </x:c>
      <x:c r="J133" s="37" t="str">
        <x:v>https://drug.fda.moph.go.th/media.php?id=809665211119312896&amp;name=SMPC_Carbamazepine_Tablets.pdf</x:v>
      </x:c>
    </x:row>
    <x:row r="134">
      <x:c r="A134" s="31" t="str">
        <x:v>carbamazepine</x:v>
      </x:c>
      <x:c r="B134" s="31" t="str">
        <x:v>metoclopramide</x:v>
      </x:c>
      <x:c r="C134" s="31" t="str">
        <x:v>unclassified</x:v>
      </x:c>
      <x:c r="D134" s="31" t="str">
        <x:v>review</x:v>
      </x:c>
      <x:c r="E134" s="31" t="str">
        <x:v>r0045_smpc</x:v>
      </x:c>
      <x:c r="F134" s="31" t="str">
        <x:v>SMPC</x:v>
      </x:c>
      <x:c r="G134" s="31" t="n">
        <x:v>17</x:v>
      </x:c>
      <x:c r="H134" s="31" t="str">
        <x:v>metoclopramide</x:v>
      </x:c>
      <x:c r="I134" s="37" t="str">
        <x:v>retol, MHRA, 21/12/2023 17 Concomitant use of carbamazepine and levetiracetam has been reported to increase carbamazepine-induced toxicity. Concomitant use of carbamazepine and isoniazid has been reported to increase isoniazid-induced hepatotoxicity. The combination of lithium and carbamazepine may cause enhanced neurotoxicity in spite of lithium plasma concentrations being within the therapeutic range. Combined use of carbamazepine with metoclopramide or major tranquillisers, e.g. haloperidol, thiorid azine, may also result in an increase in neurological side-effects. Concomitant medication with Carbamazepine and some diuretics (hydrochlorothiazide, furosemide) may lead to symptomatic hyponatraemia. Carbamazepine may antagonise the effects of non -depolarising muscle relaxants (e.g. pancuronium). Their dosage should be raised and patients monitored closely for a more rapid recovery fro</x:v>
      </x:c>
      <x:c r="J134" s="37" t="str">
        <x:v>https://drug.fda.moph.go.th/media.php?id=809665211119312896&amp;name=SMPC_Carbamazepine_Tablets.pdf</x:v>
      </x:c>
    </x:row>
    <x:row r="135">
      <x:c r="A135" s="31" t="str">
        <x:v>carbamazepine</x:v>
      </x:c>
      <x:c r="B135" s="31" t="str">
        <x:v>metronidazole</x:v>
      </x:c>
      <x:c r="C135" s="31" t="str">
        <x:v>unclassified</x:v>
      </x:c>
      <x:c r="D135" s="31" t="str">
        <x:v>review</x:v>
      </x:c>
      <x:c r="E135" s="31" t="str">
        <x:v>r0240_smpc</x:v>
      </x:c>
      <x:c r="F135" s="31" t="str">
        <x:v>SMPC</x:v>
      </x:c>
      <x:c r="G135" s="31" t="n">
        <x:v>9</x:v>
      </x:c>
      <x:c r="H135" s="31" t="str">
        <x:v>carbamazepine</x:v>
      </x:c>
      <x:c r="I135" s="37" t="str">
        <x:v>n or phenobarbital, may accelerate the elimination of metronidazole and therefore decrease its efficacy. Cimetidine: concomitant administration of drugs that decrease microsomal liver enzyme activity, such as cimetidine, may cause decreased metabolism and reduced plasma clearance of metronidazole which may result in metronidazole toxicity. Concomitant use of metronidazole and CYP3A4 substrates (e.g., amiodarone, tacrolimus, cyclosporine, carbamazepine, and quinidine) may increase respective CYP3A4 -substrate plasma levels. Monitoring of plasma concentrations of CYP3A4 substrates may be necessary. Busulfan: Plasma concentrations of busulfan may increase during concomitant treatment with metronidazole, which can result in serious busulfan toxicity such as sinusoidal obstruction syndrome, gastrointestinal mucositis, and hepatic veno-occlusive disease. Laboratory tests:</x:v>
      </x:c>
      <x:c r="J135" s="37" t="str">
        <x:v>https://drug.fda.moph.go.th/media.php?id=810416973254107136&amp;name=SMPC_Metronidazole_Solutions for injections or infusions.pdf</x:v>
      </x:c>
    </x:row>
    <x:row r="136">
      <x:c r="A136" s="31" t="str">
        <x:v>carbamazepine</x:v>
      </x:c>
      <x:c r="B136" s="31" t="str">
        <x:v>mianserin</x:v>
      </x:c>
      <x:c r="C136" s="31" t="str">
        <x:v>unclassified</x:v>
      </x:c>
      <x:c r="D136" s="31" t="str">
        <x:v>review</x:v>
      </x:c>
      <x:c r="E136" s="31" t="str">
        <x:v>r0045_smpc</x:v>
      </x:c>
      <x:c r="F136" s="31" t="str">
        <x:v>SMPC</x:v>
      </x:c>
      <x:c r="G136" s="31" t="n">
        <x:v>15</x:v>
      </x:c>
      <x:c r="H136" s="31" t="str">
        <x:v>mianserin</x:v>
      </x:c>
      <x:c r="I136" s="37" t="str">
        <x:v>have to be adjusted to clinical requirement: Analgesics, anti -inflammatory agents : buprenorphine, methadone, paracetamol (long term administration of carbamazepine and paracetamol (acetaminophen) may be associated with hepatotoxicity), tramadol. Antibiotics: doxycycline, rifabutin. Anticoagulants: oral anticoagulants (e.g. warfarin, acenocoumarol, rivaroxaban, dabigatran, apixaban and edoxaban). Antidepressants: bupropion, citalopram, mianserin, sertraline, trazodone, tricyclic antidepressants (e.g. imipramine, amitriptyline, nortriptyline, clomipramine). Antiemetics: aprepitant Antiepileptics: clobazam, clonazepam, ethosuximide, lamotrigine, eslicarbazepine, oxcarbazepine, primidone, tiagabine, topiramate, valproic acid, zonisamide. To avoid phenytoin intoxication and</x:v>
      </x:c>
      <x:c r="J136" s="37" t="str">
        <x:v>https://drug.fda.moph.go.th/media.php?id=809665211119312896&amp;name=SMPC_Carbamazepine_Tablets.pdf</x:v>
      </x:c>
    </x:row>
    <x:row r="137">
      <x:c r="A137" s="31" t="str">
        <x:v>carbamazepine</x:v>
      </x:c>
      <x:c r="B137" s="31" t="str">
        <x:v>mianserin</x:v>
      </x:c>
      <x:c r="C137" s="31" t="str">
        <x:v>unclassified</x:v>
      </x:c>
      <x:c r="D137" s="31" t="str">
        <x:v>review</x:v>
      </x:c>
      <x:c r="E137" s="31" t="str">
        <x:v>r0241_smpc</x:v>
      </x:c>
      <x:c r="F137" s="31" t="str">
        <x:v>SMPC</x:v>
      </x:c>
      <x:c r="G137" s="31" t="n">
        <x:v>6</x:v>
      </x:c>
      <x:c r="H137" s="31" t="str">
        <x:v>carbamazepine</x:v>
      </x:c>
      <x:c r="I137" s="37" t="str">
        <x:v>1 Ref: Mianserin, MHRA, 25/10/2022 6 Phenytoin plasma levels should be monitored in patients treated concurrently with mianserin. Carbamazepine and phenobarbital accelerate the metabolism of mianserin and can cause reduced plasma concentration. Mianserin may antagonise the anticonvulsant effect of antiepileptics, barbiturates and primidone by lowering the convulsive threshold (see section 4.4). Caution is advised in patients with epilepsy and other predisposing factors such as brain damage, conco mitant use of neuroleptics, withdrawal from alcohol. There may be increased risk of</x:v>
      </x:c>
      <x:c r="J137" s="37" t="str">
        <x:v>https://drug.fda.moph.go.th/media.php?id=810417450431684608&amp;name=SMPC_Mianserin_Tablets.pdf</x:v>
      </x:c>
    </x:row>
    <x:row r="138">
      <x:c r="A138" s="31" t="str">
        <x:v>carbamazepine</x:v>
      </x:c>
      <x:c r="B138" s="31" t="str">
        <x:v>nortriptyline</x:v>
      </x:c>
      <x:c r="C138" s="31" t="str">
        <x:v>unclassified</x:v>
      </x:c>
      <x:c r="D138" s="31" t="str">
        <x:v>review</x:v>
      </x:c>
      <x:c r="E138" s="31" t="str">
        <x:v>r0257_smpc</x:v>
      </x:c>
      <x:c r="F138" s="31" t="str">
        <x:v>SMPC</x:v>
      </x:c>
      <x:c r="G138" s="31" t="n">
        <x:v>10</x:v>
      </x:c>
      <x:c r="H138" s="31" t="str">
        <x:v>carbamazepine</x:v>
      </x:c>
      <x:c r="I138" s="37" t="str">
        <x:v>date and calcium -channel blockers (e.g. diltiazem and verapamil) may increase plasma levels of tricyclic antidepressants and accompanying toxicity. Tricyclic antidepressants and neuroleptics mutually inhibit the metabolism of each other; this may lead to a lowered convulsion threshold, and seizures. It may be necessary to adjust the dosage of these drugs. Cytochrome P450 inducers Oral contraceptives, rifampicin, phenytoin, barbiturates, carbamazepine and St. John’s Wort (Hypericum perforatum) may increase the metabolism of tricyclic antidepressants and result in lowered plasma levels of tricyclic antidepressants and reduced antidepressant response. In the presence of ethanol nortriptyline plasma concentrations were increased. The CYP3A4 and CYP1A2 isozymes metabolise nortriptyline to a lesser extent. However, fluvoxamine (strong CYP1A2 inhibitor) was shown to increase nortriptyline p</x:v>
      </x:c>
      <x:c r="J138" s="37" t="str">
        <x:v>https://drug.fda.moph.go.th/media.php?id=810424052261986304&amp;name=SMPC_Nortriptyline_Film-coated Tablet.pdf</x:v>
      </x:c>
    </x:row>
    <x:row r="139">
      <x:c r="A139" s="31" t="str">
        <x:v>carbamazepine</x:v>
      </x:c>
      <x:c r="B139" s="31" t="str">
        <x:v>omeprazole</x:v>
      </x:c>
      <x:c r="C139" s="31" t="str">
        <x:v>unclassified</x:v>
      </x:c>
      <x:c r="D139" s="31" t="str">
        <x:v>review</x:v>
      </x:c>
      <x:c r="E139" s="31" t="str">
        <x:v>r0045_smpc</x:v>
      </x:c>
      <x:c r="F139" s="31" t="str">
        <x:v>SMPC</x:v>
      </x:c>
      <x:c r="G139" s="31" t="n">
        <x:v>14</x:v>
      </x:c>
      <x:c r="H139" s="31" t="str">
        <x:v>omeprazole</x:v>
      </x:c>
      <x:c r="I139" s="37" t="str">
        <x:v>fungals: azoles (e.g. itraconazole, ketoconazole, fluconazole, voriconazole). Alternative anti -convulsants may be recommended in patients treated with voriconazole or itraconazole. Antipsychotics: olanzapine. Antituberculosis: isoniazid. Antivirals: protease inhibitors for HIV treatment (e.g. ritonavir). Carbonic anhydrase inhibitors: acetazolamide. Cardiovascular drugs: diltiazem, verapamil. Gastrointestinal drugs: possibly cimetidine, omeprazole. Other interactions: grapefruit juice, nicotinamide (only in high dosage). Agents that may raise the active metabolite carbamazepine -10,11- epoxide plasma levels: Since raised plasma carbamazepine-10,11-epoxide levels may result in adverse reactions (e.g. dizziness, drowsiness, ataxia, diplopia), the dosage of Carbamazepine should be adjusted accordingly and/or the plasma levels monitored when used concomitantly with the substances descr</x:v>
      </x:c>
      <x:c r="J139" s="37" t="str">
        <x:v>https://drug.fda.moph.go.th/media.php?id=809665211119312896&amp;name=SMPC_Carbamazepine_Tablets.pdf</x:v>
      </x:c>
    </x:row>
    <x:row r="140">
      <x:c r="A140" s="31" t="str">
        <x:v>carbamazepine</x:v>
      </x:c>
      <x:c r="B140" s="31" t="str">
        <x:v>paracetamol</x:v>
      </x:c>
      <x:c r="C140" s="31" t="str">
        <x:v>unclassified</x:v>
      </x:c>
      <x:c r="D140" s="31" t="str">
        <x:v>review</x:v>
      </x:c>
      <x:c r="E140" s="31" t="str">
        <x:v>r0045_smpc</x:v>
      </x:c>
      <x:c r="F140" s="31" t="str">
        <x:v>SMPC</x:v>
      </x:c>
      <x:c r="G140" s="31" t="n">
        <x:v>15</x:v>
      </x:c>
      <x:c r="H140" s="31" t="str">
        <x:v>paracetamol</x:v>
      </x:c>
      <x:c r="I140" s="37" t="str">
        <x:v>e. Dermatological drugs: isotretinoin. Other interactions : herbal preparations containing St John's wort (Hypericum perforatum). Effect of Carbamazepine on plasma levels of concomitant agents: Carbamazepine may lower the plasma level, diminish or even abolish the activity of certain drugs. The dosage of the following drugs may have to be adjusted to clinical requirement: Analgesics, anti -inflammatory agents : buprenorphine, methadone, paracetamol (long term administration of carbamazepine and paracetamol (acetaminophen) may be associated with hepatotoxicity), tramadol. Antibiotics: doxycycline, rifabutin. Anticoagulants: oral anticoagulants (e.g. warfarin, acenocoumarol, rivaroxaban, dabigatran, apixaban and edoxaban). Antidepressants: bupropion, citalopram, mianserin, sertraline, trazodone, tricyclic antidepressants (e.g. imipramine, amitriptyline, nortriptyline, clomipramine).</x:v>
      </x:c>
      <x:c r="J140" s="37" t="str">
        <x:v>https://drug.fda.moph.go.th/media.php?id=809665211119312896&amp;name=SMPC_Carbamazepine_Tablets.pdf</x:v>
      </x:c>
    </x:row>
    <x:row r="141">
      <x:c r="A141" s="31" t="str">
        <x:v>carbamazepine</x:v>
      </x:c>
      <x:c r="B141" s="31" t="str">
        <x:v>paracetamol</x:v>
      </x:c>
      <x:c r="C141" s="31" t="str">
        <x:v>unclassified</x:v>
      </x:c>
      <x:c r="D141" s="31" t="str">
        <x:v>review</x:v>
      </x:c>
      <x:c r="E141" s="31" t="str">
        <x:v>r0266_smpc</x:v>
      </x:c>
      <x:c r="F141" s="31" t="str">
        <x:v>SMPC</x:v>
      </x:c>
      <x:c r="G141" s="31" t="n">
        <x:v>9</x:v>
      </x:c>
      <x:c r="H141" s="31" t="str">
        <x:v>carbamazepine</x:v>
      </x:c>
      <x:c r="I141" s="37" t="str">
        <x:v>1 Ref: Tylenol, The Drug and Health Product Register Canada, 15/06/2021 9 paracetamol is metabolized primarily via CYP2E1. It is not known whether there is increased risk from an paracetamol overdose in patients on chronic carbamazepine therapy. Diflunisal: Professional literature from the manufacturer of diflunisal cautions that concomitant administration with paracetamol produces an approximate 50% increase in plasma levels of paracetamol in normal volunteers. Paracetamol had no effect on diflunisal plasma levels. The clinical significance of these findings has not been established. However, caution should be used with concomitant administration of diflunisal and parac</x:v>
      </x:c>
      <x:c r="J141" s="37" t="str">
        <x:v>https://drug.fda.moph.go.th/media.php?id=810427720377966592&amp;name=SMPC_Paracetamol_Capsules.pdf</x:v>
      </x:c>
    </x:row>
    <x:row r="142">
      <x:c r="A142" s="31" t="str">
        <x:v>carbamazepine</x:v>
      </x:c>
      <x:c r="B142" s="31" t="str">
        <x:v>paracetamol</x:v>
      </x:c>
      <x:c r="C142" s="31" t="str">
        <x:v>unclassified</x:v>
      </x:c>
      <x:c r="D142" s="31" t="str">
        <x:v>review</x:v>
      </x:c>
      <x:c r="E142" s="31" t="str">
        <x:v>r0267_smpc</x:v>
      </x:c>
      <x:c r="F142" s="31" t="str">
        <x:v>SMPC</x:v>
      </x:c>
      <x:c r="G142" s="31" t="n">
        <x:v>9</x:v>
      </x:c>
      <x:c r="H142" s="31" t="str">
        <x:v>carbamazepine</x:v>
      </x:c>
      <x:c r="I142" s="37" t="str">
        <x:v>1 Ref: Tylenol, The Drug and Health Product Register Canada, 15/06/2021 9 paracetamol is metabolized primarily via CYP2E1. It is not known whether there is increased risk from an paracetamol overdose in patients on chronic carbamazepine therapy. Diflunisal: Professional literature from the manufacturer of diflunisal cautions that concomitant administration with paracetamol produces an approximate 50% increase in plasma levels of paracetamol in normal volunteers. Paracetamol had no effect on diflunisal plasma levels. The clinical significance of these findings has not been established. However, caution should be used with concomitant administration of diflunisal and parac</x:v>
      </x:c>
      <x:c r="J142" s="37" t="str">
        <x:v>https://drug.fda.moph.go.th/media.php?id=810428236826812416&amp;name=SMPC_Paracetamol_Elixir.pdf</x:v>
      </x:c>
    </x:row>
    <x:row r="143">
      <x:c r="A143" s="31" t="str">
        <x:v>carbamazepine</x:v>
      </x:c>
      <x:c r="B143" s="31" t="str">
        <x:v>paracetamol</x:v>
      </x:c>
      <x:c r="C143" s="31" t="str">
        <x:v>unclassified</x:v>
      </x:c>
      <x:c r="D143" s="31" t="str">
        <x:v>review</x:v>
      </x:c>
      <x:c r="E143" s="31" t="str">
        <x:v>r0268_smpc</x:v>
      </x:c>
      <x:c r="F143" s="31" t="str">
        <x:v>SMPC</x:v>
      </x:c>
      <x:c r="G143" s="31" t="n">
        <x:v>11</x:v>
      </x:c>
      <x:c r="H143" s="31" t="str">
        <x:v>carbamazepine</x:v>
      </x:c>
      <x:c r="I143" s="37" t="str">
        <x:v>pathway, whereas glutathione -derived metabolites are not increased in patients on chron ic phenytoin therapy. Additionally, recent data demonstrate that phenytoin is metabolized primarily by CYP2C9 and CYP2C19 67, whereas paracetamol is primarily metabolized by CYP2E168. These data ind icate that there is no increased risk of paracetamol hepatotoxicity in patients on chronic hydantoin therapy who use the recommended dose of paracetamol. Carbamazepine: At usual oral therapeutic doses of paracetamol and carbamazepine, no special dosage adjustment is generally required. Carbamazepine is primarily metabolized by CYP3A4, whereas paracetamol is metabolized primarily via CYP2E1. It is not known whether there is increased risk from an paracetamol overdose in patients on chronic carbamazepine therapy. Diflunisal: Professional literature from the manufacturer of diflunisal cautions that concomi</x:v>
      </x:c>
      <x:c r="J143" s="37" t="str">
        <x:v>https://drug.fda.moph.go.th/media.php?id=810428697118121984&amp;name=SMPC_Paracetamol_Solutions for injections or infusions.pdf</x:v>
      </x:c>
    </x:row>
    <x:row r="144">
      <x:c r="A144" s="31" t="str">
        <x:v>carbamazepine</x:v>
      </x:c>
      <x:c r="B144" s="31" t="str">
        <x:v>paracetamol</x:v>
      </x:c>
      <x:c r="C144" s="31" t="str">
        <x:v>unclassified</x:v>
      </x:c>
      <x:c r="D144" s="31" t="str">
        <x:v>review</x:v>
      </x:c>
      <x:c r="E144" s="31" t="str">
        <x:v>r0269_smpc</x:v>
      </x:c>
      <x:c r="F144" s="31" t="str">
        <x:v>SMPC</x:v>
      </x:c>
      <x:c r="G144" s="31" t="n">
        <x:v>9</x:v>
      </x:c>
      <x:c r="H144" s="31" t="str">
        <x:v>carbamazepine</x:v>
      </x:c>
      <x:c r="I144" s="37" t="str">
        <x:v>1 Ref: Tylenol, The Drug and Health Product Register Canada, 15/06/2021 9 paracetamol is metabolized primarily via CYP2E1. It is not known whether there is increased risk from an paracetamol overdose in patients on chronic carbamazepine therapy. Diflunisal: Professional literature from the manufacturer of diflunisal cautions that concomitant administration with paracetamol produces an approximate 50% increase in plasma levels of paracetamol in normal volunteers. Paracetamol had no effect on diflunisal plasma levels. The clinical significance of these findings has not been established. However, caution should be used with concomitant administration of diflunisal and parac</x:v>
      </x:c>
      <x:c r="J144" s="37" t="str">
        <x:v>https://drug.fda.moph.go.th/media.php?id=810429112165474304&amp;name=SMPC_Paracetamol_Syrup.pdf</x:v>
      </x:c>
    </x:row>
    <x:row r="145">
      <x:c r="A145" s="31" t="str">
        <x:v>carbamazepine</x:v>
      </x:c>
      <x:c r="B145" s="31" t="str">
        <x:v>paracetamol</x:v>
      </x:c>
      <x:c r="C145" s="31" t="str">
        <x:v>unclassified</x:v>
      </x:c>
      <x:c r="D145" s="31" t="str">
        <x:v>review</x:v>
      </x:c>
      <x:c r="E145" s="31" t="str">
        <x:v>r0273_smpc</x:v>
      </x:c>
      <x:c r="F145" s="31" t="str">
        <x:v>SMPC</x:v>
      </x:c>
      <x:c r="G145" s="31" t="n">
        <x:v>9</x:v>
      </x:c>
      <x:c r="H145" s="31" t="str">
        <x:v>carbamazepine</x:v>
      </x:c>
      <x:c r="I145" s="37" t="str">
        <x:v>1 Ref: Tylenol, The Drug and Health Product Register Canada, 15/06/2021 9 paracetamol is metabolized primarily via CYP2E1. It is not known whether there is increased risk from an paracetamol overdose in patients on chronic carbamazepine therapy. Diflunisal: Professional literature from the manufacturer of diflunisal cautions that concomitant administration with paracetamol produces an approximate 50% increase in plasma levels of paracetamol in normal volunteers. Paracetamol had no effect on diflunisal plasma levels. The clinical significance of these findings has not been established. However, caution should be used with concomitant administration of diflunisal and parac</x:v>
      </x:c>
      <x:c r="J145" s="37" t="str">
        <x:v>https://drug.fda.moph.go.th/media.php?id=810429959502962688&amp;name=SMPC_Paracetamol_suspension.pdf</x:v>
      </x:c>
    </x:row>
    <x:row r="146">
      <x:c r="A146" s="31" t="str">
        <x:v>carbamazepine</x:v>
      </x:c>
      <x:c r="B146" s="31" t="str">
        <x:v>paracetamol</x:v>
      </x:c>
      <x:c r="C146" s="31" t="str">
        <x:v>unclassified</x:v>
      </x:c>
      <x:c r="D146" s="31" t="str">
        <x:v>review</x:v>
      </x:c>
      <x:c r="E146" s="31" t="str">
        <x:v>r0274_smpc</x:v>
      </x:c>
      <x:c r="F146" s="31" t="str">
        <x:v>SMPC</x:v>
      </x:c>
      <x:c r="G146" s="31" t="n">
        <x:v>9</x:v>
      </x:c>
      <x:c r="H146" s="31" t="str">
        <x:v>carbamazepine</x:v>
      </x:c>
      <x:c r="I146" s="37" t="str">
        <x:v>1 Ref: Tylenol, The Drug and Health Product Register Canada, 15/06/2021 9 paracetamol is metabolized primarily via CYP2E1. It is not known whether there is increased risk from an paracetamol overdose in patients on chronic carbamazepine therapy. Diflunisal: Professional literature from the manufacturer of diflunisal cautions that concomitant administration with paracetamol produces an approximate 50% increase in plasma levels of paracetamol in normal volunteers. Paracetamol had no effect on diflunisal plasma levels. The clinical significance of these findings has not been established. However, caution should be used with concomitant administration of diflunisal and parac</x:v>
      </x:c>
      <x:c r="J146" s="37" t="str">
        <x:v>https://drug.fda.moph.go.th/media.php?id=810430466103582720&amp;name=SMPC_Paracetamol_Tablet.pdf</x:v>
      </x:c>
    </x:row>
    <x:row r="147">
      <x:c r="A147" s="31" t="str">
        <x:v>carbamazepine</x:v>
      </x:c>
      <x:c r="B147" s="31" t="str">
        <x:v>perphenazine</x:v>
      </x:c>
      <x:c r="C147" s="31" t="str">
        <x:v>unclassified</x:v>
      </x:c>
      <x:c r="D147" s="31" t="str">
        <x:v>review</x:v>
      </x:c>
      <x:c r="E147" s="31" t="str">
        <x:v>r0045_smpc</x:v>
      </x:c>
      <x:c r="F147" s="31" t="str">
        <x:v>SMPC</x:v>
      </x:c>
      <x:c r="G147" s="31" t="n">
        <x:v>17</x:v>
      </x:c>
      <x:c r="H147" s="31" t="str">
        <x:v>perphenazine</x:v>
      </x:c>
      <x:c r="I147" s="37" t="str">
        <x:v>. Concomitant use of carbamazepine with direct acting oral anti - coagulants (rivaroxaban, dabigatran, apixaban and edoxaban) may lead to reduced plasma concentrations of direct acting oral anti -coagulants, which carries the risk of thrombosis. Therefore, if a concomitant use is necessary, closer monitoring of signs and symptoms of thrombosis is recommended. Interference with serological testing Carbamazepine may result in false positive perphenazine concentrations in HPLC analysis due to interference. Carbamazepine and the 10,11 -epoxide metabolite may result in false positive tricyclic antidepressant concentration in fluorescence polarized immunoassay method. 4.6. Fertility, pregnancy and lactation Pregnancy</x:v>
      </x:c>
      <x:c r="J147" s="37" t="str">
        <x:v>https://drug.fda.moph.go.th/media.php?id=809665211119312896&amp;name=SMPC_Carbamazepine_Tablets.pdf</x:v>
      </x:c>
    </x:row>
    <x:row r="148">
      <x:c r="A148" s="31" t="str">
        <x:v>carbamazepine</x:v>
      </x:c>
      <x:c r="B148" s="31" t="str">
        <x:v>prednisolone</x:v>
      </x:c>
      <x:c r="C148" s="31" t="str">
        <x:v>unclassified</x:v>
      </x:c>
      <x:c r="D148" s="31" t="str">
        <x:v>review</x:v>
      </x:c>
      <x:c r="E148" s="31" t="str">
        <x:v>r0045_smpc</x:v>
      </x:c>
      <x:c r="F148" s="31" t="str">
        <x:v>SMPC</x:v>
      </x:c>
      <x:c r="G148" s="31" t="n">
        <x:v>16</x:v>
      </x:c>
      <x:c r="H148" s="31" t="str">
        <x:v>prednisolone</x:v>
      </x:c>
      <x:c r="I148" s="37" t="str">
        <x:v>rs for HIV treatment (e.g. indinavir, ritonavir, saquinavir). Anxiolytics: alprazolam. Bronchodilatators or anti-asthma drugs: theophylline. Contraceptives: hormonal contraceptives (alternative contraceptive methods should be considered). Cardiovascular drugs : calcium channel blockers (dihydropyridine group) e.g. felodipine, digoxin, simvastatin, atorvastatin, lovastatin, cerivastatin, ivabradine. Corticosteroids: corticosteroids (e.g. prednisolone, dexamethasone). Drugs used in erectile dysfunction: tadalafil. Immunosuppressants: ciclosporin, everolimus, tacrolimus, sirolimus. Thyroid agents: levothyroxine. Other drug interactions : products containing oestrogens and/or progesterones. Combinations that require specific consideration:</x:v>
      </x:c>
      <x:c r="J148" s="37" t="str">
        <x:v>https://drug.fda.moph.go.th/media.php?id=809665211119312896&amp;name=SMPC_Carbamazepine_Tablets.pdf</x:v>
      </x:c>
    </x:row>
    <x:row r="149">
      <x:c r="A149" s="31" t="str">
        <x:v>carbamazepine</x:v>
      </x:c>
      <x:c r="B149" s="31" t="str">
        <x:v>rifampicin</x:v>
      </x:c>
      <x:c r="C149" s="31" t="str">
        <x:v>unclassified</x:v>
      </x:c>
      <x:c r="D149" s="31" t="str">
        <x:v>review</x:v>
      </x:c>
      <x:c r="E149" s="31" t="str">
        <x:v>r0045_smpc</x:v>
      </x:c>
      <x:c r="F149" s="31" t="str">
        <x:v>SMPC</x:v>
      </x:c>
      <x:c r="G149" s="31" t="n">
        <x:v>15</x:v>
      </x:c>
      <x:c r="H149" s="31" t="str">
        <x:v>rifampicin</x:v>
      </x:c>
      <x:c r="I149" s="37" t="str">
        <x:v>15 Antiepileptics: oxcarbazepine, phenobarbital, phenytoin (to avoid phenytoin intoxication and subtherapeutic concentrations of carbamazepine it is recommended to adjust the plasma concentration of phenytoin to 13 micrograms /mL before adding carbamazepine to the treatment) and fosphenytoin, primidone, and, although the data are partly contradictory, possibly also clonazepam. Antineoplastics: cisplatin or doxorubicin. Antituberculosis: rifampicin. Bronchodilatators or anti-asthma drugs: theophylline, aminophylline. Dermatological drugs: isotretinoin. Other interactions : herbal preparations containing St John's wort (Hypericum perforatum). Effect of Carbamazepine on plasma levels of concomitant agents: Carbamazepine may lower the plasma level, diminish or even abolish the activity of certain drugs. The dosage of the following drugs may have to be adjusted to clinical requirement:</x:v>
      </x:c>
      <x:c r="J149" s="37" t="str">
        <x:v>https://drug.fda.moph.go.th/media.php?id=809665211119312896&amp;name=SMPC_Carbamazepine_Tablets.pdf</x:v>
      </x:c>
    </x:row>
    <x:row r="150">
      <x:c r="A150" s="31" t="str">
        <x:v>carbamazepine</x:v>
      </x:c>
      <x:c r="B150" s="31" t="str">
        <x:v>simvastatin</x:v>
      </x:c>
      <x:c r="C150" s="31" t="str">
        <x:v>unclassified</x:v>
      </x:c>
      <x:c r="D150" s="31" t="str">
        <x:v>review</x:v>
      </x:c>
      <x:c r="E150" s="31" t="str">
        <x:v>r0045_smpc</x:v>
      </x:c>
      <x:c r="F150" s="31" t="str">
        <x:v>SMPC</x:v>
      </x:c>
      <x:c r="G150" s="31" t="n">
        <x:v>16</x:v>
      </x:c>
      <x:c r="H150" s="31" t="str">
        <x:v>simvastatin</x:v>
      </x:c>
      <x:c r="I150" s="37" t="str">
        <x:v>peridol , olanzapine, quetiapine, risperidone, aripiprazole, paliperidone. Antivirals: protease inhibitors for HIV treatment (e.g. indinavir, ritonavir, saquinavir). Anxiolytics: alprazolam. Bronchodilatators or anti-asthma drugs: theophylline. Contraceptives: hormonal contraceptives (alternative contraceptive methods should be considered). Cardiovascular drugs : calcium channel blockers (dihydropyridine group) e.g. felodipine, digoxin, simvastatin, atorvastatin, lovastatin, cerivastatin, ivabradine. Corticosteroids: corticosteroids (e.g. prednisolone, dexamethasone). Drugs used in erectile dysfunction: tadalafil. Immunosuppressants: ciclosporin, everolimus, tacrolimus, sirolimus. Thyroid agents: levothyroxine. Other drug interactions : products containing oestrogens and/or progesterones. Combinations that require specific consideration:</x:v>
      </x:c>
      <x:c r="J150" s="37" t="str">
        <x:v>https://drug.fda.moph.go.th/media.php?id=809665211119312896&amp;name=SMPC_Carbamazepine_Tablets.pdf</x:v>
      </x:c>
    </x:row>
    <x:row r="151">
      <x:c r="A151" s="31" t="str">
        <x:v>carbamazepine</x:v>
      </x:c>
      <x:c r="B151" s="31" t="str">
        <x:v>sodium_valproate</x:v>
      </x:c>
      <x:c r="C151" s="31" t="str">
        <x:v>unclassified</x:v>
      </x:c>
      <x:c r="D151" s="31" t="str">
        <x:v>review</x:v>
      </x:c>
      <x:c r="E151" s="31" t="str">
        <x:v>r0325_smpc</x:v>
      </x:c>
      <x:c r="F151" s="31" t="str">
        <x:v>SMPC</x:v>
      </x:c>
      <x:c r="G151" s="31" t="n">
        <x:v>16</x:v>
      </x:c>
      <x:c r="H151" s="31" t="str">
        <x:v>carbamazepine</x:v>
      </x:c>
      <x:c r="I151" s="37" t="str">
        <x:v>1 Ref: Sodium Valproate, MHRA, 16/02/2024 16 clinical monitoring is recommended; when phenytoin plasma levels are determined, the free form should be evaluated. Carbamazepine Clinical toxicity has been reported when sodium valproate was administered with carbamazepine as valproate may potentiate toxic effects of carbamazepine. Clinical monitoring is recommended especially at the beginning of combined therapy with dosage adjustment when appropriate. Lamotrigine Sodium valproate reduces the metabolism of lamotrigine and increases the lamotrigine mean half-life by nearly two fold. This interaction may lead to i</x:v>
      </x:c>
      <x:c r="J151" s="37" t="str">
        <x:v>https://drug.fda.moph.go.th/media.php?id=810462806720782336&amp;name=SMPC_Sodium Valproate_Enteric-coated tablet.pdf</x:v>
      </x:c>
    </x:row>
    <x:row r="152">
      <x:c r="A152" s="31" t="str">
        <x:v>carbamazepine</x:v>
      </x:c>
      <x:c r="B152" s="31" t="str">
        <x:v>sodium_valproate</x:v>
      </x:c>
      <x:c r="C152" s="31" t="str">
        <x:v>unclassified</x:v>
      </x:c>
      <x:c r="D152" s="31" t="str">
        <x:v>review</x:v>
      </x:c>
      <x:c r="E152" s="31" t="str">
        <x:v>r0325_smpc</x:v>
      </x:c>
      <x:c r="F152" s="31" t="str">
        <x:v>SMPC</x:v>
      </x:c>
      <x:c r="G152" s="31" t="n">
        <x:v>17</x:v>
      </x:c>
      <x:c r="H152" s="31" t="str">
        <x:v>carbamazepine</x:v>
      </x:c>
      <x:c r="I152" s="37" t="str">
        <x:v>he exposure to nimodipine can be increased by 50%. The nimodipine dose should therefore be decreased in case of hypotension. Temozolomide Co-administration of temozolomide and sodium valproate may cause a small decrease in the clearance of temozolomide that is not thought to be clinically relevant. Effects of other drugs on sodium valproate Anti-epileptics Anti-epileptics with enzyme inducing effect (including phenytoin, phenobarbital, carbamazepine) decrease valproic acid plasma concentrations. Dosages should be adjusted according to clinical response and blood levels in case of combined therapy. Valproic acid metabolite levels may be increased in the case of concomitant use with phenytoin or phenobarbital. Therefore patients treated with those two drugs should be carefully monitored for signs and symptoms of hyperammonaemia. On the other hand, combination of felbamate and sodium va</x:v>
      </x:c>
      <x:c r="J152" s="37" t="str">
        <x:v>https://drug.fda.moph.go.th/media.php?id=810462806720782336&amp;name=SMPC_Sodium Valproate_Enteric-coated tablet.pdf</x:v>
      </x:c>
    </x:row>
    <x:row r="153">
      <x:c r="A153" s="31" t="str">
        <x:v>carbamazepine</x:v>
      </x:c>
      <x:c r="B153" s="31" t="str">
        <x:v>theophylline</x:v>
      </x:c>
      <x:c r="C153" s="31" t="str">
        <x:v>unclassified</x:v>
      </x:c>
      <x:c r="D153" s="31" t="str">
        <x:v>review</x:v>
      </x:c>
      <x:c r="E153" s="31" t="str">
        <x:v>r0045_smpc</x:v>
      </x:c>
      <x:c r="F153" s="31" t="str">
        <x:v>SMPC</x:v>
      </x:c>
      <x:c r="G153" s="31" t="n">
        <x:v>15</x:v>
      </x:c>
      <x:c r="H153" s="31" t="str">
        <x:v>theophylline</x:v>
      </x:c>
      <x:c r="I153" s="37" t="str">
        <x:v>enytoin (to avoid phenytoin intoxication and subtherapeutic concentrations of carbamazepine it is recommended to adjust the plasma concentration of phenytoin to 13 micrograms /mL before adding carbamazepine to the treatment) and fosphenytoin, primidone, and, although the data are partly contradictory, possibly also clonazepam. Antineoplastics: cisplatin or doxorubicin. Antituberculosis: rifampicin. Bronchodilatators or anti-asthma drugs: theophylline, aminophylline. Dermatological drugs: isotretinoin. Other interactions : herbal preparations containing St John's wort (Hypericum perforatum). Effect of Carbamazepine on plasma levels of concomitant agents: Carbamazepine may lower the plasma level, diminish or even abolish the activity of certain drugs. The dosage of the following drugs may have to be adjusted to clinical requirement: Analgesics, anti -inflammatory agents : buprenorphine</x:v>
      </x:c>
      <x:c r="J153" s="37" t="str">
        <x:v>https://drug.fda.moph.go.th/media.php?id=809665211119312896&amp;name=SMPC_Carbamazepine_Tablets.pdf</x:v>
      </x:c>
    </x:row>
    <x:row r="154">
      <x:c r="A154" s="31" t="str">
        <x:v>carbamazepine</x:v>
      </x:c>
      <x:c r="B154" s="31" t="str">
        <x:v>theophylline</x:v>
      </x:c>
      <x:c r="C154" s="31" t="str">
        <x:v>unclassified</x:v>
      </x:c>
      <x:c r="D154" s="31" t="str">
        <x:v>review</x:v>
      </x:c>
      <x:c r="E154" s="31" t="str">
        <x:v>r0045_smpc</x:v>
      </x:c>
      <x:c r="F154" s="31" t="str">
        <x:v>SMPC</x:v>
      </x:c>
      <x:c r="G154" s="31" t="n">
        <x:v>16</x:v>
      </x:c>
      <x:c r="H154" s="31" t="str">
        <x:v>theophylline</x:v>
      </x:c>
      <x:c r="I154" s="37" t="str">
        <x:v>commended in patients treated with voriconazole or itraconazole. Anthelmintics: albendazole. Antineoplastics: imatinib, cyclophosphamide, lapatinib, temsirolimus. Antipsychotics: clozapine, haloperidol and bromperidol , olanzapine, quetiapine, risperidone, aripiprazole, paliperidone. Antivirals: protease inhibitors for HIV treatment (e.g. indinavir, ritonavir, saquinavir). Anxiolytics: alprazolam. Bronchodilatators or anti-asthma drugs: theophylline. Contraceptives: hormonal contraceptives (alternative contraceptive methods should be considered). Cardiovascular drugs : calcium channel blockers (dihydropyridine group) e.g. felodipine, digoxin, simvastatin, atorvastatin, lovastatin, cerivastatin, ivabradine. Corticosteroids: corticosteroids (e.g. prednisolone, dexamethasone). Drugs used in erectile dysfunction: tadalafil. Immunosuppressants: ciclosporin, everolimus, tacrolimus, siroli</x:v>
      </x:c>
      <x:c r="J154" s="37" t="str">
        <x:v>https://drug.fda.moph.go.th/media.php?id=809665211119312896&amp;name=SMPC_Carbamazepine_Tablets.pdf</x:v>
      </x:c>
    </x:row>
    <x:row r="155">
      <x:c r="A155" s="31" t="str">
        <x:v>carbamazepine</x:v>
      </x:c>
      <x:c r="B155" s="31" t="str">
        <x:v>tocopherol</x:v>
      </x:c>
      <x:c r="C155" s="31" t="str">
        <x:v>unclassified</x:v>
      </x:c>
      <x:c r="D155" s="31" t="str">
        <x:v>review</x:v>
      </x:c>
      <x:c r="E155" s="31" t="str">
        <x:v>r0349_smpc</x:v>
      </x:c>
      <x:c r="F155" s="31" t="str">
        <x:v>SMPC</x:v>
      </x:c>
      <x:c r="G155" s="31" t="n">
        <x:v>4</x:v>
      </x:c>
      <x:c r="H155" s="31" t="str">
        <x:v>carbamazepine</x:v>
      </x:c>
      <x:c r="I155" s="37" t="str">
        <x:v>amins, including vitamin E. Concomitant use of iron -containing medicines reduces activity of vitamin E, therefore a few hours interval should be maintained between taking both medications. Metabolic Interactions High-dose vitamin E, either alone or in combination with other antioxidants, may alter the pharmacokinetics of ciclosporin and decrease its serum concentration. Anticonvulsants (e.g., phenobarbital, phenytoin and carbamazepine), as inducers of P450 enzymes, may lower plasma vitamin E levels. Vitamin E increases the absorption, utilisation and storage of vitamin A.</x:v>
      </x:c>
      <x:c r="J155" s="37" t="str">
        <x:v>https://drug.fda.moph.go.th/media.php?id=810483084486123520&amp;name=SMPC_Tocopherol_soft capsules.pdf</x:v>
      </x:c>
    </x:row>
    <x:row r="156">
      <x:c r="A156" s="31" t="str">
        <x:v>carbamazepine</x:v>
      </x:c>
      <x:c r="B156" s="31" t="str">
        <x:v>tramadol</x:v>
      </x:c>
      <x:c r="C156" s="31" t="str">
        <x:v>unclassified</x:v>
      </x:c>
      <x:c r="D156" s="31" t="str">
        <x:v>review</x:v>
      </x:c>
      <x:c r="E156" s="31" t="str">
        <x:v>r0045_smpc</x:v>
      </x:c>
      <x:c r="F156" s="31" t="str">
        <x:v>SMPC</x:v>
      </x:c>
      <x:c r="G156" s="31" t="n">
        <x:v>15</x:v>
      </x:c>
      <x:c r="H156" s="31" t="str">
        <x:v>tramadol</x:v>
      </x:c>
      <x:c r="I156" s="37" t="str">
        <x:v>m). Effect of Carbamazepine on plasma levels of concomitant agents: Carbamazepine may lower the plasma level, diminish or even abolish the activity of certain drugs. The dosage of the following drugs may have to be adjusted to clinical requirement: Analgesics, anti -inflammatory agents : buprenorphine, methadone, paracetamol (long term administration of carbamazepine and paracetamol (acetaminophen) may be associated with hepatotoxicity), tramadol. Antibiotics: doxycycline, rifabutin. Anticoagulants: oral anticoagulants (e.g. warfarin, acenocoumarol, rivaroxaban, dabigatran, apixaban and edoxaban). Antidepressants: bupropion, citalopram, mianserin, sertraline, trazodone, tricyclic antidepressants (e.g. imipramine, amitriptyline, nortriptyline, clomipramine). Antiemetics: aprepitant Antiepileptics: clobazam, clonazepam, ethosuximide, lamotrigine, eslicarbazepine, oxcarbazepine, pr</x:v>
      </x:c>
      <x:c r="J156" s="37" t="str">
        <x:v>https://drug.fda.moph.go.th/media.php?id=809665211119312896&amp;name=SMPC_Carbamazepine_Tablets.pdf</x:v>
      </x:c>
    </x:row>
    <x:row r="157">
      <x:c r="A157" s="31" t="str">
        <x:v>carbamazepine</x:v>
      </x:c>
      <x:c r="B157" s="31" t="str">
        <x:v>tramadol</x:v>
      </x:c>
      <x:c r="C157" s="31" t="str">
        <x:v>moderate</x:v>
      </x:c>
      <x:c r="D157" s="31" t="str">
        <x:v>eligible</x:v>
      </x:c>
      <x:c r="E157" s="31" t="str">
        <x:v>r0350_smpc</x:v>
      </x:c>
      <x:c r="F157" s="31" t="str">
        <x:v>SMPC</x:v>
      </x:c>
      <x:c r="G157" s="31" t="n">
        <x:v>8</x:v>
      </x:c>
      <x:c r="H157" s="31" t="str">
        <x:v>carbamazepine</x:v>
      </x:c>
      <x:c r="I157" s="37" t="str">
        <x:v>ntin and pregabalin) may result in resp iratory depression, hypotension, profound sedation, coma or death. The dose of Tramadol and the duration of the concomitant use should be limited (see section 4.4) The results of pharmacokinetic studies have so far shown that on the concomitant or previous administration of cimetidine (enzyme inhibitor) clinically relevant interactions are unlikely to occur. Simultaneous or previous administration of carbamazepine (enzyme inducer) may reduce the analgesic effect and shorten the duration of action. Tramadol can induce convulsions and increase the potential for selective serotonin re -uptake inhibitors, (SSRIs), serotonin -norepinephrine reuptake inhibitors (SNRIs), tricyclic anti -depressants, anti-psychotics</x:v>
      </x:c>
      <x:c r="J157" s="37" t="str">
        <x:v>https://drug.fda.moph.go.th/media.php?id=810483663501402112&amp;name=SMPC_Tramadol_Capsules.pdf</x:v>
      </x:c>
    </x:row>
    <x:row r="158">
      <x:c r="A158" s="31" t="str">
        <x:v>carbamazepine</x:v>
      </x:c>
      <x:c r="B158" s="31" t="str">
        <x:v>tramadol</x:v>
      </x:c>
      <x:c r="C158" s="31" t="str">
        <x:v>moderate</x:v>
      </x:c>
      <x:c r="D158" s="31" t="str">
        <x:v>eligible</x:v>
      </x:c>
      <x:c r="E158" s="31" t="str">
        <x:v>r0351_smpc</x:v>
      </x:c>
      <x:c r="F158" s="31" t="str">
        <x:v>SMPC</x:v>
      </x:c>
      <x:c r="G158" s="31" t="n">
        <x:v>9</x:v>
      </x:c>
      <x:c r="H158" s="31" t="str">
        <x:v>carbamazepine</x:v>
      </x:c>
      <x:c r="I158" s="37" t="str">
        <x:v>ntin and pregabalin) may result in resp iratory depression, hypotension, profound sedation, coma or death. The dose of Tramadol and the duration of the concomitant use should be limited (see section 4.4) The results of pharmacokinetic studies have so far shown that on the concomitant or previous administration of cimetidine (enzyme inhibitor) clinically relevant interactions are unlikely to occur. Simultaneous or previous administration of carbamazepine (enzyme inducer) may reduce the analgesic effect and shorten the duration of action. Tramadol can induce convulsions and increase the potential for selective serotonin re -uptake inhibitors, (SSRIs), serotonin -norepinephrine reuptake inhibitors (SNRIs), tricyclic anti -depressants, anti-psychotics and other seizure threshold lowering medicin al products (such as bupropion, mirtazapine, tetrahydrocannabinol) to cause convulsions. Concomi</x:v>
      </x:c>
      <x:c r="J158" s="37" t="str">
        <x:v>https://drug.fda.moph.go.th/media.php?id=810484035766853632&amp;name=SMPC_Tramadol_solution for injection or infusion.pdf</x:v>
      </x:c>
    </x:row>
    <x:row r="159">
      <x:c r="A159" s="31" t="str">
        <x:v>carbamazepine</x:v>
      </x:c>
      <x:c r="B159" s="31" t="str">
        <x:v>trazodone</x:v>
      </x:c>
      <x:c r="C159" s="31" t="str">
        <x:v>unclassified</x:v>
      </x:c>
      <x:c r="D159" s="31" t="str">
        <x:v>review</x:v>
      </x:c>
      <x:c r="E159" s="31" t="str">
        <x:v>r0045_smpc</x:v>
      </x:c>
      <x:c r="F159" s="31" t="str">
        <x:v>SMPC</x:v>
      </x:c>
      <x:c r="G159" s="31" t="n">
        <x:v>14</x:v>
      </x:c>
      <x:c r="H159" s="31" t="str">
        <x:v>trazodone</x:v>
      </x:c>
      <x:c r="I159" s="37" t="str">
        <x:v>1 Ref: Tegretol, MHRA, 21/12/2023 14 Androgens: danazol. Antibiotics: macrolide antibiotics (e.g. erythromycin, clarithromycin), ciprofloxacine. Antidepressants: fluoxetine, fluvoxamine, paroxetine, trazodone. Antiepileptics: vigabatrin. Antifungals: azoles (e.g. itraconazole, ketoconazole, fluconazole, voriconazole). Alternative anti -convulsants may be recommended in patients treated with voriconazole or itraconazole. Antipsychotics: olanzapine. Antituberculosis: isoniazid. Antivirals: protease inhibitors for HIV treatment (e.g. ritonavir). Carbonic anhydrase inhibitors: acetazolamide. Cardiovascular drugs: diltiazem, verapamil. Gastroint</x:v>
      </x:c>
      <x:c r="J159" s="37" t="str">
        <x:v>https://drug.fda.moph.go.th/media.php?id=809665211119312896&amp;name=SMPC_Carbamazepine_Tablets.pdf</x:v>
      </x:c>
    </x:row>
    <x:row r="160">
      <x:c r="A160" s="31" t="str">
        <x:v>carbamazepine</x:v>
      </x:c>
      <x:c r="B160" s="31" t="str">
        <x:v>trazodone</x:v>
      </x:c>
      <x:c r="C160" s="31" t="str">
        <x:v>unclassified</x:v>
      </x:c>
      <x:c r="D160" s="31" t="str">
        <x:v>review</x:v>
      </x:c>
      <x:c r="E160" s="31" t="str">
        <x:v>r0045_smpc</x:v>
      </x:c>
      <x:c r="F160" s="31" t="str">
        <x:v>SMPC</x:v>
      </x:c>
      <x:c r="G160" s="31" t="n">
        <x:v>15</x:v>
      </x:c>
      <x:c r="H160" s="31" t="str">
        <x:v>trazodone</x:v>
      </x:c>
      <x:c r="I160" s="37" t="str">
        <x:v>clinical requirement: Analgesics, anti -inflammatory agents : buprenorphine, methadone, paracetamol (long term administration of carbamazepine and paracetamol (acetaminophen) may be associated with hepatotoxicity), tramadol. Antibiotics: doxycycline, rifabutin. Anticoagulants: oral anticoagulants (e.g. warfarin, acenocoumarol, rivaroxaban, dabigatran, apixaban and edoxaban). Antidepressants: bupropion, citalopram, mianserin, sertraline, trazodone, tricyclic antidepressants (e.g. imipramine, amitriptyline, nortriptyline, clomipramine). Antiemetics: aprepitant Antiepileptics: clobazam, clonazepam, ethosuximide, lamotrigine, eslicarbazepine, oxcarbazepine, primidone, tiagabine, topiramate, valproic acid, zonisamide. To avoid phenytoin intoxication and</x:v>
      </x:c>
      <x:c r="J160" s="37" t="str">
        <x:v>https://drug.fda.moph.go.th/media.php?id=809665211119312896&amp;name=SMPC_Carbamazepine_Tablets.pdf</x:v>
      </x:c>
    </x:row>
    <x:row r="161">
      <x:c r="A161" s="31" t="str">
        <x:v>carbamazepine</x:v>
      </x:c>
      <x:c r="B161" s="31" t="str">
        <x:v>trazodone</x:v>
      </x:c>
      <x:c r="C161" s="31" t="str">
        <x:v>unclassified</x:v>
      </x:c>
      <x:c r="D161" s="31" t="str">
        <x:v>review</x:v>
      </x:c>
      <x:c r="E161" s="31" t="str">
        <x:v>r0352_smpc</x:v>
      </x:c>
      <x:c r="F161" s="31" t="str">
        <x:v>SMPC</x:v>
      </x:c>
      <x:c r="G161" s="31" t="n">
        <x:v>10</x:v>
      </x:c>
      <x:c r="H161" s="31" t="str">
        <x:v>carbamazepine</x:v>
      </x:c>
      <x:c r="I161" s="37" t="str">
        <x:v>4.5. Interaction with other medicinal products and other forms of interaction General: The sedative effects of antipsychotics, hypnotics, sedatives, anxiolytics, and antihistaminic drugs may be intensified; dosage reduction is recommended in such instances. The metabolism of antidepressants is accelerated due to hepatic effects by oral contraceptives, phenytoin, carbamazepine and barbiturates. The metabolism of antidepressants is inhibited by cimetidine and some other antipsychotics. In vitro drug metabolism studies suggest that there is a potential for drug interactions when &lt;GENERIC NAME&gt; is given with potent CYP3A4 inhibitors such as erythromycin, ketoconazole, itraconazole, ritonavir, indinavir, and nefazodone. It is likely that potent CYP3A4 inhibitors may lead to substantial increases in trazodone plasma</x:v>
      </x:c>
      <x:c r="J161" s="37" t="str">
        <x:v>https://drug.fda.moph.go.th/media.php?id=810484413367459840&amp;name=SMPC_Trazodone_Tablets.pdf</x:v>
      </x:c>
    </x:row>
    <x:row r="162">
      <x:c r="A162" s="31" t="str">
        <x:v>carbamazepine</x:v>
      </x:c>
      <x:c r="B162" s="31" t="str">
        <x:v>trazodone</x:v>
      </x:c>
      <x:c r="C162" s="31" t="str">
        <x:v>unclassified</x:v>
      </x:c>
      <x:c r="D162" s="31" t="str">
        <x:v>review</x:v>
      </x:c>
      <x:c r="E162" s="31" t="str">
        <x:v>r0352_smpc</x:v>
      </x:c>
      <x:c r="F162" s="31" t="str">
        <x:v>SMPC</x:v>
      </x:c>
      <x:c r="G162" s="31" t="n">
        <x:v>11</x:v>
      </x:c>
      <x:c r="H162" s="31" t="str">
        <x:v>carbamazepine</x:v>
      </x:c>
      <x:c r="I162" s="37" t="str">
        <x:v>Carbamazepine reduced plasma concentrations of trazodone when co - administered. Concomitant use of carbamazepine 400 mg daily led to a decrease of plasma concentrations of &lt;GENERIC NAME&gt; and its active metabolite m -chlorophenylpiperazine of 76% and 60%, respectively. Patients should be closely monitored to see if there is a need for an increased dose of &lt;GENERIC NAME&gt; when taken with carbamazepine. &lt;GENERIC NAME&gt; may enhance the effects of muscle relax</x:v>
      </x:c>
      <x:c r="J162" s="37" t="str">
        <x:v>https://drug.fda.moph.go.th/media.php?id=810484413367459840&amp;name=SMPC_Trazodone_Tablets.pdf</x:v>
      </x:c>
    </x:row>
    <x:row r="163">
      <x:c r="A163" s="31" t="str">
        <x:v>carbamazepine</x:v>
      </x:c>
      <x:c r="B163" s="31" t="str">
        <x:v>triamcinolone_acetonide</x:v>
      </x:c>
      <x:c r="C163" s="31" t="str">
        <x:v>unclassified</x:v>
      </x:c>
      <x:c r="D163" s="31" t="str">
        <x:v>review</x:v>
      </x:c>
      <x:c r="E163" s="31" t="str">
        <x:v>r0355_smpc</x:v>
      </x:c>
      <x:c r="F163" s="31" t="str">
        <x:v>SMPC</x:v>
      </x:c>
      <x:c r="G163" s="31" t="n">
        <x:v>9</x:v>
      </x:c>
      <x:c r="H163" s="31" t="str">
        <x:v>carbamazepine</x:v>
      </x:c>
      <x:c r="I163" s="37" t="str">
        <x:v>lar drugs: Isoniazid serum concentrations may be decreased. Cyclosporin: Monitor for evidence of increased toxicity of cyclosporin when the two are used concurrently. Digitalis glycosides: Co-administration may enhance the possibility of digitalis toxicity. Oestrogens, including oral contraceptives: Corticosteroid half -life and concentration may be increased and clearance decreased. Hepatic Enzyme Inducers (e.g. barbiturates, phenytoin, carbamazepine, rifampicin, primidone, aminoglutethimide): There may be increased metabolic clearance of Kenalog. Patients should be carefully observed for possible diminished effect of steroid, and the dosage should be adjusted accordingly. Human growth hormone: The growth -promoting effect may be inhibited.</x:v>
      </x:c>
      <x:c r="J163" s="37" t="str">
        <x:v>https://drug.fda.moph.go.th/media.php?id=810493020255428608&amp;name=SMPC_Triamcinolone_Suspensions for injections or infusions.pdf</x:v>
      </x:c>
    </x:row>
    <x:row r="164">
      <x:c r="A164" s="31" t="str">
        <x:v>carbamazepine</x:v>
      </x:c>
      <x:c r="B164" s="31" t="str">
        <x:v>triamcinolone_acetonide</x:v>
      </x:c>
      <x:c r="C164" s="31" t="str">
        <x:v>unclassified</x:v>
      </x:c>
      <x:c r="D164" s="31" t="str">
        <x:v>review</x:v>
      </x:c>
      <x:c r="E164" s="31" t="str">
        <x:v>r0356_smpc</x:v>
      </x:c>
      <x:c r="F164" s="31" t="str">
        <x:v>SMPC</x:v>
      </x:c>
      <x:c r="G164" s="31" t="n">
        <x:v>9</x:v>
      </x:c>
      <x:c r="H164" s="31" t="str">
        <x:v>carbamazepine</x:v>
      </x:c>
      <x:c r="I164" s="37" t="str">
        <x:v>lar drugs: Isoniazid serum concentrations may be decreased. Cyclosporin: Monitor for evidence of increased toxicity of cyclosporin when the two are used concurrently. Digitalis glycosides: Co-administration may enhance the possibility of digitalis toxicity. Oestrogens, including oral contraceptives: Corticosteroid half -life and concentration may be increased and clearance decreased. Hepatic Enzyme Inducers (e.g. barbiturates, phenytoin, carbamazepine, rifampicin, primidone, aminoglutethimide): There may be increased metabolic clearance of Kenalog. Patients should be carefully observed for possible diminished effect of steroid, and the dosage should be adjusted accordingly. Human growth hormone: The growth -promoting effect may be inhibited.</x:v>
      </x:c>
      <x:c r="J164" s="37" t="str">
        <x:v>https://drug.fda.moph.go.th/media.php?id=810493020255428608&amp;name=SMPC_Triamcinolone_Suspensions for injections or infusions.pdf</x:v>
      </x:c>
    </x:row>
    <x:row r="165">
      <x:c r="A165" s="31" t="str">
        <x:v>carbamazepine</x:v>
      </x:c>
      <x:c r="B165" s="31" t="str">
        <x:v>verapamil</x:v>
      </x:c>
      <x:c r="C165" s="31" t="str">
        <x:v>unclassified</x:v>
      </x:c>
      <x:c r="D165" s="31" t="str">
        <x:v>review</x:v>
      </x:c>
      <x:c r="E165" s="31" t="str">
        <x:v>r0045_smpc</x:v>
      </x:c>
      <x:c r="F165" s="31" t="str">
        <x:v>SMPC</x:v>
      </x:c>
      <x:c r="G165" s="31" t="n">
        <x:v>14</x:v>
      </x:c>
      <x:c r="H165" s="31" t="str">
        <x:v>verapamil</x:v>
      </x:c>
      <x:c r="I165" s="37" t="str">
        <x:v>paroxetine, trazodone. Antiepileptics: vigabatrin. Antifungals: azoles (e.g. itraconazole, ketoconazole, fluconazole, voriconazole). Alternative anti -convulsants may be recommended in patients treated with voriconazole or itraconazole. Antipsychotics: olanzapine. Antituberculosis: isoniazid. Antivirals: protease inhibitors for HIV treatment (e.g. ritonavir). Carbonic anhydrase inhibitors: acetazolamide. Cardiovascular drugs: diltiazem, verapamil. Gastrointestinal drugs: possibly cimetidine, omeprazole. Other interactions: grapefruit juice, nicotinamide (only in high dosage). Agents that may raise the active metabolite carbamazepine -10,11- epoxide plasma levels: Since raised plasma carbamazepine-10,11-epoxide levels may result in adverse reactions (e.g. dizziness, drowsiness, ataxia, diplopia), the dosage of Carbamazepine should be adjusted accordingly and/or the plasma levels mo</x:v>
      </x:c>
      <x:c r="J165" s="37" t="str">
        <x:v>https://drug.fda.moph.go.th/media.php?id=809665211119312896&amp;name=SMPC_Carbamazepine_Tablets.pdf</x:v>
      </x:c>
    </x:row>
    <x:row r="166">
      <x:c r="A166" s="31" t="str">
        <x:v>carbidopa_levodopa</x:v>
      </x:c>
      <x:c r="B166" s="31" t="str">
        <x:v>ferrous</x:v>
      </x:c>
      <x:c r="C166" s="31" t="str">
        <x:v>unclassified</x:v>
      </x:c>
      <x:c r="D166" s="31" t="str">
        <x:v>review</x:v>
      </x:c>
      <x:c r="E166" s="31" t="str">
        <x:v>r0439_smpc</x:v>
      </x:c>
      <x:c r="F166" s="31" t="str">
        <x:v>SMPC</x:v>
      </x:c>
      <x:c r="G166" s="31" t="n">
        <x:v>9</x:v>
      </x:c>
      <x:c r="H166" s="31" t="str">
        <x:v>ferrous</x:v>
      </x:c>
      <x:c r="I166" s="37" t="str">
        <x:v>Antidepressants Rarely, reactions including hypertension and dyskinesia have been reported with the concomitant use of tricyclic antidepressants (see first paragraph of section 4.3 “Contraindications” for patients receiving MAOIs). Anticholinergics Anticholinergics may affect the absorption and thus the patient's response. Iron Studies demonstrate a decrease in the bioavailability of carbidopa and/or levodopa when it is ingested with ferrous sulphate or ferrous gluconate. Other drugs To date there has been no indication of interactions that would preclude concurrent use of standard antiparkinsonian drugs. Dopamine D2 receptor antagonists (e.g. phenothiazines, butyrophenones, and risperidone) and isoniazid, may reduce the therapeutic effects of levodopa. The beneficial effects of levodopa in Parkinson's disease have been reported to be reversed by phenytoin and papaverine. P</x:v>
      </x:c>
      <x:c r="J166" s="37" t="str">
        <x:v>https://drug.fda.moph.go.th/media.php?id=904601733693579264&amp;name=8. Ref SmPC_Carbidopa+Levodopa.pdf</x:v>
      </x:c>
    </x:row>
    <x:row r="167">
      <x:c r="A167" s="31" t="str">
        <x:v>carbidopa_levodopa</x:v>
      </x:c>
      <x:c r="B167" s="31" t="str">
        <x:v>isoniazid</x:v>
      </x:c>
      <x:c r="C167" s="31" t="str">
        <x:v>unclassified</x:v>
      </x:c>
      <x:c r="D167" s="31" t="str">
        <x:v>review</x:v>
      </x:c>
      <x:c r="E167" s="31" t="str">
        <x:v>r0439_smpc</x:v>
      </x:c>
      <x:c r="F167" s="31" t="str">
        <x:v>SMPC</x:v>
      </x:c>
      <x:c r="G167" s="31" t="n">
        <x:v>9</x:v>
      </x:c>
      <x:c r="H167" s="31" t="str">
        <x:v>isoniazid</x:v>
      </x:c>
      <x:c r="I167" s="37" t="str">
        <x:v>ay affect the absorption and thus the patient's response. Iron Studies demonstrate a decrease in the bioavailability of carbidopa and/or levodopa when it is ingested with ferrous sulphate or ferrous gluconate. Other drugs To date there has been no indication of interactions that would preclude concurrent use of standard antiparkinsonian drugs. Dopamine D2 receptor antagonists (e.g. phenothiazines, butyrophenones, and risperidone) and isoniazid, may reduce the therapeutic effects of levodopa. The beneficial effects of levodopa in Parkinson's disease have been reported to be reversed by phenytoin and papaverine. Patients taking these drugs with &lt;Trade name&gt; should be carefully observed for loss of therapeutic response. Use of &lt;Trade name&gt; with dopamine-depleting agents (e.g., tetrabenazine) or other drugs known to deplete monoamine stores is not recommended.</x:v>
      </x:c>
      <x:c r="J167" s="37" t="str">
        <x:v>https://drug.fda.moph.go.th/media.php?id=904601733693579264&amp;name=8. Ref SmPC_Carbidopa+Levodopa.pdf</x:v>
      </x:c>
    </x:row>
    <x:row r="168">
      <x:c r="A168" s="31" t="str">
        <x:v>carboplatin</x:v>
      </x:c>
      <x:c r="B168" s="31" t="str">
        <x:v>fluorouracil</x:v>
      </x:c>
      <x:c r="C168" s="31" t="str">
        <x:v>unclassified</x:v>
      </x:c>
      <x:c r="D168" s="31" t="str">
        <x:v>review</x:v>
      </x:c>
      <x:c r="E168" s="31" t="str">
        <x:v>r0148_smpc</x:v>
      </x:c>
      <x:c r="F168" s="31" t="str">
        <x:v>SMPC</x:v>
      </x:c>
      <x:c r="G168" s="31" t="n">
        <x:v>5</x:v>
      </x:c>
      <x:c r="H168" s="31" t="str">
        <x:v>carboplatin</x:v>
      </x:c>
      <x:c r="I168" s="37" t="str">
        <x:v>urface per day as intravenous bolus injection or intravenous infusion, depending on the regimen and repeated cyclically. Head and neck cancer: 5-fluorouracil is preferably used in combination with cisplatin or carboplatin. Dose varies between 600 - 1200 mg/m2 body surface per day as continuous intravenous infusion over several days and repeated cyclically depending upon regimen. Concerning adminis tration of 5 - fluorouracil/ cisplatin or carboplatin in combination with radiotherapy, please refer to the literature. Special populations Renal or hepatic impairment Caution is advised and the dose might need to be reduced in patients with renal or hepatic impairment. Paediatric population Fluorouracil is not recommended for use in children due to insufficient data on safety and efficacy. Elderly No dose adjustments in elderly are recommended but care should be taken to consider any co</x:v>
      </x:c>
      <x:c r="J168" s="37" t="str">
        <x:v>https://drug.fda.moph.go.th/media.php?id=810172919505362944&amp;name=SMPC_Fluorouracil_Solution for Injection or Infusion.pdf</x:v>
      </x:c>
    </x:row>
    <x:row r="169">
      <x:c r="A169" s="31" t="str">
        <x:v>carboplatin</x:v>
      </x:c>
      <x:c r="B169" s="31" t="str">
        <x:v>fluorouracil</x:v>
      </x:c>
      <x:c r="C169" s="31" t="str">
        <x:v>unclassified</x:v>
      </x:c>
      <x:c r="D169" s="31" t="str">
        <x:v>review</x:v>
      </x:c>
      <x:c r="E169" s="31" t="str">
        <x:v>r0148_smpc</x:v>
      </x:c>
      <x:c r="F169" s="31" t="str">
        <x:v>SMPC</x:v>
      </x:c>
      <x:c r="G169" s="31" t="n">
        <x:v>23</x:v>
      </x:c>
      <x:c r="H169" s="31" t="str">
        <x:v>carboplatin</x:v>
      </x:c>
      <x:c r="I169" s="37" t="str">
        <x:v>ons included cleft palate, skeletal defects, and deformed appendages and tails. Potential effects of fluorouracil on peri and postnatal development have not been studied in animals. Howeve r, in rats’ fluorouracil has been found to cross the placental barrier and to cause foetal mortality. 6. PHARMACEUTICAL PARTICULARS 6.1. List of excipients &lt;REGARDING THE APPROVAL&gt; 6.2. Incompatibilities Fluorouracil is incompatible with folinic acid, Carboplatin, Cisplatin, Cytarabine, Diazepam, Doxorubicin, Droperidol, Filgrastim, Gallium nitrate, Methotrexate, Metoclopramide, Morphine, Ondansetrone, parenteral nutrition, Vinorelbin, other Anthracyclines. Formulated solutions are alkaline and it is recommended that admixture with acidic drugs or preparations should be avoided. In the absence of compatibility studies, this medicinal product must not be mixed with other medicinal products. 6.3. S</x:v>
      </x:c>
      <x:c r="J169" s="37" t="str">
        <x:v>https://drug.fda.moph.go.th/media.php?id=810172919505362944&amp;name=SMPC_Fluorouracil_Solution for Injection or Infusion.pdf</x:v>
      </x:c>
    </x:row>
    <x:row r="170">
      <x:c r="A170" s="31" t="str">
        <x:v>cefaclor</x:v>
      </x:c>
      <x:c r="B170" s="31" t="str">
        <x:v>sodium_bicarbonate</x:v>
      </x:c>
      <x:c r="C170" s="31" t="str">
        <x:v>unclassified</x:v>
      </x:c>
      <x:c r="D170" s="31" t="str">
        <x:v>review</x:v>
      </x:c>
      <x:c r="E170" s="31" t="str">
        <x:v>r0314_smpc</x:v>
      </x:c>
      <x:c r="F170" s="31" t="str">
        <x:v>SMPC</x:v>
      </x:c>
      <x:c r="G170" s="31" t="n">
        <x:v>3</x:v>
      </x:c>
      <x:c r="H170" s="31" t="str">
        <x:v>cefaclor</x:v>
      </x:c>
      <x:c r="I170" s="37" t="str">
        <x:v>plasma concentration). As a precaution for antacids, in order to minimise the risk of interactions affecting pharmacokinetics of concomitantly administered products, drug administrations should be separated by approximately 2 to 3 hours. Sodium bicarbonate reduces the absorption of a number of other drugs taken concomitantly. These include ACE inhibitors (captopril, enalapril, and fosinopril), antibacterials and antifungals (azithromycin, cefaclor, cefpodoxime, isoniazid, itraconazole, rif ampicin, tetracyclines, ketoconazole and the quinolone group of antibacterials); antivirals(atazanivir, fosamprenavir, tipranavir); antihistamines (fexofenadine); bisphosponates, corticosteroids (deflazacort); digoxin, dipyridamole, antiepileptics (gabapen tin and phenytoin), ulcer healing drugs (lansoprazole); levothyroxine, mycophenolate, lipid regulating drugs (rosuvastatin); antipsychotics (s</x:v>
      </x:c>
      <x:c r="J170" s="37" t="str">
        <x:v>https://drug.fda.moph.go.th/media.php?id=810453894575562752&amp;name=SMPC_Sodium Bicarbonate_powder.pdf</x:v>
      </x:c>
    </x:row>
    <x:row r="171">
      <x:c r="A171" s="31" t="str">
        <x:v>cefalexin</x:v>
      </x:c>
      <x:c r="B171" s="31" t="str">
        <x:v>gentamicin</x:v>
      </x:c>
      <x:c r="C171" s="31" t="str">
        <x:v>unclassified</x:v>
      </x:c>
      <x:c r="D171" s="31" t="str">
        <x:v>review</x:v>
      </x:c>
      <x:c r="E171" s="31" t="str">
        <x:v>r0048_smpc</x:v>
      </x:c>
      <x:c r="F171" s="31" t="str">
        <x:v>SMPC</x:v>
      </x:c>
      <x:c r="G171" s="31" t="n">
        <x:v>5</x:v>
      </x:c>
      <x:c r="H171" s="31" t="str">
        <x:v>gentamicin</x:v>
      </x:c>
      <x:c r="I171" s="37" t="str">
        <x:v>the 12 healthy subjects in this study. No information is available about the interaction of cefalexin and metformin following multiple dose administration. The clinical significance of this study is unclear, particularly as no cases of “lactic acidosis” have been reported in association with concomitant metformin and cefalexin treatment. Hypokalaemia has been described in patients taking cytotoxic drugs for leukaemia when they were given gentamicin and cefalexin 4.6. Fertility, pregnancy and lactation Pregnancy Although laboratory and clinical studies have shown no evidence of teratogenicity, caution should be exercised when prescribing for the pregnant patient. Breast-feeding The excretion of cefalexin in human breast milk increased up to 4 hours following a 500 mg dose. The drug reached a maximum level of 4 micrograms/ml, then decreased gradually and had disappeared 8 hours aft</x:v>
      </x:c>
      <x:c r="J171" s="37" t="str">
        <x:v>https://drug.fda.moph.go.th/media.php?id=809667813055799296&amp;name=SMPC_Cefalexin_Dry syrup.pdf</x:v>
      </x:c>
    </x:row>
    <x:row r="172">
      <x:c r="A172" s="31" t="str">
        <x:v>cefalexin</x:v>
      </x:c>
      <x:c r="B172" s="31" t="str">
        <x:v>metformin</x:v>
      </x:c>
      <x:c r="C172" s="31" t="str">
        <x:v>unclassified</x:v>
      </x:c>
      <x:c r="D172" s="31" t="str">
        <x:v>review</x:v>
      </x:c>
      <x:c r="E172" s="31" t="str">
        <x:v>r0048_smpc</x:v>
      </x:c>
      <x:c r="F172" s="31" t="str">
        <x:v>SMPC</x:v>
      </x:c>
      <x:c r="G172" s="31" t="n">
        <x:v>5</x:v>
      </x:c>
      <x:c r="H172" s="31" t="str">
        <x:v>metformin</x:v>
      </x:c>
      <x:c r="I172" s="37" t="str">
        <x:v>1 Ref: Keflex Suspension, MHRA, 22/11/2023 5 As with other beta-lactam drugs, renal excretion of cefalexin is inhibited by probenecid. In a single study of 12 healthy subjects given single 500mg doses of cefalexin and metformin, plasma metformin Cmax and AUC increased by an average of 34% and 24%, re spectively, and metformin renal clearance decreased by an average of 14%. No side - effects were reported in the 12 healthy subjects in this study. No information is available about the interaction of cefalexin and metformin following multiple dose administration. The clinical significance of this study is unclear, particularly as no cases of “lactic acidosis” have be</x:v>
      </x:c>
      <x:c r="J172" s="37" t="str">
        <x:v>https://drug.fda.moph.go.th/media.php?id=809667813055799296&amp;name=SMPC_Cefalexin_Dry syrup.pdf</x:v>
      </x:c>
    </x:row>
    <x:row r="173">
      <x:c r="A173" s="31" t="str">
        <x:v>cefazolin</x:v>
      </x:c>
      <x:c r="B173" s="31" t="str">
        <x:v>erythromycin</x:v>
      </x:c>
      <x:c r="C173" s="31" t="str">
        <x:v>unclassified</x:v>
      </x:c>
      <x:c r="D173" s="31" t="str">
        <x:v>review</x:v>
      </x:c>
      <x:c r="E173" s="31" t="str">
        <x:v>r0049_smpc</x:v>
      </x:c>
      <x:c r="F173" s="31" t="str">
        <x:v>SMPC</x:v>
      </x:c>
      <x:c r="G173" s="31" t="n">
        <x:v>18</x:v>
      </x:c>
      <x:c r="H173" s="31" t="str">
        <x:v>erythromycin</x:v>
      </x:c>
      <x:c r="I173" s="37" t="str">
        <x:v>1 Ref: Cefazolin, MHRA, 27/09/2023 18 erythromycin gluceptate, kanamycin sulphate, oxytetracyclin hydrochloride, pentobarbital -sodium, polymyxin -B-sulphate and tetracycline hydrochloride. This medicinal product must not be mixed with other medicinal products except those mentioned in section 6.6. 6.3. Shelf life &lt;REGARDING THE APPROVAL&gt; 6.4. Special precautions for storage &lt;REGARDING THE APPROVAL&gt; 6.5. Nature and contents of container &lt;REGARDING THE APPROVAL&gt; 6.6. Special precaution</x:v>
      </x:c>
      <x:c r="J173" s="37" t="str">
        <x:v>https://drug.fda.moph.go.th/media.php?id=809668324005912576&amp;name=SMPC_Cefazolin_Powders for solutions for injections or infusions.pdf</x:v>
      </x:c>
    </x:row>
    <x:row r="174">
      <x:c r="A174" s="31" t="str">
        <x:v>cefazolin</x:v>
      </x:c>
      <x:c r="B174" s="31" t="str">
        <x:v>rifampicin</x:v>
      </x:c>
      <x:c r="C174" s="31" t="str">
        <x:v>unclassified</x:v>
      </x:c>
      <x:c r="D174" s="31" t="str">
        <x:v>review</x:v>
      </x:c>
      <x:c r="E174" s="31" t="str">
        <x:v>r0305_smpc</x:v>
      </x:c>
      <x:c r="F174" s="31" t="str">
        <x:v>SMPC</x:v>
      </x:c>
      <x:c r="G174" s="31" t="n">
        <x:v>9</x:v>
      </x:c>
      <x:c r="H174" s="31" t="str">
        <x:v>cefazolin</x:v>
      </x:c>
      <x:c r="I174" s="37" t="str">
        <x:v>/ritonavir is contraindicated (see section 4.3). When rifampicin is given concomitantly with either halothane or isoniazid, the potential for hepatotoxicity is increased. The concomitant use of rifampicin and halothane should be avoided. Patients receiving both rifampicin and isoniazid should be monitore d closely for hepatotoxicity. The concomitant use of rifampicin with other antibiotics causing vitamin K dependent coagulopathy such as cefazolin (or other cephalosporins with N -methyl-thiotetrazole side chain) should be avoided as it may lead to severe coagulation disorders, which may result in fatal outcome (especially in high doses). Effect of Rifampicin on other medicinal products Induction of Drug Metabolizing Enzymes and Transporters Rifampicin are a well characterized and potent inducer of drug metabolizing enzymes and transporters. Enzymes and transporters reported to be</x:v>
      </x:c>
      <x:c r="J174" s="37" t="str">
        <x:v>https://drug.fda.moph.go.th/media.php?id=810448559467012096&amp;name=SMPC_Rifampicin_Tablets.pdf</x:v>
      </x:c>
    </x:row>
    <x:row r="175">
      <x:c r="A175" s="31" t="str">
        <x:v>cefazolin</x:v>
      </x:c>
      <x:c r="B175" s="31" t="str">
        <x:v>tetracycline</x:v>
      </x:c>
      <x:c r="C175" s="31" t="str">
        <x:v>unclassified</x:v>
      </x:c>
      <x:c r="D175" s="31" t="str">
        <x:v>review</x:v>
      </x:c>
      <x:c r="E175" s="31" t="str">
        <x:v>r0049_smpc</x:v>
      </x:c>
      <x:c r="F175" s="31" t="str">
        <x:v>SMPC</x:v>
      </x:c>
      <x:c r="G175" s="31" t="n">
        <x:v>18</x:v>
      </x:c>
      <x:c r="H175" s="31" t="str">
        <x:v>tetracycline hydrochloride</x:v>
      </x:c>
      <x:c r="I175" s="37" t="str">
        <x:v>1 Ref: Cefazolin, MHRA, 27/09/2023 18 erythromycin gluceptate, kanamycin sulphate, oxytetracyclin hydrochloride, pentobarbital -sodium, polymyxin -B-sulphate and tetracycline hydrochloride. This medicinal product must not be mixed with other medicinal products except those mentioned in section 6.6. 6.3. Shelf life &lt;REGARDING THE APPROVAL&gt; 6.4. Special precautions for storage &lt;REGARDING THE APPROVAL&gt; 6.5. Nature and contents of container &lt;REGARDING THE APPROVAL&gt; 6.6. Special precautions for disposal Preparation of the solution &lt;REGARDING THE APPROVAL&gt; For each route of administration see the table for addition volumes an</x:v>
      </x:c>
      <x:c r="J175" s="37" t="str">
        <x:v>https://drug.fda.moph.go.th/media.php?id=809668324005912576&amp;name=SMPC_Cefazolin_Powders for solutions for injections or infusions.pdf</x:v>
      </x:c>
    </x:row>
    <x:row r="176">
      <x:c r="A176" s="31" t="str">
        <x:v>cefuroxime</x:v>
      </x:c>
      <x:c r="B176" s="31" t="str">
        <x:v>furosemide</x:v>
      </x:c>
      <x:c r="C176" s="31" t="str">
        <x:v>moderate</x:v>
      </x:c>
      <x:c r="D176" s="31" t="str">
        <x:v>eligible</x:v>
      </x:c>
      <x:c r="E176" s="31" t="str">
        <x:v>r0051_smpc</x:v>
      </x:c>
      <x:c r="F176" s="31" t="str">
        <x:v>SMPC</x:v>
      </x:c>
      <x:c r="G176" s="31" t="n">
        <x:v>8</x:v>
      </x:c>
      <x:c r="H176" s="31" t="str">
        <x:v>furosemide</x:v>
      </x:c>
      <x:c r="I176" s="37" t="str">
        <x:v>aceptives. Cefuroxime is excreted by glomerular filtration and tubular secretion. Concomitant use of probenicid is not recommended. Concurrent administration of probenecid prolongs the excretion of the antibiotic and produces an elevated peak serum level. Potential nephrotoxic drugs and loop diuretics High-dosage treatments with cephalosporins should be carried out with caution on patients who are taking strong -acting diuretics (such as furosemide) or potential nephrotoxic preparations (such as aminoglycoside antibiotics), since impairment of renal function through such combinations cannot be ruled out.</x:v>
      </x:c>
      <x:c r="J176" s="37" t="str">
        <x:v>https://drug.fda.moph.go.th/media.php?id=808219138211323904&amp;name=smpc_Cefuroxime (POWDER FOR SOLUTION FOR INJECTIONINFUSION) (1).pdf</x:v>
      </x:c>
    </x:row>
    <x:row r="177">
      <x:c r="A177" s="31" t="str">
        <x:v>cefuroxime</x:v>
      </x:c>
      <x:c r="B177" s="31" t="str">
        <x:v>lidocaine</x:v>
      </x:c>
      <x:c r="C177" s="31" t="str">
        <x:v>unclassified</x:v>
      </x:c>
      <x:c r="D177" s="31" t="str">
        <x:v>review</x:v>
      </x:c>
      <x:c r="E177" s="31" t="str">
        <x:v>r0051_smpc</x:v>
      </x:c>
      <x:c r="F177" s="31" t="str">
        <x:v>SMPC</x:v>
      </x:c>
      <x:c r="G177" s="31" t="n">
        <x:v>8</x:v>
      </x:c>
      <x:c r="H177" s="31" t="str">
        <x:v>lidocaine</x:v>
      </x:c>
      <x:c r="I177" s="37" t="str">
        <x:v>ht interference with copper reduction methods (Benedict's, Fehling's, Clinitest) may be observed. However, this should not lead to false-positive results, as may be experienced with some other cephalosporins. As a false negative result may occur in the ferricyanide test, it is recommended that either the glucose oxidase or hexokinase methods are used to determine blood/plasma glucose levels in patients receiving cefuroxime sodium. Use of lidocaine In case a lidocaine solution is used as a solvent, reconstituted medicinal product must only be used for intramuscular injection. Contraindications to lidocaine, warnings and other relevant information as detailed in the Summary of Product Characteristics of lidocaine must be considered before use (see section 4.3). Lidocaine should never be administered intravenously. Excipient information &lt;REGARDING THE APPROVAL&gt; 4.5. Interaction with</x:v>
      </x:c>
      <x:c r="J177" s="37" t="str">
        <x:v>https://drug.fda.moph.go.th/media.php?id=808219138211323904&amp;name=smpc_Cefuroxime (POWDER FOR SOLUTION FOR INJECTIONINFUSION) (1).pdf</x:v>
      </x:c>
    </x:row>
    <x:row r="178">
      <x:c r="A178" s="31" t="str">
        <x:v>chloramphenicol</x:v>
      </x:c>
      <x:c r="B178" s="31" t="str">
        <x:v>cyanocobalamin</x:v>
      </x:c>
      <x:c r="C178" s="31" t="str">
        <x:v>unclassified</x:v>
      </x:c>
      <x:c r="D178" s="31" t="str">
        <x:v>review</x:v>
      </x:c>
      <x:c r="E178" s="31" t="str">
        <x:v>r0090_smpc</x:v>
      </x:c>
      <x:c r="F178" s="31" t="str">
        <x:v>SMPC</x:v>
      </x:c>
      <x:c r="G178" s="31" t="n">
        <x:v>3</x:v>
      </x:c>
      <x:c r="H178" s="31" t="str">
        <x:v>chloramphenicol</x:v>
      </x:c>
      <x:c r="I178" s="37" t="str">
        <x:v>1 Ref: Cytacon, MHRA, date 21/07/2021 3 4.5. Interaction with other medicinal products and other forms of interaction Absorption may be reduced by Para -aminosalicylic acid, colchinine, biguanides, neomycin, cholestyramine, potassium chloride, methyldopa, and cimetidine. Patients treated with chloramphenicol may respond poorly to this medicine. Serum levels of this medicine may be lowered by oral contraceptives. These interactions are unlikely to have clinical significance. Anti-metabolities and most antibiotics invalidate vitamins B12 assays by microbiological techniques. 4.6. Fertility, pregnancy and lactation Pregnancy This medicine should not be used to treat megaloblastic anaemia of pregnancy because this is due to folate d</x:v>
      </x:c>
      <x:c r="J178" s="37" t="str">
        <x:v>https://drug.fda.moph.go.th/media.php?id=809692799212593152&amp;name=SMPC_Cyanocobalamin_Tablets.pdf</x:v>
      </x:c>
    </x:row>
    <x:row r="179">
      <x:c r="A179" s="31" t="str">
        <x:v>chloramphenicol</x:v>
      </x:c>
      <x:c r="B179" s="31" t="str">
        <x:v>cyclophosphamide</x:v>
      </x:c>
      <x:c r="C179" s="31" t="str">
        <x:v>unclassified</x:v>
      </x:c>
      <x:c r="D179" s="31" t="str">
        <x:v>review</x:v>
      </x:c>
      <x:c r="E179" s="31" t="str">
        <x:v>r0091_smpc</x:v>
      </x:c>
      <x:c r="F179" s="31" t="str">
        <x:v>SMPC</x:v>
      </x:c>
      <x:c r="G179" s="31" t="n">
        <x:v>14</x:v>
      </x:c>
      <x:c r="H179" s="31" t="str">
        <x:v>chloramphenicol</x:v>
      </x:c>
      <x:c r="I179" s="37" t="str">
        <x:v>in patients who received high -dose cyclophosphamide less than 24 hours after high -dose busulfan. Increased incidence of hepatic veno-occlusive disease and mucositis has been reported with concomitant administration (see section 4.2 and 4.4). - Ciprofloxacin: when administered prior to treatment with cyclophosphamide (used for conditioning prior to bone marrow transplant), ciprofloxacin may cause regression of the underlying disease. - Chloramphenicol</x:v>
      </x:c>
      <x:c r="J179" s="37" t="str">
        <x:v>https://drug.fda.moph.go.th/media.php?id=809693226402455552&amp;name=SMPC_Cyclophosphamide_Powders for solutions for injections or infusions.pdf</x:v>
      </x:c>
    </x:row>
    <x:row r="180">
      <x:c r="A180" s="31" t="str">
        <x:v>chloramphenicol</x:v>
      </x:c>
      <x:c r="B180" s="31" t="str">
        <x:v>dobutamine</x:v>
      </x:c>
      <x:c r="C180" s="31" t="str">
        <x:v>unclassified</x:v>
      </x:c>
      <x:c r="D180" s="31" t="str">
        <x:v>review</x:v>
      </x:c>
      <x:c r="E180" s="31" t="str">
        <x:v>r0434_smpc</x:v>
      </x:c>
      <x:c r="F180" s="31" t="str">
        <x:v>SMPC</x:v>
      </x:c>
      <x:c r="G180" s="31" t="n">
        <x:v>13</x:v>
      </x:c>
      <x:c r="H180" s="31" t="str">
        <x:v>chloramphenicol</x:v>
      </x:c>
      <x:c r="I180" s="37" t="str">
        <x:v>ulfite and ethanol, aciclovir, alteplase, aminophylline, bretylium, calcium chloride, calcium gluconate, cefamandol formiate, cephalotine sodium, cephazolin sodium, diazepam, digoxin, etacrynic acid (sodium salt), furosemide, heparin sodium, hydrogen cortisone sodium succinate, insulin, potassium chloride, magnesium sulfate, penicillin, phenytoin, streptokinase, verapamil. Furthermore known incompatibilities for sodium metabisulfite are: - chloramphenicol, - cisplatin. This medicinal product must not be mixed with other medicinal products except those mentioned in section 6.6. 6.3 Shelf life &lt;ปรับตามทะเบียน&gt; 6.4 Special precautions for storage &lt;ปรับตามทะเบียน&gt; 6.5 Nature and contents of container &lt;ปรับตามทะเบียน&gt; 6.6 Special precautions for disposal &lt;ปรับตามทะเบียน&gt; 7. NAME AND ADDRESS OF MANUFACTURE MARKETING AUTHORIZATION &lt;ปรับตามทะเบียน&gt; 8. MARKETING AUTHORIZATION NUMBER &lt;ปรับ</x:v>
      </x:c>
      <x:c r="J180" s="37" t="str">
        <x:v>https://drug.fda.moph.go.th/media.php?id=904966129582219264&amp;name=2. Ref SmPC_Dobutamine.pdf</x:v>
      </x:c>
    </x:row>
    <x:row r="181">
      <x:c r="A181" s="31" t="str">
        <x:v>chloramphenicol</x:v>
      </x:c>
      <x:c r="B181" s="31" t="str">
        <x:v>erythromycin</x:v>
      </x:c>
      <x:c r="C181" s="31" t="str">
        <x:v>unclassified</x:v>
      </x:c>
      <x:c r="D181" s="31" t="str">
        <x:v>review</x:v>
      </x:c>
      <x:c r="E181" s="31" t="str">
        <x:v>r0126_smpc</x:v>
      </x:c>
      <x:c r="F181" s="31" t="str">
        <x:v>SMPC</x:v>
      </x:c>
      <x:c r="G181" s="31" t="n">
        <x:v>10</x:v>
      </x:c>
      <x:c r="H181" s="31" t="str">
        <x:v>chloramphenicol</x:v>
      </x:c>
      <x:c r="I181" s="37" t="str">
        <x:v>result in an enhanced risk of cardio toxicity with these drugs. The concomitant use of erythromycin with either simvastatin, tolterodine, mizolastine, amisulpride, astemizole or terfenadine is therefore contraindicated. Anti -bacterial agents: an in vitro antagonism exists between erythromycin and the bactericidal beta -lactam antibiotics (e.g. penicillin, cephalosporin). Erythromycin antagonises the action of clindamycin, lincomycin and chloramphenicol. The same applies for streptomycin, tetracyclines and colistin. Protease inhibitors: in concomitant administration of erythromycin and protease inhibitors, an inhibition of the decomposition of erythromycin has been observed Oral anticoagulants: there have been reports of increased anticoagulant effects when erythromycin and oral anticoagulants (e.g. warfarin, rivaroxaban) are used concomitantly. Triazolobenzodiazepines (such as triazola</x:v>
      </x:c>
      <x:c r="J181" s="37" t="str">
        <x:v>https://drug.fda.moph.go.th/media.php?id=810076416409477120&amp;name=SMPC_Erythromycin_Gastro-resistant tablets.pdf</x:v>
      </x:c>
    </x:row>
    <x:row r="182">
      <x:c r="A182" s="31" t="str">
        <x:v>chloramphenicol</x:v>
      </x:c>
      <x:c r="B182" s="31" t="str">
        <x:v>erythromycin</x:v>
      </x:c>
      <x:c r="C182" s="31" t="str">
        <x:v>unclassified</x:v>
      </x:c>
      <x:c r="D182" s="31" t="str">
        <x:v>review</x:v>
      </x:c>
      <x:c r="E182" s="31" t="str">
        <x:v>r0127_smpc</x:v>
      </x:c>
      <x:c r="F182" s="31" t="str">
        <x:v>SMPC</x:v>
      </x:c>
      <x:c r="G182" s="31" t="n">
        <x:v>9</x:v>
      </x:c>
      <x:c r="H182" s="31" t="str">
        <x:v>chloramphenicol</x:v>
      </x:c>
      <x:c r="I182" s="37" t="str">
        <x:v>arrest, torsade de pointes and other ventricular arrhythmias have been observed (see sections 4.3 and 4.8). Anti -bacterial agents: an in vitro antagonism exists between erythromycin and the bactericidal beta -lactam antibiotics (e.g. penicillin, cephalosporin). Erythromycin antagonises the action of clindamycin, lincomycin and chloramphenicol. The same applies fo r streptomycin, tetracyclines and colistin. Protease inhibitors: in concomitant administration of erythromycin and protease inhibitors, an inhibition of the decomposition of erythromycin has been observed. Oral anticoagulants: there have been reports of increased anticoagulant effects when erythromycin and oral anticoagulants (e.g. warfarin, rivaroxaban) are used concomitantly. Triazolobenzodiazepines (such as triazo</x:v>
      </x:c>
      <x:c r="J182" s="37" t="str">
        <x:v>https://drug.fda.moph.go.th/media.php?id=810076760694726656&amp;name=SMPC_Erythromycin_film-coated tablets.pdf</x:v>
      </x:c>
    </x:row>
    <x:row r="183">
      <x:c r="A183" s="31" t="str">
        <x:v>chloramphenicol</x:v>
      </x:c>
      <x:c r="B183" s="31" t="str">
        <x:v>ferrous</x:v>
      </x:c>
      <x:c r="C183" s="31" t="str">
        <x:v>unclassified</x:v>
      </x:c>
      <x:c r="D183" s="31" t="str">
        <x:v>review</x:v>
      </x:c>
      <x:c r="E183" s="31" t="str">
        <x:v>r0143_smpc</x:v>
      </x:c>
      <x:c r="F183" s="31" t="str">
        <x:v>SMPC</x:v>
      </x:c>
      <x:c r="G183" s="31" t="n">
        <x:v>4</x:v>
      </x:c>
      <x:c r="H183" s="31" t="str">
        <x:v>chloramphenicol</x:v>
      </x:c>
      <x:c r="I183" s="37" t="str">
        <x:v>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 milk. Avoid concomitant use of iron with dimercaprol. Oral iron antagonises hypotensive effect of methyldopa . 4.6. Fertility, pregnancy and lactation Pregnancy Ferrous fumarate tablets can be used during pregnancy if clinicall</x:v>
      </x:c>
      <x:c r="J183" s="37" t="str">
        <x:v>https://drug.fda.moph.go.th/media.php?id=810079316368039936&amp;name=SMPC_Ferrous fumarate_Tablets.pdf</x:v>
      </x:c>
    </x:row>
    <x:row r="184">
      <x:c r="A184" s="31" t="str">
        <x:v>chloramphenicol</x:v>
      </x:c>
      <x:c r="B184" s="31" t="str">
        <x:v>ferrous</x:v>
      </x:c>
      <x:c r="C184" s="31" t="str">
        <x:v>unclassified</x:v>
      </x:c>
      <x:c r="D184" s="31" t="str">
        <x:v>review</x:v>
      </x:c>
      <x:c r="E184" s="31" t="str">
        <x:v>r0144_smpc</x:v>
      </x:c>
      <x:c r="F184" s="31" t="str">
        <x:v>SMPC</x:v>
      </x:c>
      <x:c r="G184" s="31" t="n">
        <x:v>4</x:v>
      </x:c>
      <x:c r="H184" s="31" t="str">
        <x:v>chloramphenicol</x:v>
      </x:c>
      <x:c r="I184" s="37" t="str">
        <x:v>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 milk. Avoid concomitant use of iron with dimercaprol. Oral iron antagonises hypotensive effect of methyldopa. 4.6. Fertility, pregnancy and lactation Pregnancy Ferrous fumarate can be used during pregnancy if clinically indicated</x:v>
      </x:c>
      <x:c r="J184" s="37" t="str">
        <x:v>https://drug.fda.moph.go.th/media.php?id=810079681742249984&amp;name=SMPC_Ferrous fumarate_ syrup.pdf</x:v>
      </x:c>
    </x:row>
    <x:row r="185">
      <x:c r="A185" s="31" t="str">
        <x:v>chloramphenicol</x:v>
      </x:c>
      <x:c r="B185" s="31" t="str">
        <x:v>phenoxymethylpenicillin_penicillin_v</x:v>
      </x:c>
      <x:c r="C185" s="31" t="str">
        <x:v>unclassified</x:v>
      </x:c>
      <x:c r="D185" s="31" t="str">
        <x:v>review</x:v>
      </x:c>
      <x:c r="E185" s="31" t="str">
        <x:v>r0277_smpc</x:v>
      </x:c>
      <x:c r="F185" s="31" t="str">
        <x:v>SMPC</x:v>
      </x:c>
      <x:c r="G185" s="31" t="n">
        <x:v>4</x:v>
      </x:c>
      <x:c r="H185" s="31" t="str">
        <x:v>chloramphenicol</x:v>
      </x:c>
      <x:c r="I185" s="37" t="str">
        <x:v>including fungi. If super infection occurs, appropriate measures should be taken. Excipient information &lt;REGARDING THE APPROVAL&gt; 4.5. Interaction with other medicinal products and other forms of interaction Aminoglycosides: Neomycin is reported to reduce the absorption of phenoxymethylpenicillin. Anticoagulants: Penicillins may interfere with anticoagulant control. Bacteriostatic antibiotics : Certain bacteriostatic antibiotics such as Chloramphenicol, Erythromycin and Tetracyclines have been reported to antagonise the bactericidal activity of penicillins and concomitant use is not recommended.</x:v>
      </x:c>
      <x:c r="J185" s="37" t="str">
        <x:v>https://drug.fda.moph.go.th/media.php?id=810432142491394048&amp;name=SMPC_Phenoxymethylpenicillin potassium_Dry syrup.pdf</x:v>
      </x:c>
    </x:row>
    <x:row r="186">
      <x:c r="A186" s="31" t="str">
        <x:v>chloramphenicol</x:v>
      </x:c>
      <x:c r="B186" s="31" t="str">
        <x:v>rifampicin</x:v>
      </x:c>
      <x:c r="C186" s="31" t="str">
        <x:v>unclassified</x:v>
      </x:c>
      <x:c r="D186" s="31" t="str">
        <x:v>review</x:v>
      </x:c>
      <x:c r="E186" s="31" t="str">
        <x:v>r0056_smpc</x:v>
      </x:c>
      <x:c r="F186" s="31" t="str">
        <x:v>SMPC</x:v>
      </x:c>
      <x:c r="G186" s="31" t="n">
        <x:v>7</x:v>
      </x:c>
      <x:c r="H186" s="31" t="str">
        <x:v>rifampicin</x:v>
      </x:c>
      <x:c r="I186" s="37" t="str">
        <x:v>&lt;REGARDING THE APPROVAL&gt; 4.5. Interaction with other medicinal products and other forms of interaction Chloramphenicol has been shown to interact with, and enhance the effects of coumarin anticoagulants, some hypoglycaemic agents (e.g. tolbutamide) and phenytoin. When given concurrently, a dose reduction of these agents may be necessary. Plasma concentrations of chloramphenicol may be reduced with concomitant usage of phenobarbital and rifampicin. 4.6. Fertility, pregnancy and lactation Pregnancy The use of chloramphenicol is contraindicated. Breast-feeding The use of chloramphenicol is contraindicated. 4.7. Effects on ability to drive and use machines No or negligible influence. 4.8. Undesirable effects Tabulated summary of adverse reactions The adverse reactions are grouped according to their system organ classes and the frequencies ranked according to the following convent</x:v>
      </x:c>
      <x:c r="J186" s="37" t="str">
        <x:v>https://drug.fda.moph.go.th/media.php?id=809670694370680832&amp;name=SMPC_Chloramphenicol_Powders for solutions for injections or infusions.pdf</x:v>
      </x:c>
    </x:row>
    <x:row r="187">
      <x:c r="A187" s="31" t="str">
        <x:v>chlorpromazine</x:v>
      </x:c>
      <x:c r="B187" s="31" t="str">
        <x:v>clonidine</x:v>
      </x:c>
      <x:c r="C187" s="31" t="str">
        <x:v>unclassified</x:v>
      </x:c>
      <x:c r="D187" s="31" t="str">
        <x:v>review</x:v>
      </x:c>
      <x:c r="E187" s="31" t="str">
        <x:v>r0066_smpc</x:v>
      </x:c>
      <x:c r="F187" s="31" t="str">
        <x:v>SMPC</x:v>
      </x:c>
      <x:c r="G187" s="31" t="n">
        <x:v>8</x:v>
      </x:c>
      <x:c r="H187" s="31" t="str">
        <x:v>clonidine</x:v>
      </x:c>
      <x:c r="I187" s="37" t="str">
        <x:v>inal products and other forms of interaction Adrenaline must not be used in patients overdosed with chlorpromazine. Anticholinergic agents may reduce the antipsychotic effect of chlorpromazine and the mild anticholinergic effect of Chlorpromazine may be enhanced by other anticholinergic drugs possibly leading to constipation, heat stroke, etc. The action of some drugs may be opposed by chlorpromazine; these include amphetamine, levodopa, clonidine, guanethidine and adrenaline.</x:v>
      </x:c>
      <x:c r="J187" s="37" t="str">
        <x:v>https://drug.fda.moph.go.th/media.php?id=809674435173949440&amp;name=SMPC_Chlorpromazine_Capsules.pdf</x:v>
      </x:c>
    </x:row>
    <x:row r="188">
      <x:c r="A188" s="31" t="str">
        <x:v>chlorpromazine</x:v>
      </x:c>
      <x:c r="B188" s="31" t="str">
        <x:v>disulfiram</x:v>
      </x:c>
      <x:c r="C188" s="31" t="str">
        <x:v>moderate</x:v>
      </x:c>
      <x:c r="D188" s="31" t="str">
        <x:v>eligible</x:v>
      </x:c>
      <x:c r="E188" s="31" t="str">
        <x:v>r0114_smpc</x:v>
      </x:c>
      <x:c r="F188" s="31" t="str">
        <x:v>SMPC</x:v>
      </x:c>
      <x:c r="G188" s="31" t="n">
        <x:v>4</x:v>
      </x:c>
      <x:c r="H188" s="31" t="str">
        <x:v>chlorpromazine</x:v>
      </x:c>
      <x:c r="I188" s="37" t="str">
        <x:v>injury associated with jaundice occur. Excipient information &lt;REGARDING THE APPROVAL&gt; 4.5. Interaction with other medicinal products and other forms of interaction Disulfiram blocks the metabolism of alcohol and leads to an accumulation of acetaldehyde in the blood stream. For full details of the disulfiram-alcohol reaction please refer to section 4.8. The intensity of the Disulfiram -alcohol reaction may be increased by amitriptyline. Chlorpromazine while decreasing certain components of the Disulfiram-alcohol reaction may increase the overall intensity of the reaction. Disulfiram inhibits the metabolism of certain benzodiazepines such as chlordiazepoxide and diazepam enhancing their sedative effect. The interaction is not indicated for oxazepam. Benzodiazepines may reduce the disulfiram-alcohol reaction. Disulfiram inhibits the metabolism of many drugs which are converted in the li</x:v>
      </x:c>
      <x:c r="J188" s="37" t="str">
        <x:v>https://drug.fda.moph.go.th/media.php?id=810072772666597376&amp;name=SMPC_Disulfiram_Tablets.pdf</x:v>
      </x:c>
    </x:row>
    <x:row r="189">
      <x:c r="A189" s="31" t="str">
        <x:v>chlorpromazine</x:v>
      </x:c>
      <x:c r="B189" s="31" t="str">
        <x:v>haloperidol</x:v>
      </x:c>
      <x:c r="C189" s="31" t="str">
        <x:v>unclassified</x:v>
      </x:c>
      <x:c r="D189" s="31" t="str">
        <x:v>review</x:v>
      </x:c>
      <x:c r="E189" s="31" t="str">
        <x:v>r0172_smpc</x:v>
      </x:c>
      <x:c r="F189" s="31" t="str">
        <x:v>SMPC</x:v>
      </x:c>
      <x:c r="G189" s="31" t="n">
        <x:v>14</x:v>
      </x:c>
      <x:c r="H189" s="31" t="str">
        <x:v>chlorpromazine</x:v>
      </x:c>
      <x:c r="I189" s="37" t="str">
        <x:v>inistered may range between 20 to 40%, although in some cases, increases of up to 100% have been reported. Examples of medicinal products that may increase haloperidol plasma concentrations (based on clinical experience or drug interaction mechanism) include: • CYP3A4 inhibitors – alprazolam, fluvoxamine, indinavir, itraconazole, ketoconazole, nefazodone, posaconazole, saquinavir, verapamil, voriconazole. • CYP2D6 inhibitors – bupropion, chlorpromazine, duloxetine, paroxetine, promethazine, sertraline, venlafaxine. • Combined CYP3A4 and CYP2D6 inhibitors: fluoxetine, ritonavir. • Uncertain mechanism – buspirone. This list is not exhaustive. Increased haloperidol plasma concentrations may result in an increased risk of adverse events, including QTc -prolongation (see section 4.4). Increases in QTc have been observed when haloperidol was given with a combination of the metabolic inhibito</x:v>
      </x:c>
      <x:c r="J189" s="37" t="str">
        <x:v>https://drug.fda.moph.go.th/media.php?id=808571302360260608&amp;name=SmPC - Haloperidol ORAL SOLUTION.pdf</x:v>
      </x:c>
    </x:row>
    <x:row r="190">
      <x:c r="A190" s="31" t="str">
        <x:v>chlorpromazine</x:v>
      </x:c>
      <x:c r="B190" s="31" t="str">
        <x:v>indapamide</x:v>
      </x:c>
      <x:c r="C190" s="31" t="str">
        <x:v>unclassified</x:v>
      </x:c>
      <x:c r="D190" s="31" t="str">
        <x:v>review</x:v>
      </x:c>
      <x:c r="E190" s="31" t="str">
        <x:v>r0186_smpc</x:v>
      </x:c>
      <x:c r="F190" s="31" t="str">
        <x:v>SMPC</x:v>
      </x:c>
      <x:c r="G190" s="31" t="n">
        <x:v>6</x:v>
      </x:c>
      <x:c r="H190" s="31" t="str">
        <x:v>chlorpromazine</x:v>
      </x:c>
      <x:c r="I190" s="37" t="str">
        <x:v>lt-free diet (decreased urinaryLithium secretion). However, if the use of diuretics is necessary, careful monitoring of plasma Lithium and dose adjustment are required. Combinations requiring precautions for use: Torsades de pointes-inducing drugs: Class Ia antiarrhythmic drugs (Quinidine, Hydroquinidine, Disopyramide), Class III antiarrhythmics (Amiodarone, Bretylium, Sotalol dofetilide, ibutilide) Some antipsychotics: phenothiazines (chlorpromazine, cyamemazine, levomepromazine, thioridazine, trifluoperazine), benzamides (amisulpride, sulpiride, tiapride) butyrophenones (droperidol,haloperidol) others: bepridil, cisapride, diphemanil, mizolastine, sparfloxacin, moxifloxacin, IV-erythromycin, Halofantrine, Pentamidine, SultoprideTerfenadine, Vincamine IV. Increased risk of ventricular arrhythmias, particularly Torsade de pointes (hypokalaemia is arisk factor) Monitor for hypokalaemi</x:v>
      </x:c>
      <x:c r="J190" s="37" t="str">
        <x:v>https://drug.fda.moph.go.th/media.php?id=810384338393899008&amp;name=SMPC_Indapamide_Tablets.pdf</x:v>
      </x:c>
    </x:row>
    <x:row r="191">
      <x:c r="A191" s="31" t="str">
        <x:v>chlorpromazine</x:v>
      </x:c>
      <x:c r="B191" s="31" t="str">
        <x:v>insulin</x:v>
      </x:c>
      <x:c r="C191" s="31" t="str">
        <x:v>unclassified</x:v>
      </x:c>
      <x:c r="D191" s="31" t="str">
        <x:v>review</x:v>
      </x:c>
      <x:c r="E191" s="31" t="str">
        <x:v>r0066_smpc</x:v>
      </x:c>
      <x:c r="F191" s="31" t="str">
        <x:v>SMPC</x:v>
      </x:c>
      <x:c r="G191" s="31" t="n">
        <x:v>10</x:v>
      </x:c>
      <x:c r="H191" s="31" t="str">
        <x:v>insulin</x:v>
      </x:c>
      <x:c r="I191" s="37" t="str">
        <x:v>ypertonia and hyper -reflexivity, occasionally with a rapid increase in serum concentrations of lithium (see Section 4.4). There have been rare cases of neurotoxicity Lit hium can interfere with the absorption of neuroleptic agents. Combinations requiring precautions Anti-diabetic agents: concomitant administration of high chlorpromazine doses (100 mg/day), and anti -diabetic agents can lead to an increase in blood sugar levels (decreased insulin release). Forewarn the patient and advise increased self-monitoring of blood and urine levels. If necessary, adjust the anti-diabetic dosage during and after discontinuing neuroleptic treatment. Topical gastrointestinal agents (magnesium, aluminium and calcium salts, oxides and hydroxides): decreased GI absorption of phenothiazine neuroleptics. Do not administer phenothiazine neuroleptics simultaneously with topical GI agents (administer</x:v>
      </x:c>
      <x:c r="J191" s="37" t="str">
        <x:v>https://drug.fda.moph.go.th/media.php?id=809674435173949440&amp;name=SMPC_Chlorpromazine_Capsules.pdf</x:v>
      </x:c>
    </x:row>
    <x:row r="192">
      <x:c r="A192" s="31" t="str">
        <x:v>chlorpromazine</x:v>
      </x:c>
      <x:c r="B192" s="31" t="str">
        <x:v>lithium</x:v>
      </x:c>
      <x:c r="C192" s="31" t="str">
        <x:v>unclassified</x:v>
      </x:c>
      <x:c r="D192" s="31" t="str">
        <x:v>review</x:v>
      </x:c>
      <x:c r="E192" s="31" t="str">
        <x:v>r0066_smpc</x:v>
      </x:c>
      <x:c r="F192" s="31" t="str">
        <x:v>SMPC</x:v>
      </x:c>
      <x:c r="G192" s="31" t="n">
        <x:v>4</x:v>
      </x:c>
      <x:c r="H192" s="31" t="str">
        <x:v>lithium</x:v>
      </x:c>
      <x:c r="I192" s="37" t="str">
        <x:v>1 Ref: Chlorpromazine, MHRA, 24/10/2023 4 Patients are strongly advised not to consume alcohol and alcohol - containing drugs throughout treatment (see section 4.5). The concomitant use of chlorpromazine with lithium, other QT prolonging agents, and dopaminergic antiparkinsonian agents is not recommended (see section 4.5). Blood Disorders: All patients must be advised that, if they experience fever, sore throat or any other infection, they should inform their physician immediately and undergo a complete blood count. Treatment will be discontinued if any marked changes (hyperleucocytosis, granulocytopenia) are observed in the latter. As agranulocytosi</x:v>
      </x:c>
      <x:c r="J192" s="37" t="str">
        <x:v>https://drug.fda.moph.go.th/media.php?id=809674435173949440&amp;name=SMPC_Chlorpromazine_Capsules.pdf</x:v>
      </x:c>
    </x:row>
    <x:row r="193">
      <x:c r="A193" s="31" t="str">
        <x:v>chlorpromazine</x:v>
      </x:c>
      <x:c r="B193" s="31" t="str">
        <x:v>lithium</x:v>
      </x:c>
      <x:c r="C193" s="31" t="str">
        <x:v>unclassified</x:v>
      </x:c>
      <x:c r="D193" s="31" t="str">
        <x:v>review</x:v>
      </x:c>
      <x:c r="E193" s="31" t="str">
        <x:v>r0066_smpc</x:v>
      </x:c>
      <x:c r="F193" s="31" t="str">
        <x:v>SMPC</x:v>
      </x:c>
      <x:c r="G193" s="31" t="n">
        <x:v>10</x:v>
      </x:c>
      <x:c r="H193" s="31" t="str">
        <x:v>lithium</x:v>
      </x:c>
      <x:c r="I193" s="37" t="str">
        <x:v>1 Ref: Chlorpromazine, MHRA, 24/10/2023 10 Alcohol: alcohol potentiates the sedative effect of neuroleptics. Changes in alertness can make it dangerous to drive or operate machinery. Alcoholic beverages and medication containing alcohol should be avoided (see Section 4.4). Lithium (high doses of neuroleptics): concomitant use can cause confusional syndrome, hypertonia and hyper -reflexivity, occasionally with a rapid increase in serum concentrations of lithium (see Section 4.4). There have been rare cases of neurotoxicity Lit hium can interfere with the absorption of neuroleptic agents. Combinations requiring precautions Anti-diabetic agents: concomitant administration of high chlorpromazine doses (100 mg/day), and</x:v>
      </x:c>
      <x:c r="J193" s="37" t="str">
        <x:v>https://drug.fda.moph.go.th/media.php?id=809674435173949440&amp;name=SMPC_Chlorpromazine_Capsules.pdf</x:v>
      </x:c>
    </x:row>
    <x:row r="194">
      <x:c r="A194" s="31" t="str">
        <x:v>chlorpromazine</x:v>
      </x:c>
      <x:c r="B194" s="31" t="str">
        <x:v>magnesium</x:v>
      </x:c>
      <x:c r="C194" s="31" t="str">
        <x:v>unclassified</x:v>
      </x:c>
      <x:c r="D194" s="31" t="str">
        <x:v>review</x:v>
      </x:c>
      <x:c r="E194" s="31" t="str">
        <x:v>r0066_smpc</x:v>
      </x:c>
      <x:c r="F194" s="31" t="str">
        <x:v>SMPC</x:v>
      </x:c>
      <x:c r="G194" s="31" t="n">
        <x:v>10</x:v>
      </x:c>
      <x:c r="H194" s="31" t="str">
        <x:v>magnesium</x:v>
      </x:c>
      <x:c r="I194" s="37" t="str">
        <x:v>binations requiring precautions Anti-diabetic agents: concomitant administration of high chlorpromazine doses (100 mg/day), and anti -diabetic agents can lead to an increase in blood sugar levels (decreased insulin release). Forewarn the patient and advise increased self-monitoring of blood and urine levels. If necessary, adjust the anti-diabetic dosage during and after discontinuing neuroleptic treatment. Topical gastrointestinal agents (magnesium, aluminium and calcium salts, oxides and hydroxides): decreased GI absorption of phenothiazine neuroleptics. Do not administer phenothiazine neuroleptics simultaneously with topical GI agents (administer more than 2 hours apart if possible). CYP1A2 inhibitors Administration of chlorpromazine with CYP1A2 inhibitors, in particular strong or moderate inhibitors may lead to an increase of chlorpromazine plasma concentrations. Therefore, pati</x:v>
      </x:c>
      <x:c r="J194" s="37" t="str">
        <x:v>https://drug.fda.moph.go.th/media.php?id=809674435173949440&amp;name=SMPC_Chlorpromazine_Capsules.pdf</x:v>
      </x:c>
    </x:row>
    <x:row r="195">
      <x:c r="A195" s="31" t="str">
        <x:v>chlorpromazine</x:v>
      </x:c>
      <x:c r="B195" s="31" t="str">
        <x:v>pimozide</x:v>
      </x:c>
      <x:c r="C195" s="31" t="str">
        <x:v>unclassified</x:v>
      </x:c>
      <x:c r="D195" s="31" t="str">
        <x:v>review</x:v>
      </x:c>
      <x:c r="E195" s="31" t="str">
        <x:v>r0278_smpc</x:v>
      </x:c>
      <x:c r="F195" s="31" t="str">
        <x:v>SMPC</x:v>
      </x:c>
      <x:c r="G195" s="31" t="n">
        <x:v>10</x:v>
      </x:c>
      <x:c r="H195" s="31" t="str">
        <x:v>chlorpromazine</x:v>
      </x:c>
      <x:c r="I195" s="37" t="str">
        <x:v>ch as metoclopramide. Avoid concomitant use with sibutramine due to an increased risk of CNS toxicity. Concomitant use with calcium channel blockers may result in an enhanced hypotensive effect. Concurrent treatment with neuroleptics should be kept to a minimum as they may predispose to the cardiotoxic effects of pimozide . Particular care should be exercised in patients who are using depot neuroleptics . Low potency neuroleptics such as chlorpromazine and thioridazine should not be used concomitantly with pimozide . Pimozide is metabolised mainly via the cytochrome P450 subtype 3A4 (CYP 3A4) enzyme system and, to a lesser extent, via the CYP 2D6 subtype . Concomitant use of pimozide with drugs know n to be inhibitors of cytochrome P450 CYP 3A4 or CYP 2D6 is contraindicated (see Section 4.3). In vitro data indicate that highly potent inhibitors of the CYP 3A4 enzyme system, such as azo</x:v>
      </x:c>
      <x:c r="J195" s="37" t="str">
        <x:v>https://drug.fda.moph.go.th/media.php?id=810432738745262080&amp;name=SMPC_Pimozide_Tablet.pdf</x:v>
      </x:c>
    </x:row>
    <x:row r="196">
      <x:c r="A196" s="31" t="str">
        <x:v>chlorpromazine</x:v>
      </x:c>
      <x:c r="B196" s="31" t="str">
        <x:v>trazodone</x:v>
      </x:c>
      <x:c r="C196" s="31" t="str">
        <x:v>unclassified</x:v>
      </x:c>
      <x:c r="D196" s="31" t="str">
        <x:v>review</x:v>
      </x:c>
      <x:c r="E196" s="31" t="str">
        <x:v>r0352_smpc</x:v>
      </x:c>
      <x:c r="F196" s="31" t="str">
        <x:v>SMPC</x:v>
      </x:c>
      <x:c r="G196" s="31" t="n">
        <x:v>12</x:v>
      </x:c>
      <x:c r="H196" s="31" t="str">
        <x:v>chlorpromazine</x:v>
      </x:c>
      <x:c r="I196" s="37" t="str">
        <x:v>th monoamine oxidase inhibitors have occasionally been reported. Although some clinicians do give both concurrently, use of &lt;GENERIC NAME&gt; with MAOIs, or within two weeks of stopping treatment with these compounds is not recommended. The giving of MAOIs within one week of stopping &lt;GENERIC NAME&gt; is also not recommended. Phenothiazines: Severe orthostatic hypotension has been observed in case of concomitant use of phenothiazines, like e.g. chlorpromazine, fluphenazine, levomepromazine, perphenazine. Serotonin syndrome: &lt;GENERIC NAME&gt; should be used cautiously when coadministered with: Buprenorphine/opioids, as the risk of serotonin syndrome, a potentially lifethreatening condition, is increased (see section 4.4). Other: Concomitant use of &lt;GENERIC NAME&gt; with drugs known to prolong the QT interval may increase the risk of ventricular arrhythmias, including torsade de pointes. Caution shou</x:v>
      </x:c>
      <x:c r="J196" s="37" t="str">
        <x:v>https://drug.fda.moph.go.th/media.php?id=810484413367459840&amp;name=SMPC_Trazodone_Tablets.pdf</x:v>
      </x:c>
    </x:row>
    <x:row r="197">
      <x:c r="A197" s="31" t="str">
        <x:v>cholestyramine</x:v>
      </x:c>
      <x:c r="B197" s="31" t="str">
        <x:v>cyanocobalamin</x:v>
      </x:c>
      <x:c r="C197" s="31" t="str">
        <x:v>unclassified</x:v>
      </x:c>
      <x:c r="D197" s="31" t="str">
        <x:v>review</x:v>
      </x:c>
      <x:c r="E197" s="31" t="str">
        <x:v>r0090_smpc</x:v>
      </x:c>
      <x:c r="F197" s="31" t="str">
        <x:v>SMPC</x:v>
      </x:c>
      <x:c r="G197" s="31" t="n">
        <x:v>3</x:v>
      </x:c>
      <x:c r="H197" s="31" t="str">
        <x:v>cholestyramine</x:v>
      </x:c>
      <x:c r="I197" s="37" t="str">
        <x:v>1 Ref: Cytacon, MHRA, date 21/07/2021 3 4.5. Interaction with other medicinal products and other forms of interaction Absorption may be reduced by Para -aminosalicylic acid, colchinine, biguanides, neomycin, cholestyramine, potassium chloride, methyldopa, and cimetidine. Patients treated with chloramphenicol may respond poorly to this medicine. Serum levels of this medicine may be lowered by oral contraceptives. These interactions are unlikely to have clinical significance. Anti-metabolities and most antibiotics invalidate vitamins B12 assays by microbiological techniques. 4.6. Fertility, pregnancy and lactation Pregnancy This medicine sho</x:v>
      </x:c>
      <x:c r="J197" s="37" t="str">
        <x:v>https://drug.fda.moph.go.th/media.php?id=809692799212593152&amp;name=SMPC_Cyanocobalamin_Tablets.pdf</x:v>
      </x:c>
    </x:row>
    <x:row r="198">
      <x:c r="A198" s="31" t="str">
        <x:v>cholestyramine</x:v>
      </x:c>
      <x:c r="B198" s="31" t="str">
        <x:v>ferrous</x:v>
      </x:c>
      <x:c r="C198" s="31" t="str">
        <x:v>unclassified</x:v>
      </x:c>
      <x:c r="D198" s="31" t="str">
        <x:v>review</x:v>
      </x:c>
      <x:c r="E198" s="31" t="str">
        <x:v>r0143_smpc</x:v>
      </x:c>
      <x:c r="F198" s="31" t="str">
        <x:v>SMPC</x:v>
      </x:c>
      <x:c r="G198" s="31" t="n">
        <x:v>4</x:v>
      </x:c>
      <x:c r="H198" s="31" t="str">
        <x:v>cholestyramine</x:v>
      </x:c>
      <x:c r="I198" s="37" t="str">
        <x:v>,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 milk. Avoid concomitant use of iron with dimercaprol. Oral iron antagonises hypotensive effect of methyldopa . 4.6. Fertility, pregnancy and lactation Pregnancy Ferrous fumarate tablets can be used during pregnancy if clinically indicated. Breast-feeding No adverse effects of ferrous fumarate have been shown in breastfed infants of treated mothers. Ferrous fumarate tablets can be used during breast-feedin</x:v>
      </x:c>
      <x:c r="J198" s="37" t="str">
        <x:v>https://drug.fda.moph.go.th/media.php?id=810079316368039936&amp;name=SMPC_Ferrous fumarate_Tablets.pdf</x:v>
      </x:c>
    </x:row>
    <x:row r="199">
      <x:c r="A199" s="31" t="str">
        <x:v>cholestyramine</x:v>
      </x:c>
      <x:c r="B199" s="31" t="str">
        <x:v>ferrous</x:v>
      </x:c>
      <x:c r="C199" s="31" t="str">
        <x:v>unclassified</x:v>
      </x:c>
      <x:c r="D199" s="31" t="str">
        <x:v>review</x:v>
      </x:c>
      <x:c r="E199" s="31" t="str">
        <x:v>r0144_smpc</x:v>
      </x:c>
      <x:c r="F199" s="31" t="str">
        <x:v>SMPC</x:v>
      </x:c>
      <x:c r="G199" s="31" t="n">
        <x:v>4</x:v>
      </x:c>
      <x:c r="H199" s="31" t="str">
        <x:v>cholestyramine</x:v>
      </x:c>
      <x:c r="I199" s="37" t="str">
        <x:v>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 milk. Avoid concomitant use of iron with dimercaprol. Oral iron antagonises hypotensive effect of methyldopa. 4.6. Fertility, pregnancy and lactation Pregnancy Ferrous fumarate can be used during pregnancy if clinically indicated . Breast-feeding No adverse effects of ferrous fumarate have been shown in breastfed infants of treated mothers. Ferrous fumarate tablets can be used during breast-feeding if clinica</x:v>
      </x:c>
      <x:c r="J199" s="37" t="str">
        <x:v>https://drug.fda.moph.go.th/media.php?id=810079681742249984&amp;name=SMPC_Ferrous fumarate_ syrup.pdf</x:v>
      </x:c>
    </x:row>
    <x:row r="200">
      <x:c r="A200" s="31" t="str">
        <x:v>cholestyramine</x:v>
      </x:c>
      <x:c r="B200" s="31" t="str">
        <x:v>ferrous</x:v>
      </x:c>
      <x:c r="C200" s="31" t="str">
        <x:v>unclassified</x:v>
      </x:c>
      <x:c r="D200" s="31" t="str">
        <x:v>review</x:v>
      </x:c>
      <x:c r="E200" s="31" t="str">
        <x:v>r0145_smpc</x:v>
      </x:c>
      <x:c r="F200" s="31" t="str">
        <x:v>SMPC</x:v>
      </x:c>
      <x:c r="G200" s="31" t="n">
        <x:v>5</x:v>
      </x:c>
      <x:c r="H200" s="31" t="str">
        <x:v>cholestyramine</x:v>
      </x:c>
      <x:c r="I200" s="37" t="str">
        <x:v>unds containing calcium, magnesium (including antacids and mineral supplements), bicarbonates, carbonates, oxalates or phosphates may impair the absorption of iron. Administration of iron preparations with such compounds should be separated by at least 2 hours. Bisphosphonates: The absorption of bisphosphonates is reduced when taken concurrently with iron preparations. Administration should be separated by at least 2 hours. Cholestyramine: Absorption of iron is impaired by cholestyramine. Dimercaprol: Concomitant administration of oral iron preparations and dimercaprol should be avoided. Dopaminergics: Oral iron preparations may reduce the absorption of dopaminergics such as co-careldopa, entacapone and levodopa. Food products: Absorption of iron is impaired by tea, eggs or milk. Absorption of iron salts is enhanced by ascorbic acid and meat. Methyldopa: Ora</x:v>
      </x:c>
      <x:c r="J200" s="37" t="str">
        <x:v>https://drug.fda.moph.go.th/media.php?id=810081060158316544&amp;name=SMPC_Ferrous sulfate_film-coated tablets.pdf</x:v>
      </x:c>
    </x:row>
    <x:row r="201">
      <x:c r="A201" s="31" t="str">
        <x:v>cholestyramine</x:v>
      </x:c>
      <x:c r="B201" s="31" t="str">
        <x:v>hydrochlorothiazide_amiloride</x:v>
      </x:c>
      <x:c r="C201" s="31" t="str">
        <x:v>unclassified</x:v>
      </x:c>
      <x:c r="D201" s="31" t="str">
        <x:v>review</x:v>
      </x:c>
      <x:c r="E201" s="31" t="str">
        <x:v>r0173_smpc</x:v>
      </x:c>
      <x:c r="F201" s="31" t="str">
        <x:v>SMPC</x:v>
      </x:c>
      <x:c r="G201" s="31" t="n">
        <x:v>8</x:v>
      </x:c>
      <x:c r="H201" s="31" t="str">
        <x:v>cholestyramine</x:v>
      </x:c>
      <x:c r="I201" s="37" t="str">
        <x:v>ing possible acute renal failure. These effects are usually re versible. The combination should be administered with caution in patients with compromised renal function. Anion-exchange resins: Cholestyramine and colestipol reduce absorption of thiazides. Single doses of either cholestyramine or colestipol resins bind the hydrochlorothiazide and reduce its absorption from the gastro-intestinal tract by up to 85 and 43 %, respectively. When cholestyramine is given 4 hours after the hydrochlorothiazide, the absorption of hydrochlorothiazide is reduced by 30 to 35 %. Anti-arrhythmics: Toxicity of amiodarone, disopyramide, flecainide and quinidine is increased if hypokalaemia occurs. Action of lidocaine and mexilitine is antagonised by hypokalaemia. Hypokalaemia increases risk of ventricular arrhythmias with sotalol, a beta-blocker. The antiarrhythmic activity of quinidine may be opposed by a</x:v>
      </x:c>
      <x:c r="J201" s="37" t="str">
        <x:v>https://drug.fda.moph.go.th/media.php?id=810380894354415616&amp;name=SMPC_Amiloride+Hydrochlorothiazide _Tablets.pdf</x:v>
      </x:c>
    </x:row>
    <x:row r="202">
      <x:c r="A202" s="31" t="str">
        <x:v>cholestyramine</x:v>
      </x:c>
      <x:c r="B202" s="31" t="str">
        <x:v>metronidazole</x:v>
      </x:c>
      <x:c r="C202" s="31" t="str">
        <x:v>unclassified</x:v>
      </x:c>
      <x:c r="D202" s="31" t="str">
        <x:v>review</x:v>
      </x:c>
      <x:c r="E202" s="31" t="str">
        <x:v>r0240_smpc</x:v>
      </x:c>
      <x:c r="F202" s="31" t="str">
        <x:v>SMPC</x:v>
      </x:c>
      <x:c r="G202" s="31" t="n">
        <x:v>9</x:v>
      </x:c>
      <x:c r="H202" s="31" t="str">
        <x:v>cholestyramine</x:v>
      </x:c>
      <x:c r="I202" s="37" t="str">
        <x:v>e due to a decrease of its clearance. Lithium: lithium retention accompanied by evidence of possible renal damage has been reported in patients treated simultaneously with lithium and Metronidazole. Lithium treatment should be tapered or withdrawn before administering Metronidazole. Plasma con centrations of lithium, creatinine and electrolytes should be monitored in patients under treatment with lithium while they receive Metronidazole. Cholestyramine may delay or reduce the absorption of Metronidazole. Phenytoin, barbiturates (phenobarbital): concomitant administration of drugs that induce microsomal liver enzyme activity, such as phenytoin or phenobarbital, may accelerate the elimination of metronidazole and therefore decrease its efficacy. Cimetidine: concomitant administration of drugs that decrease microsomal liver enzyme activity, such as cimetidine, may cause decreased metabolis</x:v>
      </x:c>
      <x:c r="J202" s="37" t="str">
        <x:v>https://drug.fda.moph.go.th/media.php?id=810416973254107136&amp;name=SMPC_Metronidazole_Solutions for injections or infusions.pdf</x:v>
      </x:c>
    </x:row>
    <x:row r="203">
      <x:c r="A203" s="31" t="str">
        <x:v>cholestyramine</x:v>
      </x:c>
      <x:c r="B203" s="31" t="str">
        <x:v>sodium_valproate</x:v>
      </x:c>
      <x:c r="C203" s="31" t="str">
        <x:v>unclassified</x:v>
      </x:c>
      <x:c r="D203" s="31" t="str">
        <x:v>review</x:v>
      </x:c>
      <x:c r="E203" s="31" t="str">
        <x:v>r0325_smpc</x:v>
      </x:c>
      <x:c r="F203" s="31" t="str">
        <x:v>SMPC</x:v>
      </x:c>
      <x:c r="G203" s="31" t="n">
        <x:v>18</x:v>
      </x:c>
      <x:c r="H203" s="31" t="str">
        <x:v>cholestyramine</x:v>
      </x:c>
      <x:c r="I203" s="37" t="str">
        <x:v>these antibiotics cannot be avoided, close monitoring of valproic acid blood levels should be performed. Rifampicin Rifampicin may decrease the valproic acid blood levels resulting in a lack of therapeutic effect. Therefore, valproate dosage adjustment may be necessary when it is co-administered with rifampicin. Protease inhibitors Protease inhibitors such as lopinavir and ritonavir decrease valproate plasma level when co-administered. Cholestyramine Cholestyramine may lead to a decrease in plasma level of valproate when co-administered. Oestrogen-containing products, including oestrogen -containing hormonal contraceptives</x:v>
      </x:c>
      <x:c r="J203" s="37" t="str">
        <x:v>https://drug.fda.moph.go.th/media.php?id=810462806720782336&amp;name=SMPC_Sodium Valproate_Enteric-coated tablet.pdf</x:v>
      </x:c>
    </x:row>
    <x:row r="204">
      <x:c r="A204" s="31" t="str">
        <x:v>cimetidine</x:v>
      </x:c>
      <x:c r="B204" s="31" t="str">
        <x:v>colchicine</x:v>
      </x:c>
      <x:c r="C204" s="31" t="str">
        <x:v>moderate</x:v>
      </x:c>
      <x:c r="D204" s="31" t="str">
        <x:v>eligible</x:v>
      </x:c>
      <x:c r="E204" s="31" t="str">
        <x:v>r0087_smpc</x:v>
      </x:c>
      <x:c r="F204" s="31" t="str">
        <x:v>SMPC</x:v>
      </x:c>
      <x:c r="G204" s="31" t="n">
        <x:v>5</x:v>
      </x:c>
      <x:c r="H204" s="31" t="str">
        <x:v>cimetidine</x:v>
      </x:c>
      <x:c r="I204" s="37" t="str">
        <x:v>ailable in paediatric patients. Excipient information &lt;REGARDING THE APPROVAL&gt; 4.5. Interaction with other medicinal products and other forms of interaction Interactions with other drugs are not or scarcely documented. Given the nature of the side effects, caution is advised with concomitant administration of drugs that can affect the blood count or have a negative effect on hepatic and/or renal function. In addition, substances such as cimetidine and tolbutamide may reduce metabolism of colchicine and thus increase plasma levels of colchicine. Colchicine is a substrate for both CYP3A4 and the transport protein P - gp. In the presence of CYP3A4 or P-gp inhibitors, the concentrations of colchicine in the blood may increase. Toxicity, including fatal cases, have been reported during concurrent use of inhibitors such as macrolides (clarithromycin and erythromycin), ciclosporin, ketocon</x:v>
      </x:c>
      <x:c r="J204" s="37" t="str">
        <x:v>https://drug.fda.moph.go.th/media.php?id=809692129914920960&amp;name=SMPC_Colchicine_Tablets.pdf</x:v>
      </x:c>
    </x:row>
    <x:row r="205">
      <x:c r="A205" s="31" t="str">
        <x:v>cimetidine</x:v>
      </x:c>
      <x:c r="B205" s="31" t="str">
        <x:v>cyanocobalamin</x:v>
      </x:c>
      <x:c r="C205" s="31" t="str">
        <x:v>unclassified</x:v>
      </x:c>
      <x:c r="D205" s="31" t="str">
        <x:v>review</x:v>
      </x:c>
      <x:c r="E205" s="31" t="str">
        <x:v>r0090_smpc</x:v>
      </x:c>
      <x:c r="F205" s="31" t="str">
        <x:v>SMPC</x:v>
      </x:c>
      <x:c r="G205" s="31" t="n">
        <x:v>3</x:v>
      </x:c>
      <x:c r="H205" s="31" t="str">
        <x:v>cimetidine</x:v>
      </x:c>
      <x:c r="I205" s="37" t="str">
        <x:v>1 Ref: Cytacon, MHRA, date 21/07/2021 3 4.5. Interaction with other medicinal products and other forms of interaction Absorption may be reduced by Para -aminosalicylic acid, colchinine, biguanides, neomycin, cholestyramine, potassium chloride, methyldopa, and cimetidine. Patients treated with chloramphenicol may respond poorly to this medicine. Serum levels of this medicine may be lowered by oral contraceptives. These interactions are unlikely to have clinical significance. Anti-metabolities and most antibiotics invalidate vitamins B12 assays by microbiological techniques. 4.6. Fertility, pregnancy and lactation Pregnancy This medicine should not be used to treat megaloblastic anaemia of</x:v>
      </x:c>
      <x:c r="J205" s="37" t="str">
        <x:v>https://drug.fda.moph.go.th/media.php?id=809692799212593152&amp;name=SMPC_Cyanocobalamin_Tablets.pdf</x:v>
      </x:c>
    </x:row>
    <x:row r="206">
      <x:c r="A206" s="31" t="str">
        <x:v>cimetidine</x:v>
      </x:c>
      <x:c r="B206" s="31" t="str">
        <x:v>cyclophosphamide</x:v>
      </x:c>
      <x:c r="C206" s="31" t="str">
        <x:v>unclassified</x:v>
      </x:c>
      <x:c r="D206" s="31" t="str">
        <x:v>review</x:v>
      </x:c>
      <x:c r="E206" s="31" t="str">
        <x:v>r0091_smpc</x:v>
      </x:c>
      <x:c r="F206" s="31" t="str">
        <x:v>SMPC</x:v>
      </x:c>
      <x:c r="G206" s="31" t="n">
        <x:v>15</x:v>
      </x:c>
      <x:c r="H206" s="31" t="str">
        <x:v>cimetidine</x:v>
      </x:c>
      <x:c r="I206" s="37" t="str">
        <x:v>ased cyclophosphamide AUC. - Grapefruit (fruit or juice), Rifampicin, St. Johns worth: Co - administration with CYP3A4 Inhibitors or Inducers can reduce the efficacy or increase the toxicity of cyclophosphamide. • An increase of the concentration of cytotoxic metabolites may occur with: - Allopurinol: an increase of bone marrow suppression was reported. - Azathioprine: increased risk of hepatotoxicity (liver necrosis) - Chloral hydrate - Cimetidine - Disulfiram - Glyceraldehyde - Protease inhibitors: concomitant use of protease inhibitors may increase the concentration of cytotoxic metabolites. Use of protease inhibitor-based regimens was found to be associated with a higher incidence of infections and neutropenia in patients rec eiving</x:v>
      </x:c>
      <x:c r="J206" s="37" t="str">
        <x:v>https://drug.fda.moph.go.th/media.php?id=809693226402455552&amp;name=SMPC_Cyclophosphamide_Powders for solutions for injections or infusions.pdf</x:v>
      </x:c>
    </x:row>
    <x:row r="207">
      <x:c r="A207" s="31" t="str">
        <x:v>cimetidine</x:v>
      </x:c>
      <x:c r="B207" s="31" t="str">
        <x:v>domperidone</x:v>
      </x:c>
      <x:c r="C207" s="31" t="str">
        <x:v>unclassified</x:v>
      </x:c>
      <x:c r="D207" s="31" t="str">
        <x:v>review</x:v>
      </x:c>
      <x:c r="E207" s="31" t="str">
        <x:v>r0116_smpc</x:v>
      </x:c>
      <x:c r="F207" s="31" t="str">
        <x:v>SMPC</x:v>
      </x:c>
      <x:c r="G207" s="31" t="n">
        <x:v>14</x:v>
      </x:c>
      <x:c r="H207" s="31" t="str">
        <x:v>cimetidine</x:v>
      </x:c>
      <x:c r="I207" s="37" t="str">
        <x:v>al domperidone (approximately 15%) is due to an extensive first -pass metabolism in the gut wall and liver. Although domperidone's bioavailability is enhanced in normal subjects when taken after a meal, patients with gastro -intestinal complaints should take domperidone 15 30 minutes before a meal. Reduced gastric acidity impairs the absorption of domperidone. Oral bioavailability is decreased by prior concomitant administration of cimetidine and sodium bicarbonate. The time of peak absorption is slightly delayed and the AUC somewhat increased when the oral drug is taken after a meal. Distribution Domperidone is 91-93% bound to plasma proteins. Distribution studies with radiolabelled drug in animals have shown wide tissue distribution, but low brain concentration. Small amounts of drug cross the placenta in rats. Metabolism Domperidone undergoes rapid and extens</x:v>
      </x:c>
      <x:c r="J207" s="37" t="str">
        <x:v>https://drug.fda.moph.go.th/media.php?id=810073662739849216&amp;name=SMPC_Domperidone_oral suspension.pdf</x:v>
      </x:c>
    </x:row>
    <x:row r="208">
      <x:c r="A208" s="31" t="str">
        <x:v>cimetidine</x:v>
      </x:c>
      <x:c r="B208" s="31" t="str">
        <x:v>domperidone</x:v>
      </x:c>
      <x:c r="C208" s="31" t="str">
        <x:v>unclassified</x:v>
      </x:c>
      <x:c r="D208" s="31" t="str">
        <x:v>review</x:v>
      </x:c>
      <x:c r="E208" s="31" t="str">
        <x:v>r0117_smpc</x:v>
      </x:c>
      <x:c r="F208" s="31" t="str">
        <x:v>SMPC</x:v>
      </x:c>
      <x:c r="G208" s="31" t="n">
        <x:v>12</x:v>
      </x:c>
      <x:c r="H208" s="31" t="str">
        <x:v>cimetidine</x:v>
      </x:c>
      <x:c r="I208" s="37" t="str">
        <x:v>1 Ref:Domperidone 10 mg film-coated tablets, MHRA, 03/04/2024 12 Reduced gastric acidity impairs the absorption of domperidone. Oral bioavailability is decreased by prior concomitant administration of cimetidine and sodium bicarbonate. The time of peak absorption is slightly delayed and the AUC somewhat increased when the oral drug is taken after a meal. Distribution Oral domperidone does not appear to accumulate or induce its own metabolism; a peak plasma level after 90 minutes of 21 ng/ml after two weeks oral administration of 30 mg per day was almost the same as that of 18 ng/ml after the first dose. Domperidone is 91-93% bound to plasma prot</x:v>
      </x:c>
      <x:c r="J208" s="37" t="str">
        <x:v>https://drug.fda.moph.go.th/media.php?id=810074048620011520&amp;name=SMPC_Domperidone_Film-coated Tablets.pdf</x:v>
      </x:c>
    </x:row>
    <x:row r="209">
      <x:c r="A209" s="31" t="str">
        <x:v>cimetidine</x:v>
      </x:c>
      <x:c r="B209" s="31" t="str">
        <x:v>domperidone</x:v>
      </x:c>
      <x:c r="C209" s="31" t="str">
        <x:v>unclassified</x:v>
      </x:c>
      <x:c r="D209" s="31" t="str">
        <x:v>review</x:v>
      </x:c>
      <x:c r="E209" s="31" t="str">
        <x:v>r0118_smpc</x:v>
      </x:c>
      <x:c r="F209" s="31" t="str">
        <x:v>SMPC</x:v>
      </x:c>
      <x:c r="G209" s="31" t="n">
        <x:v>11</x:v>
      </x:c>
      <x:c r="H209" s="31" t="str">
        <x:v>cimetidine</x:v>
      </x:c>
      <x:c r="I209" s="37" t="str">
        <x:v>of oral domperidone (approximately 15%) is due to an extensive first -pass metabolism in the gut wall and liver. Although domperidone’s bioavailability is enhanced in normal subjects when taken after, a meal, patients with g astro-intestinal complaints should take domperidone 15 -30 minutes before a meal. Reduced gastric acidity impairs the absorption of domperidone. Oral bioavailability is decreased by prior concomitant administration of cimetidine and sodium bicarbonate. The time of peak absorption is slightly delayed and the AUC somewhat increased when the oral drug is taken after a meal.</x:v>
      </x:c>
      <x:c r="J209" s="37" t="str">
        <x:v>https://drug.fda.moph.go.th/media.php?id=810074487256129536&amp;name=SMPC_Domperidone_Tablets.pdf</x:v>
      </x:c>
    </x:row>
    <x:row r="210">
      <x:c r="A210" s="31" t="str">
        <x:v>cimetidine</x:v>
      </x:c>
      <x:c r="B210" s="31" t="str">
        <x:v>erythromycin</x:v>
      </x:c>
      <x:c r="C210" s="31" t="str">
        <x:v>unclassified</x:v>
      </x:c>
      <x:c r="D210" s="31" t="str">
        <x:v>review</x:v>
      </x:c>
      <x:c r="E210" s="31" t="str">
        <x:v>r0127_smpc</x:v>
      </x:c>
      <x:c r="F210" s="31" t="str">
        <x:v>SMPC</x:v>
      </x:c>
      <x:c r="G210" s="31" t="n">
        <x:v>11</x:v>
      </x:c>
      <x:c r="H210" s="31" t="str">
        <x:v>cimetidine</x:v>
      </x:c>
      <x:c r="I210" s="37" t="str">
        <x:v>There have been post -marketing reports of colchicine toxicity with concomitant use of erythromycin and colchicine. Hypotension, bradyarrhythmias and lactic acidosis have been observed in patients receiving concurrent verapamil, a calcium channel blocker. Cimetidine may inhibit the metabolism of erythromycin which may lead to an increased plasma concentration. Erythromycin has been reported to decrease the clearance of zopiclone and thus may increase the pharmacodynamic effects of this drug. Observational data have shown that co-administration of azithromycin with hydroxychloroquine in patients with rheumatoid arthritis is associated with an increased risk of cardiovascular events and cardiovascular</x:v>
      </x:c>
      <x:c r="J210" s="37" t="str">
        <x:v>https://drug.fda.moph.go.th/media.php?id=810076760694726656&amp;name=SMPC_Erythromycin_film-coated tablets.pdf</x:v>
      </x:c>
    </x:row>
    <x:row r="211">
      <x:c r="A211" s="31" t="str">
        <x:v>cimetidine</x:v>
      </x:c>
      <x:c r="B211" s="31" t="str">
        <x:v>felodipine</x:v>
      </x:c>
      <x:c r="C211" s="31" t="str">
        <x:v>unclassified</x:v>
      </x:c>
      <x:c r="D211" s="31" t="str">
        <x:v>review</x:v>
      </x:c>
      <x:c r="E211" s="31" t="str">
        <x:v>r0141_smpc</x:v>
      </x:c>
      <x:c r="F211" s="31" t="str">
        <x:v>SMPC</x:v>
      </x:c>
      <x:c r="G211" s="31" t="n">
        <x:v>4</x:v>
      </x:c>
      <x:c r="H211" s="31" t="str">
        <x:v>cimetidine</x:v>
      </x:c>
      <x:c r="I211" s="37" t="str">
        <x:v>ersed by careful oral hygiene. Patients with rare hereditary problems of galactose intolerance, the Lapp lactase deficiency or glucose -galactose malabsorption should not take this medicine. 4.5. Interaction with other medicinal products and other forms of interaction Concomitant administration of substances which interfere with the cytochrome P450 system may affect plasma concentrations of felodipine. Enzyme inhibitors such as cimetidine, erythromycin, itraconazole, ketoconazole and ritonavir impair the elimination of felodipine, and felodipine dosage may need to be reduced when drugs are given concomitantly. Conversely, powerful enzyme inducing agents such as some anticonvulsants (phenytoin, carbamazepine, phenobarbitone) can increase felodipine elimination and higher than normal felodipine doses may be required in patients taking the drugs. No dosage adjustment</x:v>
      </x:c>
      <x:c r="J211" s="37" t="str">
        <x:v>https://drug.fda.moph.go.th/media.php?id=810078823658954752&amp;name=SMPC_Felodipine_prolonged release tablets.pdf</x:v>
      </x:c>
    </x:row>
    <x:row r="212">
      <x:c r="A212" s="31" t="str">
        <x:v>cimetidine</x:v>
      </x:c>
      <x:c r="B212" s="31" t="str">
        <x:v>fluorouracil</x:v>
      </x:c>
      <x:c r="C212" s="31" t="str">
        <x:v>unclassified</x:v>
      </x:c>
      <x:c r="D212" s="31" t="str">
        <x:v>review</x:v>
      </x:c>
      <x:c r="E212" s="31" t="str">
        <x:v>r0068_smpc</x:v>
      </x:c>
      <x:c r="F212" s="31" t="str">
        <x:v>SMPC</x:v>
      </x:c>
      <x:c r="G212" s="31" t="n">
        <x:v>6</x:v>
      </x:c>
      <x:c r="H212" s="31" t="str">
        <x:v>fluorouracil</x:v>
      </x:c>
      <x:c r="I212" s="37" t="str">
        <x:v>in and tacrolimus. 3) Alteration of gastric pH; The bioavailability of certain drugs may be affected. This can result in either an increase in absorption (e.g. atazanavir) or a decrease in absorption (e.g. some azole antifungals such as ketoconazole, itraconazole or posaconazole). 4) Unknown mechanisms; Cimetidine may potentiate the myelosuppressive effects (e.g. neutropenia, agranulocytosis) of chemotherapeutic agents such as carmustine, fluorouracil, epirubicin, or therapies such as radiation. Isolated cases of clinically relevant interactions have been documented with narcotic analgesics (e.g. morphine). 4.6. Fertility, pregnancy and lactation Although tests in animals and clinical evidence have not revealed any hazards from the administration of Cimetidine during pregnancy or lactation, both animal and human studies have shown that it does cross the placental barrier and is excret</x:v>
      </x:c>
      <x:c r="J212" s="37" t="str">
        <x:v>https://drug.fda.moph.go.th/media.php?id=809675069696647168&amp;name=SMPC_Cimetidine_Tablets.pdf</x:v>
      </x:c>
    </x:row>
    <x:row r="213">
      <x:c r="A213" s="31" t="str">
        <x:v>cimetidine</x:v>
      </x:c>
      <x:c r="B213" s="31" t="str">
        <x:v>glipizide</x:v>
      </x:c>
      <x:c r="C213" s="31" t="str">
        <x:v>unclassified</x:v>
      </x:c>
      <x:c r="D213" s="31" t="str">
        <x:v>review</x:v>
      </x:c>
      <x:c r="E213" s="31" t="str">
        <x:v>r0161_smpc</x:v>
      </x:c>
      <x:c r="F213" s="31" t="str">
        <x:v>SMPC</x:v>
      </x:c>
      <x:c r="G213" s="31" t="n">
        <x:v>6</x:v>
      </x:c>
      <x:c r="H213" s="31" t="str">
        <x:v>cimetidine</x:v>
      </x:c>
      <x:c r="I213" s="37" t="str">
        <x:v>the acetylsalicylic acid). Beta-blockers: All beta-blockers mask some of the symptoms of hypoglycaemia (i.e. palpitations and tachycardia). Most non cardio selective beta -blockers increase the incidence and severity of hypoglycaemia. Angiotensin-converting Enzyme Inhibitors: The use of angiotensin -converting enzyme inhibitors may lead to an increased hypoglycaemic effect in diabetic patients treated with sulfonylureas. Cimetidine: The use of cimetidine may be associated with a reduction in post prandial blood glucose in patients treated with glipizide. The hypoglycaemic action of sulfonylureas, in general may also be potentiated by monoamine oxidase inhibitors, quinolones and drugs that</x:v>
      </x:c>
      <x:c r="J213" s="37" t="str">
        <x:v>https://drug.fda.moph.go.th/media.php?id=810176024078852096&amp;name=SMPC_Glipizide_Tablets.pdf</x:v>
      </x:c>
    </x:row>
    <x:row r="214">
      <x:c r="A214" s="31" t="str">
        <x:v>cimetidine</x:v>
      </x:c>
      <x:c r="B214" s="31" t="str">
        <x:v>hydroxyzine</x:v>
      </x:c>
      <x:c r="C214" s="31" t="str">
        <x:v>unclassified</x:v>
      </x:c>
      <x:c r="D214" s="31" t="str">
        <x:v>review</x:v>
      </x:c>
      <x:c r="E214" s="31" t="str">
        <x:v>r0179_smpc</x:v>
      </x:c>
      <x:c r="F214" s="31" t="str">
        <x:v>SMPC</x:v>
      </x:c>
      <x:c r="G214" s="31" t="n">
        <x:v>8</x:v>
      </x:c>
      <x:c r="H214" s="31" t="str">
        <x:v>cimetidine</x:v>
      </x:c>
      <x:c r="I214" s="37" t="str">
        <x:v>Cimetidine Cimetidine, 600mg twice a day, has been shown to increase the serum concentrations of hydroxyzine and to decrease peak concentrations of the metabolite cetirizine CYP2D6 &amp; cytochrome P450 Hydroxyzine is an inhibitor of CYP2D6 and may cause drug -drug interactions with CYP2D6 substrates. Cetirizine does not interact with other drug substances via cytochrome P450 Drugs which have effects on the brain Drugs which have effects on the b</x:v>
      </x:c>
      <x:c r="J214" s="37" t="str">
        <x:v>https://drug.fda.moph.go.th/media.php?id=810382200729116672&amp;name=SMPC_Hydroxyzine_Film-coated tablets.pdf</x:v>
      </x:c>
    </x:row>
    <x:row r="215">
      <x:c r="A215" s="31" t="str">
        <x:v>cimetidine</x:v>
      </x:c>
      <x:c r="B215" s="31" t="str">
        <x:v>itraconazole</x:v>
      </x:c>
      <x:c r="C215" s="31" t="str">
        <x:v>unclassified</x:v>
      </x:c>
      <x:c r="D215" s="31" t="str">
        <x:v>review</x:v>
      </x:c>
      <x:c r="E215" s="31" t="str">
        <x:v>r0068_smpc</x:v>
      </x:c>
      <x:c r="F215" s="31" t="str">
        <x:v>SMPC</x:v>
      </x:c>
      <x:c r="G215" s="31" t="n">
        <x:v>6</x:v>
      </x:c>
      <x:c r="H215" s="31" t="str">
        <x:v>itraconazole</x:v>
      </x:c>
      <x:c r="I215" s="37" t="str">
        <x:v>), phenytoin, theophylline and metoprolol. 2) Competition for renal tubular secretion; This may result in increased plasma levels of certain drugs including procainamide, metformin, ciclosporin and tacrolimus. 3) Alteration of gastric pH; The bioavailability of certain drugs may be affected. This can result in either an increase in absorption (e.g. atazanavir) or a decrease in absorption (e.g. some azole antifungals such as ketoconazole, itraconazole or posaconazole). 4) Unknown mechanisms; Cimetidine may potentiate the myelosuppressive effects (e.g. neutropenia, agranulocytosis) of chemotherapeutic agents such as carmustine, fluorouracil, epirubicin, or therapies such as radiation. Isolated cases of clinically relevant interactions have been documented with narcotic analgesics (e.g. morphine). 4.6. Fertility, pregnancy and lactation Although tests in animals and clinical evidence ha</x:v>
      </x:c>
      <x:c r="J215" s="37" t="str">
        <x:v>https://drug.fda.moph.go.th/media.php?id=809675069696647168&amp;name=SMPC_Cimetidine_Tablets.pdf</x:v>
      </x:c>
    </x:row>
    <x:row r="216">
      <x:c r="A216" s="31" t="str">
        <x:v>cimetidine</x:v>
      </x:c>
      <x:c r="B216" s="31" t="str">
        <x:v>ketoconazole</x:v>
      </x:c>
      <x:c r="C216" s="31" t="str">
        <x:v>unclassified</x:v>
      </x:c>
      <x:c r="D216" s="31" t="str">
        <x:v>review</x:v>
      </x:c>
      <x:c r="E216" s="31" t="str">
        <x:v>r0068_smpc</x:v>
      </x:c>
      <x:c r="F216" s="31" t="str">
        <x:v>SMPC</x:v>
      </x:c>
      <x:c r="G216" s="31" t="n">
        <x:v>6</x:v>
      </x:c>
      <x:c r="H216" s="31" t="str">
        <x:v>ketoconazole</x:v>
      </x:c>
      <x:c r="I216" s="37" t="str">
        <x:v>e.g. glipizide), phenytoin, theophylline and metoprolol. 2) Competition for renal tubular secretion; This may result in increased plasma levels of certain drugs including procainamide, metformin, ciclosporin and tacrolimus. 3) Alteration of gastric pH; The bioavailability of certain drugs may be affected. This can result in either an increase in absorption (e.g. atazanavir) or a decrease in absorption (e.g. some azole antifungals such as ketoconazole, itraconazole or posaconazole). 4) Unknown mechanisms; Cimetidine may potentiate the myelosuppressive effects (e.g. neutropenia, agranulocytosis) of chemotherapeutic agents such as carmustine, fluorouracil, epirubicin, or therapies such as radiation. Isolated cases of clinically relevant interactions have been documented with narcotic analgesics (e.g. morphine). 4.6. Fertility, pregnancy and lactation Although tests in animals and clinic</x:v>
      </x:c>
      <x:c r="J216" s="37" t="str">
        <x:v>https://drug.fda.moph.go.th/media.php?id=809675069696647168&amp;name=SMPC_Cimetidine_Tablets.pdf</x:v>
      </x:c>
    </x:row>
    <x:row r="217">
      <x:c r="A217" s="31" t="str">
        <x:v>cimetidine</x:v>
      </x:c>
      <x:c r="B217" s="31" t="str">
        <x:v>lidocaine</x:v>
      </x:c>
      <x:c r="C217" s="31" t="str">
        <x:v>unclassified</x:v>
      </x:c>
      <x:c r="D217" s="31" t="str">
        <x:v>review</x:v>
      </x:c>
      <x:c r="E217" s="31" t="str">
        <x:v>r0068_smpc</x:v>
      </x:c>
      <x:c r="F217" s="31" t="str">
        <x:v>SMPC</x:v>
      </x:c>
      <x:c r="G217" s="31" t="n">
        <x:v>5</x:v>
      </x:c>
      <x:c r="H217" s="31" t="str">
        <x:v>lidocaine</x:v>
      </x:c>
      <x:c r="I217" s="37" t="str">
        <x:v>ess than 1 mmol sodium (23 mg) per tablet, that is to say essentially ‘sodium-free’. 4.5. Interaction with other medicinal products and other forms of interaction Cimetidine can prolong the elimination of drugs metabolised by oxidation in the liver. Although pharmacological interactions with a number of drugs, e.g. Diazepam, Propranolol, have been demonstrated, only those with oral anticoagulants, phenytoin, theophy lline and intravenous lidocaine appear, to date, to be of clinical significance. Close monitoring of patients on Cimetidine receiving oral anticoagulants or phenytoin is recommended and a reduction in the dosage of these drugs may be necessary. In patients on drug treatment or with illnesses that could cause falls in blood cell count, the possibility that H2 -receptor antagonism could potentiate this effect should be borne in mind. Cimetidine has the potential to affect</x:v>
      </x:c>
      <x:c r="J217" s="37" t="str">
        <x:v>https://drug.fda.moph.go.th/media.php?id=809675069696647168&amp;name=SMPC_Cimetidine_Tablets.pdf</x:v>
      </x:c>
    </x:row>
    <x:row r="218">
      <x:c r="A218" s="31" t="str">
        <x:v>cimetidine</x:v>
      </x:c>
      <x:c r="B218" s="31" t="str">
        <x:v>mebendazole</x:v>
      </x:c>
      <x:c r="C218" s="31" t="str">
        <x:v>unclassified</x:v>
      </x:c>
      <x:c r="D218" s="31" t="str">
        <x:v>review</x:v>
      </x:c>
      <x:c r="E218" s="31" t="str">
        <x:v>r0221_smpc</x:v>
      </x:c>
      <x:c r="F218" s="31" t="str">
        <x:v>SMPC</x:v>
      </x:c>
      <x:c r="G218" s="31" t="n">
        <x:v>3</x:v>
      </x:c>
      <x:c r="H218" s="31" t="str">
        <x:v>cimetidine</x:v>
      </x:c>
      <x:c r="I218" s="37" t="str">
        <x:v>tial risk. Because of the lack of sufficient safety data, Mebendazole should not be used in children below the age of 1 year. Mebendazole should only be given to very young children if their worm infestation interferes significantly with their nutritional status and physical development. Excipient information &lt;REGARDING THE APPROVAL&gt; 4.5. Interaction with other medicinal products and other forms of interaction Concomitant treatment with cimetidine may inhibit the metabolism of mebendazole in the liver, resulting in increased plasma concentrations of the drug. Concomitant use of mebendazole and metronidazole should be avoided (see section 4.4). 4.6. Fertility, pregnancy and lactation Pregnancy Since Mebendazole is contraindicated in pregnancy, patients who think they are, or may be, pregnant should not take this preparation.</x:v>
      </x:c>
      <x:c r="J218" s="37" t="str">
        <x:v>https://drug.fda.moph.go.th/media.php?id=810409612485468160&amp;name=SMPC_Mebendazole_oral suspension.pdf</x:v>
      </x:c>
    </x:row>
    <x:row r="219">
      <x:c r="A219" s="31" t="str">
        <x:v>cimetidine</x:v>
      </x:c>
      <x:c r="B219" s="31" t="str">
        <x:v>metformin</x:v>
      </x:c>
      <x:c r="C219" s="31" t="str">
        <x:v>unclassified</x:v>
      </x:c>
      <x:c r="D219" s="31" t="str">
        <x:v>review</x:v>
      </x:c>
      <x:c r="E219" s="31" t="str">
        <x:v>r0068_smpc</x:v>
      </x:c>
      <x:c r="F219" s="31" t="str">
        <x:v>SMPC</x:v>
      </x:c>
      <x:c r="G219" s="31" t="n">
        <x:v>6</x:v>
      </x:c>
      <x:c r="H219" s="31" t="str">
        <x:v>metformin</x:v>
      </x:c>
      <x:c r="I219" s="37" t="str">
        <x:v>1 Ref:Cimetidine 200mg Tablets BP, MHRA, 25/03/2019 6 nifedipine, diltiazem), oral sulfonylureas (e.g. glipizide), phenytoin, theophylline and metoprolol. 2) Competition for renal tubular secretion; This may result in increased plasma levels of certain drugs including procainamide, metformin, ciclosporin and tacrolimus. 3) Alteration of gastric pH; The bioavailability of certain drugs may be affected. This can result in either an increase in absorption (e.g. atazanavir) or a decrease in absorption (e.g. some azole antifungals such as ketoconazole, itraconazole or posaconazole). 4) Unknown mechanisms; Cimetidine may potentiate the myelosuppressive effects (e.g. neutropenia, agranulocytosis) of chemotherapeutic agents such as c</x:v>
      </x:c>
      <x:c r="J219" s="37" t="str">
        <x:v>https://drug.fda.moph.go.th/media.php?id=809675069696647168&amp;name=SMPC_Cimetidine_Tablets.pdf</x:v>
      </x:c>
    </x:row>
    <x:row r="220">
      <x:c r="A220" s="31" t="str">
        <x:v>cimetidine</x:v>
      </x:c>
      <x:c r="B220" s="31" t="str">
        <x:v>metformin</x:v>
      </x:c>
      <x:c r="C220" s="31" t="str">
        <x:v>unclassified</x:v>
      </x:c>
      <x:c r="D220" s="31" t="str">
        <x:v>review</x:v>
      </x:c>
      <x:c r="E220" s="31" t="str">
        <x:v>r0228_smpc</x:v>
      </x:c>
      <x:c r="F220" s="31" t="str">
        <x:v>SMPC</x:v>
      </x:c>
      <x:c r="G220" s="31" t="n">
        <x:v>7</x:v>
      </x:c>
      <x:c r="H220" s="31" t="str">
        <x:v>cimetidine</x:v>
      </x:c>
      <x:c r="I220" s="37" t="str">
        <x:v>ormin dosage during therapy with the respective medicinal product and upon its discontinuation. Organic cation transporters (OCT) Metformin is a substrate of both transporters OCT1 and OCT2. Co-administration of metformin with • Inhibitors of OCT1 (such as verapamil) may reduce efficacy of metformin. • Inducers of OCT1 (such as rifampicin) may increase gastrointestinal absorption and efficacy of metformin. • Inhibitors of OCT2 (such as cimetidine, dolutegravir, ranolazine, trimethoprime, vandetanib, isavuconazole) may decrease the renal elimination of metformin and thus lead to an increase in metformin plasma concentration.</x:v>
      </x:c>
      <x:c r="J220" s="37" t="str">
        <x:v>https://drug.fda.moph.go.th/media.php?id=810411685197258752&amp;name=SMPC_Metformin_Film-coated Tablet.pdf</x:v>
      </x:c>
    </x:row>
    <x:row r="221">
      <x:c r="A221" s="31" t="str">
        <x:v>cimetidine</x:v>
      </x:c>
      <x:c r="B221" s="31" t="str">
        <x:v>metronidazole</x:v>
      </x:c>
      <x:c r="C221" s="31" t="str">
        <x:v>unclassified</x:v>
      </x:c>
      <x:c r="D221" s="31" t="str">
        <x:v>review</x:v>
      </x:c>
      <x:c r="E221" s="31" t="str">
        <x:v>r0240_smpc</x:v>
      </x:c>
      <x:c r="F221" s="31" t="str">
        <x:v>SMPC</x:v>
      </x:c>
      <x:c r="G221" s="31" t="n">
        <x:v>9</x:v>
      </x:c>
      <x:c r="H221" s="31" t="str">
        <x:v>cimetidine</x:v>
      </x:c>
      <x:c r="I221" s="37" t="str">
        <x:v>ithium, creatinine and electrolytes should be monitored in patients under treatment with lithium while they receive Metronidazole. Cholestyramine may delay or reduce the absorption of Metronidazole. Phenytoin, barbiturates (phenobarbital): concomitant administration of drugs that induce microsomal liver enzyme activity, such as phenytoin or phenobarbital, may accelerate the elimination of metronidazole and therefore decrease its efficacy. Cimetidine: concomitant administration of drugs that decrease microsomal liver enzyme activity, such as cimetidine, may cause decreased metabolism and reduced plasma clearance of metronidazole which may result in metronidazole toxicity. Concomitant use of metronidazole and CYP3A4 substrates (e.g., amiodarone, tacrolimus, cyclosporine, carbamazepine, and quinidine) may increase respective CYP3A4 -substrate plasma levels. Monitoring of plasma concentr</x:v>
      </x:c>
      <x:c r="J221" s="37" t="str">
        <x:v>https://drug.fda.moph.go.th/media.php?id=810416973254107136&amp;name=SMPC_Metronidazole_Solutions for injections or infusions.pdf</x:v>
      </x:c>
    </x:row>
    <x:row r="222">
      <x:c r="A222" s="31" t="str">
        <x:v>cimetidine</x:v>
      </x:c>
      <x:c r="B222" s="31" t="str">
        <x:v>nimodipine</x:v>
      </x:c>
      <x:c r="C222" s="31" t="str">
        <x:v>unclassified</x:v>
      </x:c>
      <x:c r="D222" s="31" t="str">
        <x:v>review</x:v>
      </x:c>
      <x:c r="E222" s="31" t="str">
        <x:v>r0255_smpc</x:v>
      </x:c>
      <x:c r="F222" s="31" t="str">
        <x:v>SMPC</x:v>
      </x:c>
      <x:c r="G222" s="31" t="n">
        <x:v>4</x:v>
      </x:c>
      <x:c r="H222" s="31" t="str">
        <x:v>cimetidine</x:v>
      </x:c>
      <x:c r="I222" s="37" t="str">
        <x:v>op solution (see section 4.5). Nimodipine is metabolised via the cytochrome P450 3A4 system. Drugs which are known inhibitors of the cytochrome P450 3A4 system and, therefore, may lead to increased plasma concentrations of nimodipine are macrolide antibiotics (e.g. erythromycin), anti -HIV protease inhibitors (e.g. ritonavir), azole antimycotics (e.g. ketoconazole), the antidepressants nefazodone and fluoxetine, quinupristin/dalfopristin, cimetidine and valproic acid (see section 4.5). Upon co-administration with these drugs, the blood pressure should be monitored and, if necessary, a reduction in the nimodipine dose should be considered. Nimodipine solution contains ethanol &lt;REGARDING THE APPROVAL&gt; This medicinal product contains 23.7 vol % ethanol (alcohol), i.e. up to 50 g per daily dose (250 ml). This may be harmful for those suffering from alcoholism or impaired alcohol metabol</x:v>
      </x:c>
      <x:c r="J222" s="37" t="str">
        <x:v>https://drug.fda.moph.go.th/media.php?id=810423093272125440&amp;name=SMPC_Nimodipine_Solution for Infusion.pdf</x:v>
      </x:c>
    </x:row>
    <x:row r="223">
      <x:c r="A223" s="31" t="str">
        <x:v>cimetidine</x:v>
      </x:c>
      <x:c r="B223" s="31" t="str">
        <x:v>nimodipine</x:v>
      </x:c>
      <x:c r="C223" s="31" t="str">
        <x:v>unclassified</x:v>
      </x:c>
      <x:c r="D223" s="31" t="str">
        <x:v>review</x:v>
      </x:c>
      <x:c r="E223" s="31" t="str">
        <x:v>r0255_smpc</x:v>
      </x:c>
      <x:c r="F223" s="31" t="str">
        <x:v>SMPC</x:v>
      </x:c>
      <x:c r="G223" s="31" t="n">
        <x:v>7</x:v>
      </x:c>
      <x:c r="H223" s="31" t="str">
        <x:v>cimetidine</x:v>
      </x:c>
      <x:c r="I223" s="37" t="str">
        <x:v>1 Ref:Nimotop 0.02% Solution for Infusion, MHRA, 30/07/2020 7 Other forms of interaction Since Nimotop solution contains 23.7 vol % ethanol (alcohol), patients should be monitored for any possible interactions with alcohol - incompatible drugs (see Section 4.4.) The simultaneous administration of cimetidine or sodium valproate may lead to an increase in the plasma nimodipine concentration. The intake of grapefruit juice is not recommended in combination with nimodipine as it can result in increased plasma nimodipine concentrations due to the inhibition of the oxidative metabolism of dihydropyridines. Interactions shown not to exist A study examining the effects of 90mg nimodipine (in divided doses) on elderly patients receiving haloperidol</x:v>
      </x:c>
      <x:c r="J223" s="37" t="str">
        <x:v>https://drug.fda.moph.go.th/media.php?id=810423093272125440&amp;name=SMPC_Nimodipine_Solution for Infusion.pdf</x:v>
      </x:c>
    </x:row>
    <x:row r="224">
      <x:c r="A224" s="31" t="str">
        <x:v>cimetidine</x:v>
      </x:c>
      <x:c r="B224" s="31" t="str">
        <x:v>ofloxacin</x:v>
      </x:c>
      <x:c r="C224" s="31" t="str">
        <x:v>unclassified</x:v>
      </x:c>
      <x:c r="D224" s="31" t="str">
        <x:v>review</x:v>
      </x:c>
      <x:c r="E224" s="31" t="str">
        <x:v>r0260_smpc</x:v>
      </x:c>
      <x:c r="F224" s="31" t="str">
        <x:v>SMPC</x:v>
      </x:c>
      <x:c r="G224" s="31" t="n">
        <x:v>20</x:v>
      </x:c>
      <x:c r="H224" s="31" t="str">
        <x:v>cimetidine</x:v>
      </x:c>
      <x:c r="I224" s="37" t="str">
        <x:v>xacin were found with theophylline in a clinical study. However, a pronounced lowering of the cerebral seizure threshold may occur when quinolones are given concurrently with theophylline, nonsteroidal anti -inflammato ry drugs, or other agents, which lower the seizure threshold. However, ofloxacin does not interfere with theophylline metabolism. In case of convulsive seizures, treatment with ofloxacin should be discontinued. Probenecid, cimetidine, furosemide, and methotrexate Probenecid decreased the total clearance of ofloxacin by 24%, and increased AUC by 16%. It acts at renal level by competing or inhibiting the active transport that forms the basis for tubular section. Caution should be exercised when ofloxacin is co - administered with drugs that affect the tubular renal secretion such as probenecid, cimetidine, furosemide and methotrexate. Especially when using high doses, th</x:v>
      </x:c>
      <x:c r="J224" s="37" t="str">
        <x:v>https://drug.fda.moph.go.th/media.php?id=810425338315284480&amp;name=SMPC_Ofloxacin_Film-coated Tablet.pdf</x:v>
      </x:c>
    </x:row>
    <x:row r="225">
      <x:c r="A225" s="31" t="str">
        <x:v>cimetidine</x:v>
      </x:c>
      <x:c r="B225" s="31" t="str">
        <x:v>piroxicam</x:v>
      </x:c>
      <x:c r="C225" s="31" t="str">
        <x:v>moderate</x:v>
      </x:c>
      <x:c r="D225" s="31" t="str">
        <x:v>eligible</x:v>
      </x:c>
      <x:c r="E225" s="31" t="str">
        <x:v>r0279_smpc</x:v>
      </x:c>
      <x:c r="F225" s="31" t="str">
        <x:v>SMPC</x:v>
      </x:c>
      <x:c r="G225" s="31" t="n">
        <x:v>7</x:v>
      </x:c>
      <x:c r="H225" s="31" t="str">
        <x:v>cimetidine</x:v>
      </x:c>
      <x:c r="I225" s="37" t="str">
        <x:v>adverse reactions is enhanced (see section 4.4). Human studies have shown that concomitant use of piroxicam and acetylsalicylic acid reduces the plasma piroxicam concentration to about 80% o f the usual value. Cardiac glycosides: NSAIDs may exacerbate cardiac failure, reduce GFR and increase plasma glycoside levels. Ciclosporin, Tacrolimus : possible increased risk of nephrotoxicity when NSAIDs are given with ciclosporin or tacrolimus. Cimetidine: Results of two separate studies indicate a slight but significant increase in absorption of piroxicam following cimetidine administration but no significant changes in elimination rate constants or half-life. The small increase in absorption is unlikely to be clinically significant.</x:v>
      </x:c>
      <x:c r="J225" s="37" t="str">
        <x:v>https://drug.fda.moph.go.th/media.php?id=810433390829510656&amp;name=SMPC_Piroxicam_Capsules.pdf</x:v>
      </x:c>
    </x:row>
    <x:row r="226">
      <x:c r="A226" s="31" t="str">
        <x:v>cimetidine</x:v>
      </x:c>
      <x:c r="B226" s="31" t="str">
        <x:v>propranolol</x:v>
      </x:c>
      <x:c r="C226" s="31" t="str">
        <x:v>unclassified</x:v>
      </x:c>
      <x:c r="D226" s="31" t="str">
        <x:v>review</x:v>
      </x:c>
      <x:c r="E226" s="31" t="str">
        <x:v>r0068_smpc</x:v>
      </x:c>
      <x:c r="F226" s="31" t="str">
        <x:v>SMPC</x:v>
      </x:c>
      <x:c r="G226" s="31" t="n">
        <x:v>5</x:v>
      </x:c>
      <x:c r="H226" s="31" t="str">
        <x:v>propranolol</x:v>
      </x:c>
      <x:c r="I226" s="37" t="str">
        <x:v>malabsorption should not take this medicinal product. &lt;REGARDING THE APPROVAL&gt; Excipients: This medicine contains less than 1 mmol sodium (23 mg) per tablet, that is to say essentially ‘sodium-free’. 4.5. Interaction with other medicinal products and other forms of interaction Cimetidine can prolong the elimination of drugs metabolised by oxidation in the liver. Although pharmacological interactions with a number of drugs, e.g. Diazepam, Propranolol, have been demonstrated, only those with oral anticoagulants, phenytoin, theophy lline and intravenous lidocaine appear, to date, to be of clinical significance. Close monitoring of patients on Cimetidine receiving oral anticoagulants or phenytoin is recommended and a reduction in the dosage of these drugs may be necessary. In patients on drug treatment or with illnesses that could cause falls in blood cell count, the possibility that H2</x:v>
      </x:c>
      <x:c r="J226" s="37" t="str">
        <x:v>https://drug.fda.moph.go.th/media.php?id=809675069696647168&amp;name=SMPC_Cimetidine_Tablets.pdf</x:v>
      </x:c>
    </x:row>
    <x:row r="227">
      <x:c r="A227" s="31" t="str">
        <x:v>cimetidine</x:v>
      </x:c>
      <x:c r="B227" s="31" t="str">
        <x:v>quinine</x:v>
      </x:c>
      <x:c r="C227" s="31" t="str">
        <x:v>moderate</x:v>
      </x:c>
      <x:c r="D227" s="31" t="str">
        <x:v>eligible</x:v>
      </x:c>
      <x:c r="E227" s="31" t="str">
        <x:v>r0300_smpc</x:v>
      </x:c>
      <x:c r="F227" s="31" t="str">
        <x:v>SMPC</x:v>
      </x:c>
      <x:c r="G227" s="31" t="n">
        <x:v>4</x:v>
      </x:c>
      <x:c r="H227" s="31" t="str">
        <x:v>cimetidine</x:v>
      </x:c>
      <x:c r="I227" s="37" t="str">
        <x:v>information &lt;REGARDING THE APPROVAL&gt; 4.5. Interaction with other medicinal products and other forms of interaction Urinary alkalinisers such as acetazolamide and sodium bicarbonate increases blood quinine levels by decreasing renal clearance of quinine. Urinary acidifiers such as ammonium chloride and some other drugs, decrease the pH of the urine and therefore increase the excretion of quinine, resulting in lower quinine blood levels. Cimetidine: If used concurrently, it may reduce the clearance of quinine.</x:v>
      </x:c>
      <x:c r="J227" s="37" t="str">
        <x:v>https://drug.fda.moph.go.th/media.php?id=810445665753767936&amp;name=SMPC_Quinine dihydrochloride_solutions for injections or infusions.pdf</x:v>
      </x:c>
    </x:row>
    <x:row r="228">
      <x:c r="A228" s="31" t="str">
        <x:v>cimetidine</x:v>
      </x:c>
      <x:c r="B228" s="31" t="str">
        <x:v>sodium_valproate</x:v>
      </x:c>
      <x:c r="C228" s="31" t="str">
        <x:v>unclassified</x:v>
      </x:c>
      <x:c r="D228" s="31" t="str">
        <x:v>review</x:v>
      </x:c>
      <x:c r="E228" s="31" t="str">
        <x:v>r0325_smpc</x:v>
      </x:c>
      <x:c r="F228" s="31" t="str">
        <x:v>SMPC</x:v>
      </x:c>
      <x:c r="G228" s="31" t="n">
        <x:v>18</x:v>
      </x:c>
      <x:c r="H228" s="31" t="str">
        <x:v>cimetidine</x:v>
      </x:c>
      <x:c r="I228" s="37" t="str">
        <x:v>1 Ref: Sodium Valproate, MHRA, 16/02/2024 18 The anticoagulant effect of warfarin and other coumarin anticoagulants may be increased following displacement from plasma protein binding sites by valproic acid. The prothrombin time should be closely monitored. Cimetidine or erythromycin Valproic acid plasma levels may be increased (as a result of reduced hepatic metabolism) in case of concomitant use with cimetidine or erythromycin. Carbapenem antibiotics (such as panipenem, imipenem and meropenem) Decreases in blood levels of valproic acid have been reported when it is co-administered with carbapenem agents resulting in a 60 -100% decrease in valproic acid levels within two days, sometimes associated w</x:v>
      </x:c>
      <x:c r="J228" s="37" t="str">
        <x:v>https://drug.fda.moph.go.th/media.php?id=810462806720782336&amp;name=SMPC_Sodium Valproate_Enteric-coated tablet.pdf</x:v>
      </x:c>
    </x:row>
    <x:row r="229">
      <x:c r="A229" s="31" t="str">
        <x:v>cimetidine</x:v>
      </x:c>
      <x:c r="B229" s="31" t="str">
        <x:v>tenoxicam</x:v>
      </x:c>
      <x:c r="C229" s="31" t="str">
        <x:v>unclassified</x:v>
      </x:c>
      <x:c r="D229" s="31" t="str">
        <x:v>review</x:v>
      </x:c>
      <x:c r="E229" s="31" t="str">
        <x:v>r0333_smpc</x:v>
      </x:c>
      <x:c r="F229" s="31" t="str">
        <x:v>SMPC</x:v>
      </x:c>
      <x:c r="G229" s="31" t="n">
        <x:v>8</x:v>
      </x:c>
      <x:c r="H229" s="31" t="str">
        <x:v>cimetidine</x:v>
      </x:c>
      <x:c r="I229" s="37" t="str">
        <x:v>learance and volume of distribution of Tenoxicam. Concurrent treatment with salicylates should therefore be avoided because of the increased risk of adverse reactions (particularly gastro - intestinal). Antacids and H2-receptor antagonists Antacids may reduce the rate, but not the extent, of absorption of Tenoxicam. The differences are not likely to be of clinical significance. No interaction has been found with concomitantly administered cimetidine. Anticoagulants Tenoxicam is highly bound to serum albumin, and can, as with all NSAIDs, enhance the effects of anticoagulants such as warfarin (see section 4.4). Close monitoring of the effects of anticoagulants and oral glycaemic agents is advised, especially during the initial stages of treatment with Tenoxicam. No interaction with digoxin has been observed. In healthy subjects no clinically relevant interaction between Tenoxicam and</x:v>
      </x:c>
      <x:c r="J229" s="37" t="str">
        <x:v>https://drug.fda.moph.go.th/media.php?id=810466026549551104&amp;name=SMPC_Tenoxicam_Tablets.pdf</x:v>
      </x:c>
    </x:row>
    <x:row r="230">
      <x:c r="A230" s="31" t="str">
        <x:v>cimetidine</x:v>
      </x:c>
      <x:c r="B230" s="31" t="str">
        <x:v>theophylline</x:v>
      </x:c>
      <x:c r="C230" s="31" t="str">
        <x:v>unclassified</x:v>
      </x:c>
      <x:c r="D230" s="31" t="str">
        <x:v>review</x:v>
      </x:c>
      <x:c r="E230" s="31" t="str">
        <x:v>r0068_smpc</x:v>
      </x:c>
      <x:c r="F230" s="31" t="str">
        <x:v>SMPC</x:v>
      </x:c>
      <x:c r="G230" s="31" t="n">
        <x:v>4</x:v>
      </x:c>
      <x:c r="H230" s="31" t="str">
        <x:v>theophylline</x:v>
      </x:c>
      <x:c r="I230" s="37" t="str">
        <x:v>the superficial healing of the gastric cancer. The consequences of potential delay in diagnosis should be borne in mind especially in middle aged patients or over, with new or recently changed dyspeptic symptoms. Due to possible interaction with coumarins, close monitoring of prothrombin time is recommended when cimetidine is concurrently used. Co-administration of therapeutic agents with a narrow therapeutic index, such as phenytoin or theophylline, may require dosage adjustment when</x:v>
      </x:c>
      <x:c r="J230" s="37" t="str">
        <x:v>https://drug.fda.moph.go.th/media.php?id=809675069696647168&amp;name=SMPC_Cimetidine_Tablets.pdf</x:v>
      </x:c>
    </x:row>
    <x:row r="231">
      <x:c r="A231" s="31" t="str">
        <x:v>cimetidine</x:v>
      </x:c>
      <x:c r="B231" s="31" t="str">
        <x:v>tramadol</x:v>
      </x:c>
      <x:c r="C231" s="31" t="str">
        <x:v>unclassified</x:v>
      </x:c>
      <x:c r="D231" s="31" t="str">
        <x:v>review</x:v>
      </x:c>
      <x:c r="E231" s="31" t="str">
        <x:v>r0350_smpc</x:v>
      </x:c>
      <x:c r="F231" s="31" t="str">
        <x:v>SMPC</x:v>
      </x:c>
      <x:c r="G231" s="31" t="n">
        <x:v>8</x:v>
      </x:c>
      <x:c r="H231" s="31" t="str">
        <x:v>cimetidine</x:v>
      </x:c>
      <x:c r="I231" s="37" t="str">
        <x:v>s including alcohol may potentiate the CNS effects (see section 4.8). The concomitant use of Tramadol with gabapentinoids (gabapentin and pregabalin) may result in resp iratory depression, hypotension, profound sedation, coma or death. The dose of Tramadol and the duration of the concomitant use should be limited (see section 4.4) The results of pharmacokinetic studies have so far shown that on the concomitant or previous administration of cimetidine (enzyme inhibitor) clinically relevant interactions are unlikely to occur. Simultaneous or previous administration of carbamazepine (enzyme inducer) may reduce the analgesic effect and shorten the duration of action. Tramadol can induce convulsions and increase the potential for selective serotonin re -uptake inhibitors, (SSRIs), serotonin -norepinephrine reuptake inhibitors (SNRIs), tricyclic anti -depressants, anti-psychotics</x:v>
      </x:c>
      <x:c r="J231" s="37" t="str">
        <x:v>https://drug.fda.moph.go.th/media.php?id=810483663501402112&amp;name=SMPC_Tramadol_Capsules.pdf</x:v>
      </x:c>
    </x:row>
    <x:row r="232">
      <x:c r="A232" s="31" t="str">
        <x:v>cimetidine</x:v>
      </x:c>
      <x:c r="B232" s="31" t="str">
        <x:v>tramadol</x:v>
      </x:c>
      <x:c r="C232" s="31" t="str">
        <x:v>unclassified</x:v>
      </x:c>
      <x:c r="D232" s="31" t="str">
        <x:v>review</x:v>
      </x:c>
      <x:c r="E232" s="31" t="str">
        <x:v>r0351_smpc</x:v>
      </x:c>
      <x:c r="F232" s="31" t="str">
        <x:v>SMPC</x:v>
      </x:c>
      <x:c r="G232" s="31" t="n">
        <x:v>9</x:v>
      </x:c>
      <x:c r="H232" s="31" t="str">
        <x:v>cimetidine</x:v>
      </x:c>
      <x:c r="I232" s="37" t="str">
        <x:v>s including alcohol may potentiate the CNS effects (see section 4.8). The concomitant use of Tramadol with gabapentinoids (gabapentin and pregabalin) may result in resp iratory depression, hypotension, profound sedation, coma or death. The dose of Tramadol and the duration of the concomitant use should be limited (see section 4.4) The results of pharmacokinetic studies have so far shown that on the concomitant or previous administration of cimetidine (enzyme inhibitor) clinically relevant interactions are unlikely to occur. Simultaneous or previous administration of carbamazepine (enzyme inducer) may reduce the analgesic effect and shorten the duration of action. Tramadol can induce convulsions and increase the potential for selective serotonin re -uptake inhibitors, (SSRIs), serotonin -norepinephrine reuptake inhibitors (SNRIs), tricyclic anti -depressants, anti-psychotics and other</x:v>
      </x:c>
      <x:c r="J232" s="37" t="str">
        <x:v>https://drug.fda.moph.go.th/media.php?id=810484035766853632&amp;name=SMPC_Tramadol_solution for injection or infusion.pdf</x:v>
      </x:c>
    </x:row>
    <x:row r="233">
      <x:c r="A233" s="31" t="str">
        <x:v>cimetidine</x:v>
      </x:c>
      <x:c r="B233" s="31" t="str">
        <x:v>trazodone</x:v>
      </x:c>
      <x:c r="C233" s="31" t="str">
        <x:v>unclassified</x:v>
      </x:c>
      <x:c r="D233" s="31" t="str">
        <x:v>review</x:v>
      </x:c>
      <x:c r="E233" s="31" t="str">
        <x:v>r0352_smpc</x:v>
      </x:c>
      <x:c r="F233" s="31" t="str">
        <x:v>SMPC</x:v>
      </x:c>
      <x:c r="G233" s="31" t="n">
        <x:v>10</x:v>
      </x:c>
      <x:c r="H233" s="31" t="str">
        <x:v>cimetidine</x:v>
      </x:c>
      <x:c r="I233" s="37" t="str">
        <x:v>Interaction with other medicinal products and other forms of interaction General: The sedative effects of antipsychotics, hypnotics, sedatives, anxiolytics, and antihistaminic drugs may be intensified; dosage reduction is recommended in such instances. The metabolism of antidepressants is accelerated due to hepatic effects by oral contraceptives, phenytoin, carbamazepine and barbiturates. The metabolism of antidepressants is inhibited by cimetidine and some other antipsychotics. In vitro drug metabolism studies suggest that there is a potential for drug interactions when &lt;GENERIC NAME&gt; is given with potent CYP3A4 inhibitors such as erythromycin, ketoconazole, itraconazole, ritonavir, indinavir, and nefazodone. It is likely that potent CYP3A4 inhibitors may lead to substantial increases in trazodone plasma concentrations with the potential for adverse effects. Exposure to ritonavir d</x:v>
      </x:c>
      <x:c r="J233" s="37" t="str">
        <x:v>https://drug.fda.moph.go.th/media.php?id=810484413367459840&amp;name=SMPC_Trazodone_Tablets.pdf</x:v>
      </x:c>
    </x:row>
    <x:row r="234">
      <x:c r="A234" s="31" t="str">
        <x:v>ciprofloxacin</x:v>
      </x:c>
      <x:c r="B234" s="31" t="str">
        <x:v>clindamycin</x:v>
      </x:c>
      <x:c r="C234" s="31" t="str">
        <x:v>unclassified</x:v>
      </x:c>
      <x:c r="D234" s="31" t="str">
        <x:v>review</x:v>
      </x:c>
      <x:c r="E234" s="31" t="str">
        <x:v>r0076_smpc</x:v>
      </x:c>
      <x:c r="F234" s="31" t="str">
        <x:v>SMPC</x:v>
      </x:c>
      <x:c r="G234" s="31" t="n">
        <x:v>25</x:v>
      </x:c>
      <x:c r="H234" s="31" t="str">
        <x:v>ciprofloxacin</x:v>
      </x:c>
      <x:c r="I234" s="37" t="str">
        <x:v>es in rats and rabbits administered clindamycin orally (rats only) and subcutaneously showed no evidence of fertility or foetal injury, except for doses that resulted in maternal toxicity. 6. PHARMACEUTICAL PARTICULARS 6.1. List of excipients &lt;Regarding the approval&gt; 6.2. Incompatibilities Clindamycin must not be administered together with ampicillin, phenytoin sodium, barbiturates, aminophylline, calcium gluconate, ceftriaxone sodium, ciprofloxacin, diphenylhydantoin, idarubicin hydrochloride, magnesium sulphate and ranitidine hydrochloride in a mixed injection. The application of this medicinal product must be conducted separately. Solutions of clindamycin salts have a low pH and incompatibility may reasonably be expected with alkaline preparations or with medicinal products unstable at low pH. This medicinal product must not be mixed with other medicinal products except those men</x:v>
      </x:c>
      <x:c r="J234" s="37" t="str">
        <x:v>https://drug.fda.moph.go.th/media.php?id=809679498764230656&amp;name=SMPC_clindamycin phosphate_solution for injection and infusion.pdf</x:v>
      </x:c>
    </x:row>
    <x:row r="235">
      <x:c r="A235" s="31" t="str">
        <x:v>ciprofloxacin</x:v>
      </x:c>
      <x:c r="B235" s="31" t="str">
        <x:v>cyclophosphamide</x:v>
      </x:c>
      <x:c r="C235" s="31" t="str">
        <x:v>unclassified</x:v>
      </x:c>
      <x:c r="D235" s="31" t="str">
        <x:v>review</x:v>
      </x:c>
      <x:c r="E235" s="31" t="str">
        <x:v>r0091_smpc</x:v>
      </x:c>
      <x:c r="F235" s="31" t="str">
        <x:v>SMPC</x:v>
      </x:c>
      <x:c r="G235" s="31" t="n">
        <x:v>14</x:v>
      </x:c>
      <x:c r="H235" s="31" t="str">
        <x:v>ciprofloxacin</x:v>
      </x:c>
      <x:c r="I235" s="37" t="str">
        <x:v>treatment. Substances that delay activation of cyclophosphamide include: - Aprepitant - Bupropion - Busulfan: decreased elimination of cyclophosphamide and prolonged half-life has been reported in patients who received high -dose cyclophosphamide less than 24 hours after high -dose busulfan. Increased incidence of hepatic veno-occlusive disease and mucositis has been reported with concomitant administration (see section 4.2 and 4.4). - Ciprofloxacin: when administered prior to treatment with cyclophosphamide (used for conditioning prior to bone marrow transplant), ciprofloxacin may cause regression of the underlying disease. - Chloramphenicol</x:v>
      </x:c>
      <x:c r="J235" s="37" t="str">
        <x:v>https://drug.fda.moph.go.th/media.php?id=809693226402455552&amp;name=SMPC_Cyclophosphamide_Powders for solutions for injections or infusions.pdf</x:v>
      </x:c>
    </x:row>
    <x:row r="236">
      <x:c r="A236" s="31" t="str">
        <x:v>ciprofloxacin</x:v>
      </x:c>
      <x:c r="B236" s="31" t="str">
        <x:v>ferrous</x:v>
      </x:c>
      <x:c r="C236" s="31" t="str">
        <x:v>unclassified</x:v>
      </x:c>
      <x:c r="D236" s="31" t="str">
        <x:v>review</x:v>
      </x:c>
      <x:c r="E236" s="31" t="str">
        <x:v>r0143_smpc</x:v>
      </x:c>
      <x:c r="F236" s="31" t="str">
        <x:v>SMPC</x:v>
      </x:c>
      <x:c r="G236" s="31" t="n">
        <x:v>4</x:v>
      </x:c>
      <x:c r="H236" s="31" t="str">
        <x:v>ciprofloxacin</x:v>
      </x:c>
      <x:c r="I236" s="37" t="str">
        <x:v>1 Ref: Fersamal, MHRA, date 05/09/2023 4 4.5. Interaction with other medicinal products and other forms of interaction Iron reduces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x:v>
      </x:c>
      <x:c r="J236" s="37" t="str">
        <x:v>https://drug.fda.moph.go.th/media.php?id=810079316368039936&amp;name=SMPC_Ferrous fumarate_Tablets.pdf</x:v>
      </x:c>
    </x:row>
    <x:row r="237">
      <x:c r="A237" s="31" t="str">
        <x:v>ciprofloxacin</x:v>
      </x:c>
      <x:c r="B237" s="31" t="str">
        <x:v>ferrous</x:v>
      </x:c>
      <x:c r="C237" s="31" t="str">
        <x:v>unclassified</x:v>
      </x:c>
      <x:c r="D237" s="31" t="str">
        <x:v>review</x:v>
      </x:c>
      <x:c r="E237" s="31" t="str">
        <x:v>r0144_smpc</x:v>
      </x:c>
      <x:c r="F237" s="31" t="str">
        <x:v>SMPC</x:v>
      </x:c>
      <x:c r="G237" s="31" t="n">
        <x:v>4</x:v>
      </x:c>
      <x:c r="H237" s="31" t="str">
        <x:v>ciprofloxacin</x:v>
      </x:c>
      <x:c r="I237" s="37" t="str">
        <x:v>1 Ref: Fersamal, MHRA, date 15/09/2023 4 ferrous fumarate syrup contains sugar, care must be exercised when using in patients with diabetes mellitus. Ferrous fumarate Syrup contains: &lt;Regarding the approval&gt; 4.5. Interaction with other medicinal products and other forms of interaction Iron reduces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x:v>
      </x:c>
      <x:c r="J237" s="37" t="str">
        <x:v>https://drug.fda.moph.go.th/media.php?id=810079681742249984&amp;name=SMPC_Ferrous fumarate_ syrup.pdf</x:v>
      </x:c>
    </x:row>
    <x:row r="238">
      <x:c r="A238" s="31" t="str">
        <x:v>ciprofloxacin</x:v>
      </x:c>
      <x:c r="B238" s="31" t="str">
        <x:v>ferrous</x:v>
      </x:c>
      <x:c r="C238" s="31" t="str">
        <x:v>unclassified</x:v>
      </x:c>
      <x:c r="D238" s="31" t="str">
        <x:v>review</x:v>
      </x:c>
      <x:c r="E238" s="31" t="str">
        <x:v>r0145_smpc</x:v>
      </x:c>
      <x:c r="F238" s="31" t="str">
        <x:v>SMPC</x:v>
      </x:c>
      <x:c r="G238" s="31" t="n">
        <x:v>4</x:v>
      </x:c>
      <x:c r="H238" s="31" t="str">
        <x:v>ciprofloxacin</x:v>
      </x:c>
      <x:c r="I238" s="37" t="str">
        <x:v>children, as overdose may be fatal’. This will appear on the front of the pack within a rectangle in which there is no other information. 4.5. Interaction with other medicinal products and other forms of interaction Antibacterials: Iron and tetracyclines reduce the absorption of each other when administered concomitantly. Administration of iron preparations and tetracyclines should be separated by 2 to 3 hours. The absorption of ciprofloxacin, levofloxacin, norfloxacin and ofloxacin may be reduced by oral iron.</x:v>
      </x:c>
      <x:c r="J238" s="37" t="str">
        <x:v>https://drug.fda.moph.go.th/media.php?id=810081060158316544&amp;name=SMPC_Ferrous sulfate_film-coated tablets.pdf</x:v>
      </x:c>
    </x:row>
    <x:row r="239">
      <x:c r="A239" s="31" t="str">
        <x:v>ciprofloxacin</x:v>
      </x:c>
      <x:c r="B239" s="31" t="str">
        <x:v>insulin</x:v>
      </x:c>
      <x:c r="C239" s="31" t="str">
        <x:v>unclassified</x:v>
      </x:c>
      <x:c r="D239" s="31" t="str">
        <x:v>review</x:v>
      </x:c>
      <x:c r="E239" s="31" t="str">
        <x:v>r0071_smpc</x:v>
      </x:c>
      <x:c r="F239" s="31" t="str">
        <x:v>SMPC</x:v>
      </x:c>
      <x:c r="G239" s="31" t="n">
        <x:v>15</x:v>
      </x:c>
      <x:c r="H239" s="31" t="str">
        <x:v>insulin</x:v>
      </x:c>
      <x:c r="I239" s="37" t="str">
        <x:v>1 Ref:Ciprofloxacin 250mg tablets, MHRA, 02/12/2020 Ref:Ciprofloxacin 250mg tablets, MHRA, 02/10/2023 Ref:Ciprofloxacin 250mg tablets, MHRA, 15/08/2023 15 Dysglycaemia As with all quinolones, disturbances in blood glucose, including both hypoglycaemia and hyperglycaemia have been reported (see section 4.8), usually in diabetic patients receiving concomitant treatment with an oral hypoglycaemic agent (e.g., glibenclamide) or with insulin. Cases of hypoglycaemic coma have been reported. In diabetic patients, careful monitoring of blood glucose is recommended. 4.5. Interaction with other medicinal products and other forms of interaction Effects of other products on ciprofloxacin Drugs known to prolong QT interval Ciprofloxacin tablets, like other fluoroquinolones, should be used with caution in patients receiving drugs known to prolong the QT interval (e.g.Class IA and II</x:v>
      </x:c>
      <x:c r="J239" s="37" t="str">
        <x:v>https://drug.fda.moph.go.th/media.php?id=842359238230679552&amp;name=SmPC Ciprofloxacin film-coated tablets.pdf</x:v>
      </x:c>
    </x:row>
    <x:row r="240">
      <x:c r="A240" s="31" t="str">
        <x:v>ciprofloxacin</x:v>
      </x:c>
      <x:c r="B240" s="31" t="str">
        <x:v>insulin</x:v>
      </x:c>
      <x:c r="C240" s="31" t="str">
        <x:v>unclassified</x:v>
      </x:c>
      <x:c r="D240" s="31" t="str">
        <x:v>review</x:v>
      </x:c>
      <x:c r="E240" s="31" t="str">
        <x:v>r0072_smpc</x:v>
      </x:c>
      <x:c r="F240" s="31" t="str">
        <x:v>SMPC</x:v>
      </x:c>
      <x:c r="G240" s="31" t="n">
        <x:v>14</x:v>
      </x:c>
      <x:c r="H240" s="31" t="str">
        <x:v>insulin</x:v>
      </x:c>
      <x:c r="I240" s="37" t="str">
        <x:v>often in diabetic patients, predominantly in the elderly population. In all diabetic patients, careful monitoring of blood glucose is recommended (see section 4.8). Dysglycaemia As with all quinolones, disturbances in blood glucose, including both hypoglycaemia and hyperglycaemia have been reported (see section 4.8), usually in diabetic patients receiving concomitant treatment with an oral hypoglycaemic agent (e.g., glibenclamide) or with insulin. Cases of hypoglycaemic coma have been reported. In diabetic patients, careful monitoring of blood glucose is recommended. Gastrointestinal System The occurrence of severe and persistent diarrhoea during or after treatment (including several weeks after treatment) may indicate an antibiotic-associated colitis (life-threatening with possible fatal outcome), requiring immediate treatment (see section 4 .8). In such</x:v>
      </x:c>
      <x:c r="J240" s="37" t="str">
        <x:v>https://drug.fda.moph.go.th/media.php?id=809677740591685632&amp;name=SMPC_Ciprofloxacin_Solution for infusion.pdf</x:v>
      </x:c>
    </x:row>
    <x:row r="241">
      <x:c r="A241" s="31" t="str">
        <x:v>ciprofloxacin</x:v>
      </x:c>
      <x:c r="B241" s="31" t="str">
        <x:v>insulin</x:v>
      </x:c>
      <x:c r="C241" s="31" t="str">
        <x:v>unclassified</x:v>
      </x:c>
      <x:c r="D241" s="31" t="str">
        <x:v>review</x:v>
      </x:c>
      <x:c r="E241" s="31" t="str">
        <x:v>r0073_smpc</x:v>
      </x:c>
      <x:c r="F241" s="31" t="str">
        <x:v>SMPC</x:v>
      </x:c>
      <x:c r="G241" s="31" t="n">
        <x:v>14</x:v>
      </x:c>
      <x:c r="H241" s="31" t="str">
        <x:v>insulin</x:v>
      </x:c>
      <x:c r="I241" s="37" t="str">
        <x:v>ould be taken when using fluoroquinolones, including Ciprofloxacin, in these populations. (See section 4.2 Elderly patients, section 4.5, section 4.8, section 4.9). Dysglycaemia As with all quinolones, disturbances in blood glucose, including both hypoglycaemia and hyperglycaemia have been reported (see section 4.8), usually in diabetic patients receiving concomitant treatment with an oral hypoglycaemic agent (e.g., glibenclamide) or with insulin. Cases of hypoglycaemic coma have been reported. In diabetic patients, careful monitoring of blood glucose is recommended. Gastrointestinal System The occurrence of severe and persistent diarrhoea during or after treatment (including several weeks after treatment) may indicate an antibiotic-associated colitis (life -threatening with possible fatal</x:v>
      </x:c>
      <x:c r="J241" s="37" t="str">
        <x:v>https://drug.fda.moph.go.th/media.php?id=842360112483016704&amp;name=SmPC Ciprofloxacin hydrochloride tablet.pdf</x:v>
      </x:c>
    </x:row>
    <x:row r="242">
      <x:c r="A242" s="31" t="str">
        <x:v>ciprofloxacin</x:v>
      </x:c>
      <x:c r="B242" s="31" t="str">
        <x:v>itraconazole</x:v>
      </x:c>
      <x:c r="C242" s="31" t="str">
        <x:v>unclassified</x:v>
      </x:c>
      <x:c r="D242" s="31" t="str">
        <x:v>review</x:v>
      </x:c>
      <x:c r="E242" s="31" t="str">
        <x:v>r0201_smpc</x:v>
      </x:c>
      <x:c r="F242" s="31" t="str">
        <x:v>SMPC</x:v>
      </x:c>
      <x:c r="G242" s="31" t="n">
        <x:v>11</x:v>
      </x:c>
      <x:c r="H242" s="31" t="str">
        <x:v>ciprofloxacin</x:v>
      </x:c>
      <x:c r="I242" s="37" t="str">
        <x:v>fore and during treatment with itraconazole, unless the benefits outweigh the risk of potentially reduced itraconazole efficacy. Upon coadministration, it is recommended that the antifungal activity be monitored and the itraconazole dose increased as deemed necessary. Drugs that may increase itraconazole plasma concentrations Potent inhibitors of CYP3A4 may increase the bioavailability of itraconazole. Examples include: - Antibacterials: ciprofloxacin, clarithromycin, erythromycin, - Antivirals: ritonavir -boosted darunavir, ritonavir -boosted fosamprenavir, indinavir (see also under Drugs that may have their plasma concentrations increased by itraconazole), ritonavir (see also under Drugs that may have their plasma concentrations increased by itraconazole). It is recommended that these drugs be used with caution when coadministered with itraconazole capsules. It is recommended that p</x:v>
      </x:c>
      <x:c r="J242" s="37" t="str">
        <x:v>https://drug.fda.moph.go.th/media.php?id=810398699489468416&amp;name=SMPC_Itraconazole_Hard capsules.pdf</x:v>
      </x:c>
    </x:row>
    <x:row r="243">
      <x:c r="A243" s="31" t="str">
        <x:v>ciprofloxacin</x:v>
      </x:c>
      <x:c r="B243" s="31" t="str">
        <x:v>lidocaine</x:v>
      </x:c>
      <x:c r="C243" s="31" t="str">
        <x:v>unclassified</x:v>
      </x:c>
      <x:c r="D243" s="31" t="str">
        <x:v>review</x:v>
      </x:c>
      <x:c r="E243" s="31" t="str">
        <x:v>r0071_smpc</x:v>
      </x:c>
      <x:c r="F243" s="31" t="str">
        <x:v>SMPC</x:v>
      </x:c>
      <x:c r="G243" s="31" t="n">
        <x:v>18</x:v>
      </x:c>
      <x:c r="H243" s="31" t="str">
        <x:v>lidocaine</x:v>
      </x:c>
      <x:c r="I243" s="37" t="str">
        <x:v>t administration (see section 4.4). Ropinirole It was shown in a clinical study that concomitant use of ropinirole with ciprofloxacin, a moderate inhibitor of CYP450 1A2 isozyme, results in an increase of Cmax and AUC of ropinirole by 60% and 84% respectively. Monitoring of ropinirole –related side effe cts and dose adjustment as appropriate is recommended during and shortly after co - administration with ciprofloxacin (see section 4.4). Lidocaine It was demonstrated in healthy subjects that concomitant use of lidocaine containing medicinal products with ciprofloxacin, a moderate inhibitor of CYP450 1A2 isozyme, reduces clearance of intravenous lidocaine by 22%. Although lidocaine treatment was well tolerated, a possible interaction with ciprofloxacin associated with side effects may occur upon concomitant administration. Clozapine Following concomitant administration of 250 mg ci</x:v>
      </x:c>
      <x:c r="J243" s="37" t="str">
        <x:v>https://drug.fda.moph.go.th/media.php?id=842359238230679552&amp;name=SmPC Ciprofloxacin film-coated tablets.pdf</x:v>
      </x:c>
    </x:row>
    <x:row r="244">
      <x:c r="A244" s="31" t="str">
        <x:v>ciprofloxacin</x:v>
      </x:c>
      <x:c r="B244" s="31" t="str">
        <x:v>lidocaine</x:v>
      </x:c>
      <x:c r="C244" s="31" t="str">
        <x:v>unclassified</x:v>
      </x:c>
      <x:c r="D244" s="31" t="str">
        <x:v>review</x:v>
      </x:c>
      <x:c r="E244" s="31" t="str">
        <x:v>r0072_smpc</x:v>
      </x:c>
      <x:c r="F244" s="31" t="str">
        <x:v>SMPC</x:v>
      </x:c>
      <x:c r="G244" s="31" t="n">
        <x:v>19</x:v>
      </x:c>
      <x:c r="H244" s="31" t="str">
        <x:v>lidocaine</x:v>
      </x:c>
      <x:c r="I244" s="37" t="str">
        <x:v>administration (see section 4.4). Ropinirole It was shown in a clinical study that concomitant use of ropinirole with ciprofloxacin, a moderate inhibitor of the CYP450 1A2 isozyme, results in an increase of Cmax and AUC of ropinirole by 60% and 84%, respectively. Monitoring of ropinirole-related side effects and dose adjustment as appropriate is recommended during and shortly after co -administration with ciprofloxacin (see section 4.4). Lidocaine It was demonstrated in healthy subjects that concomitant use of lidocaine containing medicinal products with ciprofloxacin, a moderate inhibitor of CYP450 1A2 isozyme, reduces clearance of intravenous lidocaine by 22%. Although lidocaine treatment was well tolerated, a possible interaction with ciprofloxacin associated with side effects may occur upon concomitant administration.</x:v>
      </x:c>
      <x:c r="J244" s="37" t="str">
        <x:v>https://drug.fda.moph.go.th/media.php?id=809677740591685632&amp;name=SMPC_Ciprofloxacin_Solution for infusion.pdf</x:v>
      </x:c>
    </x:row>
    <x:row r="245">
      <x:c r="A245" s="31" t="str">
        <x:v>ciprofloxacin</x:v>
      </x:c>
      <x:c r="B245" s="31" t="str">
        <x:v>lidocaine</x:v>
      </x:c>
      <x:c r="C245" s="31" t="str">
        <x:v>unclassified</x:v>
      </x:c>
      <x:c r="D245" s="31" t="str">
        <x:v>review</x:v>
      </x:c>
      <x:c r="E245" s="31" t="str">
        <x:v>r0073_smpc</x:v>
      </x:c>
      <x:c r="F245" s="31" t="str">
        <x:v>SMPC</x:v>
      </x:c>
      <x:c r="G245" s="31" t="n">
        <x:v>19</x:v>
      </x:c>
      <x:c r="H245" s="31" t="str">
        <x:v>lidocaine</x:v>
      </x:c>
      <x:c r="I245" s="37" t="str">
        <x:v>dministration (see section 4.4). Ropinirole It was shown in a clinical study that concomitant use of ropinirole with ciprofloxacin, a moderate inhibitor of the CYP450 1A2 isozyme, results in an increase of Cmax and AUC of ropinirole by 60% and 84%, respectively. Monitoring of ropinirole -related side effects and dose adjustment as appropriate is recommended during and shortly after co - administration with ciprofloxacin (see section 4.4). Lidocaine It was demonstrated in healthy subjects that concomitant use of lidocaine containing medicinal products with ciprofloxacin, a moderate inhibitor of CYP450 1A2 isozyme, reduces clearance of intravenous lidocaine by 22%. Although lidocaine treatment was well tolerated, a possible interaction with ciprofloxacin associated with side effects may occur upon concomitant administration. Agomelatine In clinical studies, it was demonstrated that f</x:v>
      </x:c>
      <x:c r="J245" s="37" t="str">
        <x:v>https://drug.fda.moph.go.th/media.php?id=842360112483016704&amp;name=SmPC Ciprofloxacin hydrochloride tablet.pdf</x:v>
      </x:c>
    </x:row>
    <x:row r="246">
      <x:c r="A246" s="31" t="str">
        <x:v>ciprofloxacin</x:v>
      </x:c>
      <x:c r="B246" s="31" t="str">
        <x:v>magnesium</x:v>
      </x:c>
      <x:c r="C246" s="31" t="str">
        <x:v>unclassified</x:v>
      </x:c>
      <x:c r="D246" s="31" t="str">
        <x:v>review</x:v>
      </x:c>
      <x:c r="E246" s="31" t="str">
        <x:v>r0073_smpc</x:v>
      </x:c>
      <x:c r="F246" s="31" t="str">
        <x:v>SMPC</x:v>
      </x:c>
      <x:c r="G246" s="31" t="n">
        <x:v>16</x:v>
      </x:c>
      <x:c r="H246" s="31" t="str">
        <x:v>magnesium</x:v>
      </x:c>
      <x:c r="I246" s="37" t="str">
        <x:v>known to prolong QT interval Ciprofloxacin, like other fluoroquinolones, should be used with caution in patients receiving drugs known to prolong the QT interval (e.g. Class IA and III anti -arrhythmics, tricyclic antidepressants, macrolides, antipsychotics) (see section 4.4). Chelation Complex Formation The simultaneous administration of ciprofloxacin (oral) and multivalent cation-containing drugs and mineral supplements (e.g. calcium, magnesium, aluminium, iron), polymeric phosphate binders (e.g. sevelamer or lanthanum carbonate), sucralfate or antacids, and highly</x:v>
      </x:c>
      <x:c r="J246" s="37" t="str">
        <x:v>https://drug.fda.moph.go.th/media.php?id=842360112483016704&amp;name=SmPC Ciprofloxacin hydrochloride tablet.pdf</x:v>
      </x:c>
    </x:row>
    <x:row r="247">
      <x:c r="A247" s="31" t="str">
        <x:v>ciprofloxacin</x:v>
      </x:c>
      <x:c r="B247" s="31" t="str">
        <x:v>magnesium_hydroxide</x:v>
      </x:c>
      <x:c r="C247" s="31" t="str">
        <x:v>unclassified</x:v>
      </x:c>
      <x:c r="D247" s="31" t="str">
        <x:v>review</x:v>
      </x:c>
      <x:c r="E247" s="31" t="str">
        <x:v>r0216_smpc</x:v>
      </x:c>
      <x:c r="F247" s="31" t="str">
        <x:v>SMPC</x:v>
      </x:c>
      <x:c r="G247" s="31" t="n">
        <x:v>2</x:v>
      </x:c>
      <x:c r="H247" s="31" t="str">
        <x:v>ciprofloxacin</x:v>
      </x:c>
      <x:c r="I247" s="37" t="str">
        <x:v>ditions, or renal or hepatic impairment. 4.4. Special warnings and precautions for use Label warnings: - Store below 25°C. - Do not freeze. - Shake well before use. - Keep out of the sight and reach of children. - Chronic use may result in hypermagnesia. 4.5. Interaction with other medicinal products and other forms of interaction The antacid properties of this preparation can lead to reduced absorption of diflusinal, azithromycin, ciprofloxacin, isoniazid, norfloxacin, ofloxacin, pivampicillin, rifampicin and most tetracyclines. Also reduces absorption of phenytoin, itraconazole, ketoconazole, fosinopril, chloroquine, hydroxychloroquine, phenothiazines, biphosphonates and penicillamine. The use of this product is not advised during dipyridamole therapy. The excretion of aspirin is increased and quinidine is decreased in alkaline urine which may occur with use of this produc</x:v>
      </x:c>
      <x:c r="J247" s="37" t="str">
        <x:v>https://drug.fda.moph.go.th/media.php?id=810406985441878016&amp;name=SMPC_Magnesium hydroxide_Oral suspension.pdf</x:v>
      </x:c>
    </x:row>
    <x:row r="248">
      <x:c r="A248" s="31" t="str">
        <x:v>ciprofloxacin</x:v>
      </x:c>
      <x:c r="B248" s="31" t="str">
        <x:v>magnesium_trisilicate</x:v>
      </x:c>
      <x:c r="C248" s="31" t="str">
        <x:v>moderate</x:v>
      </x:c>
      <x:c r="D248" s="31" t="str">
        <x:v>eligible</x:v>
      </x:c>
      <x:c r="E248" s="31" t="str">
        <x:v>r0218_smpc</x:v>
      </x:c>
      <x:c r="F248" s="31" t="str">
        <x:v>SMPC</x:v>
      </x:c>
      <x:c r="G248" s="31" t="n">
        <x:v>2</x:v>
      </x:c>
      <x:c r="H248" s="31" t="str">
        <x:v>ciprofloxacin</x:v>
      </x:c>
      <x:c r="I248" s="37" t="str">
        <x:v>d cardiac arrest. If symptoms persist for longer than 7 days, consult your doctor. Patients with rare hereditary problems of fructose or galactose intolerance, the LAPP lactase deficiency, glucose-galactose malabsorption or sucrase-isomaltase insufficiency should not take this medicine. 4.5. Interaction with other medicinal products and other forms of interaction Concurrent administration of antacids reduces the absorption of ciprofloxacin, pivampicillin, rifampicin, most tetracyclines, itraconazole, ketoconazole, chloroquine, hydroxychloroquine, phenothiazines, phenytoin, oral iron, penicillamine and diflunisal. Concurrent use of antacids reduces the effectiveness of the ulcer healing drug sucralfate.</x:v>
      </x:c>
      <x:c r="J248" s="37" t="str">
        <x:v>https://drug.fda.moph.go.th/media.php?id=810407998043332608&amp;name=SMPC_Magnesium trisilicate_Tablets.pdf</x:v>
      </x:c>
    </x:row>
    <x:row r="249">
      <x:c r="A249" s="31" t="str">
        <x:v>ciprofloxacin</x:v>
      </x:c>
      <x:c r="B249" s="31" t="str">
        <x:v>methotrexate</x:v>
      </x:c>
      <x:c r="C249" s="31" t="str">
        <x:v>unclassified</x:v>
      </x:c>
      <x:c r="D249" s="31" t="str">
        <x:v>review</x:v>
      </x:c>
      <x:c r="E249" s="31" t="str">
        <x:v>r0071_smpc</x:v>
      </x:c>
      <x:c r="F249" s="31" t="str">
        <x:v>SMPC</x:v>
      </x:c>
      <x:c r="G249" s="31" t="n">
        <x:v>14</x:v>
      </x:c>
      <x:c r="H249" s="31" t="str">
        <x:v>methotrexate</x:v>
      </x:c>
      <x:c r="I249" s="37" t="str">
        <x:v>substances metabolised by this enzyme (e.g. theophylline, clozapine, olanzapine, ropinirole, tizanidine, duloxetine, agomelatine). Co-administration of ciprofloxacin and tizanidine is contra -indicated. Therefore, patients taking these substances concomitantly with ciprofloxacin should be monitored closely for clinical signs of overdosage, and determination of serum concentrations (e.g. of theophylline) may be necessary (see section 4.5). Methotrexate The concomitant use of ciprofloxacin with methotrexate is not recommended (see section 4.5). Interaction with laboratory tests The in-vitro of activity against Mycobacterium tuberculosis, might give false- negative bacteriological test results from patients currently taking ciprofloxacin. Contains lactose. Patients with rare hereditary problems of galactose intolerance, the Lapp lactase deficiency or glucose -galactose malabsorption sho</x:v>
      </x:c>
      <x:c r="J249" s="37" t="str">
        <x:v>https://drug.fda.moph.go.th/media.php?id=842359238230679552&amp;name=SmPC Ciprofloxacin film-coated tablets.pdf</x:v>
      </x:c>
    </x:row>
    <x:row r="250">
      <x:c r="A250" s="31" t="str">
        <x:v>ciprofloxacin</x:v>
      </x:c>
      <x:c r="B250" s="31" t="str">
        <x:v>methotrexate</x:v>
      </x:c>
      <x:c r="C250" s="31" t="str">
        <x:v>unclassified</x:v>
      </x:c>
      <x:c r="D250" s="31" t="str">
        <x:v>review</x:v>
      </x:c>
      <x:c r="E250" s="31" t="str">
        <x:v>r0071_smpc</x:v>
      </x:c>
      <x:c r="F250" s="31" t="str">
        <x:v>SMPC</x:v>
      </x:c>
      <x:c r="G250" s="31" t="n">
        <x:v>16</x:v>
      </x:c>
      <x:c r="H250" s="31" t="str">
        <x:v>methotrexate</x:v>
      </x:c>
      <x:c r="I250" s="37" t="str">
        <x:v>oducts Tizanidine Tizanidine must not be administered together with ciprofloxacin (see section 4.3). In a clinical study with healthy subjects, there was an increase in serum tizanidine concentration (Cmax increase 7-fold, range 4 to 21 -fold; AUC increase 10 -fold, range 6 t o 24 -fold) when given concomitantly with ciprofloxacin. Increased serum tizanidine concentration is associated with a potentiated hypotensive and sedative effect. Methotrexate Renal tubular transport of methotrexate may be inhibited by concomitant administration of ciprofloxacin, potentially leading to increased plasma levels of methotrexate and increased risk of methotrexate-associated toxic reactions. The concomitant use is no t recommended (see section 4.4). Theophylline Concurrent administration of ciprofloxacin and theophylline can cause an undesirable increase in serum theophylline concentration. This ca</x:v>
      </x:c>
      <x:c r="J250" s="37" t="str">
        <x:v>https://drug.fda.moph.go.th/media.php?id=842359238230679552&amp;name=SmPC Ciprofloxacin film-coated tablets.pdf</x:v>
      </x:c>
    </x:row>
    <x:row r="251">
      <x:c r="A251" s="31" t="str">
        <x:v>ciprofloxacin</x:v>
      </x:c>
      <x:c r="B251" s="31" t="str">
        <x:v>methotrexate</x:v>
      </x:c>
      <x:c r="C251" s="31" t="str">
        <x:v>unclassified</x:v>
      </x:c>
      <x:c r="D251" s="31" t="str">
        <x:v>review</x:v>
      </x:c>
      <x:c r="E251" s="31" t="str">
        <x:v>r0072_smpc</x:v>
      </x:c>
      <x:c r="F251" s="31" t="str">
        <x:v>SMPC</x:v>
      </x:c>
      <x:c r="G251" s="31" t="n">
        <x:v>16</x:v>
      </x:c>
      <x:c r="H251" s="31" t="str">
        <x:v>methotrexate</x:v>
      </x:c>
      <x:c r="I251" s="37" t="str">
        <x:v>y administered substances metabolised by this enzyme (e.g. theophylline, clozapine, olanzapine, ropinirole, tizanidine, duloxetine). Co -administration of &lt;GENERIC NAME&gt; and tizanidine is contraindicated. Therefore, patients taking these substances concomitantly with &lt;GENERIC NAME&gt; should be monitored closely for clinical signs of overdose, and determination of serum concentrations (e.g. of theophylline) may be necessary (see section 4.5). Methotrexate The concomitant use of &lt;GENERIC NAME&gt; with methotrexate is not recommended (see section 4.5). Interaction with tests The in-vitro activity of &lt;GENERIC NAME&gt; against Mycobacterium tuberculosis might give false negative bacteriological test results in specimens from patients currently taking &lt;GENERIC NAME&gt;. Injection Site Reaction Local intravenous site reactions have been reported with the intravenous administration of &lt;GENERIC NAME&gt; . T</x:v>
      </x:c>
      <x:c r="J251" s="37" t="str">
        <x:v>https://drug.fda.moph.go.th/media.php?id=809677740591685632&amp;name=SMPC_Ciprofloxacin_Solution for infusion.pdf</x:v>
      </x:c>
    </x:row>
    <x:row r="252">
      <x:c r="A252" s="31" t="str">
        <x:v>ciprofloxacin</x:v>
      </x:c>
      <x:c r="B252" s="31" t="str">
        <x:v>methotrexate</x:v>
      </x:c>
      <x:c r="C252" s="31" t="str">
        <x:v>unclassified</x:v>
      </x:c>
      <x:c r="D252" s="31" t="str">
        <x:v>review</x:v>
      </x:c>
      <x:c r="E252" s="31" t="str">
        <x:v>r0072_smpc</x:v>
      </x:c>
      <x:c r="F252" s="31" t="str">
        <x:v>SMPC</x:v>
      </x:c>
      <x:c r="G252" s="31" t="n">
        <x:v>18</x:v>
      </x:c>
      <x:c r="H252" s="31" t="str">
        <x:v>methotrexate</x:v>
      </x:c>
      <x:c r="I252" s="37" t="str">
        <x:v>serum tizanidine concentration is associated with a potentiated hypotensive and sedative effect. Methotrexate Renal tubular transport of methotrexate may be inhibited by concomitant administration of ciprofloxacin, potentially leading to increased plasma levels of methotrexate and increased risk of methotrexate -associated toxic reactions. The concomitant use is not recommended (see section 4.4). Theophylline Concurrent administration of ciprofloxacin and theophylline can cause an undesirable increase in serum theophylline concentration. This can</x:v>
      </x:c>
      <x:c r="J252" s="37" t="str">
        <x:v>https://drug.fda.moph.go.th/media.php?id=809677740591685632&amp;name=SMPC_Ciprofloxacin_Solution for infusion.pdf</x:v>
      </x:c>
    </x:row>
    <x:row r="253">
      <x:c r="A253" s="31" t="str">
        <x:v>ciprofloxacin</x:v>
      </x:c>
      <x:c r="B253" s="31" t="str">
        <x:v>methotrexate</x:v>
      </x:c>
      <x:c r="C253" s="31" t="str">
        <x:v>unclassified</x:v>
      </x:c>
      <x:c r="D253" s="31" t="str">
        <x:v>review</x:v>
      </x:c>
      <x:c r="E253" s="31" t="str">
        <x:v>r0073_smpc</x:v>
      </x:c>
      <x:c r="F253" s="31" t="str">
        <x:v>SMPC</x:v>
      </x:c>
      <x:c r="G253" s="31" t="n">
        <x:v>16</x:v>
      </x:c>
      <x:c r="H253" s="31" t="str">
        <x:v>methotrexate</x:v>
      </x:c>
      <x:c r="I253" s="37" t="str">
        <x:v>d substances metabolised by this enzyme (e.g. theophylline, clozapine, olanzapine, ropinirole, tizanidine, duloxetine, agomelatine). Co-administration of ciprofloxacin and tizanidine is contra -indicated. Therefore, patients taking these substances concomitantly with ciprofloxacin should be monitored closely for clinical signs of overdose, and determination of serum concentrations (e.g. of theophylline) may be necessary (see section 4.5). Methotrexate The concomitant use of ciprofloxacin with methotrexate is not recommended (see section 4.5). Interaction with tests The in -vitro activity of ciprofloxacin against Mycobacterium tuberculosis might give false negative bacteriological test results in specimens from patients currently taking ciprofloxacin. Excipient information &lt;REGARDING THE APPROVAL&gt; 4.5. Interaction with other medicinal products and other forms of interaction Drugs kn</x:v>
      </x:c>
      <x:c r="J253" s="37" t="str">
        <x:v>https://drug.fda.moph.go.th/media.php?id=842360112483016704&amp;name=SmPC Ciprofloxacin hydrochloride tablet.pdf</x:v>
      </x:c>
    </x:row>
    <x:row r="254">
      <x:c r="A254" s="31" t="str">
        <x:v>ciprofloxacin</x:v>
      </x:c>
      <x:c r="B254" s="31" t="str">
        <x:v>methotrexate</x:v>
      </x:c>
      <x:c r="C254" s="31" t="str">
        <x:v>unclassified</x:v>
      </x:c>
      <x:c r="D254" s="31" t="str">
        <x:v>review</x:v>
      </x:c>
      <x:c r="E254" s="31" t="str">
        <x:v>r0073_smpc</x:v>
      </x:c>
      <x:c r="F254" s="31" t="str">
        <x:v>SMPC</x:v>
      </x:c>
      <x:c r="G254" s="31" t="n">
        <x:v>18</x:v>
      </x:c>
      <x:c r="H254" s="31" t="str">
        <x:v>methotrexate</x:v>
      </x:c>
      <x:c r="I254" s="37" t="str">
        <x:v>1 Ref: Ciprofloxacin, MHRA, 22/03/2024 18 concentration is associated with a potentiated hypotensive and sedative effect. Methotrexate Renal tubular transport of methotrexate may be inhibited by concomitant administration of ciprofloxacin, potentially leading to increased plasma levels of methotrexate and increased risk of methotrexate-associated toxic reactions. The concomitant use is no t recommended (see section 4.4). Theophylline Concurrent administration of ciprofloxacin and theophylline can cause an undesirable increase in serum theophylline concentration. This ca</x:v>
      </x:c>
      <x:c r="J254" s="37" t="str">
        <x:v>https://drug.fda.moph.go.th/media.php?id=842360112483016704&amp;name=SmPC Ciprofloxacin hydrochloride tablet.pdf</x:v>
      </x:c>
    </x:row>
    <x:row r="255">
      <x:c r="A255" s="31" t="str">
        <x:v>ciprofloxacin</x:v>
      </x:c>
      <x:c r="B255" s="31" t="str">
        <x:v>metoclopramide</x:v>
      </x:c>
      <x:c r="C255" s="31" t="str">
        <x:v>unclassified</x:v>
      </x:c>
      <x:c r="D255" s="31" t="str">
        <x:v>review</x:v>
      </x:c>
      <x:c r="E255" s="31" t="str">
        <x:v>r0071_smpc</x:v>
      </x:c>
      <x:c r="F255" s="31" t="str">
        <x:v>SMPC</x:v>
      </x:c>
      <x:c r="G255" s="31" t="n">
        <x:v>16</x:v>
      </x:c>
      <x:c r="H255" s="31" t="str">
        <x:v>metoclopramide</x:v>
      </x:c>
      <x:c r="I255" s="37" t="str">
        <x:v>1 Ref:Ciprofloxacin 250mg tablets, MHRA, 02/12/2020 Ref:Ciprofloxacin 250mg tablets, MHRA, 02/10/2023 Ref:Ciprofloxacin 250mg tablets, MHRA, 15/08/2023 16 Probenecid Probenecid interferes with renal secretion of ciprofloxacin. Co - administration of probenecid and ciprofloxacin increases ciprofloxacin serum concentrations. Metoclopramide Metoclopramide accelerates the absorption of ciprofloxacin (oral) resulting in a shorter time to reach maximum plasma concentrations. No effect was seen on the bioavailability of ciprofloxacin. Omeprazole Concomitant administration of ciprofloxacin and omeprazole containing medicinal products results in a slight reduction of Cmax and AUC of ciprofloxacin. Effects of ciprofloxacin on other medicinal products Tizanidine Tizanidine must n</x:v>
      </x:c>
      <x:c r="J255" s="37" t="str">
        <x:v>https://drug.fda.moph.go.th/media.php?id=842359238230679552&amp;name=SmPC Ciprofloxacin film-coated tablets.pdf</x:v>
      </x:c>
    </x:row>
    <x:row r="256">
      <x:c r="A256" s="31" t="str">
        <x:v>ciprofloxacin</x:v>
      </x:c>
      <x:c r="B256" s="31" t="str">
        <x:v>metoclopramide</x:v>
      </x:c>
      <x:c r="C256" s="31" t="str">
        <x:v>unclassified</x:v>
      </x:c>
      <x:c r="D256" s="31" t="str">
        <x:v>review</x:v>
      </x:c>
      <x:c r="E256" s="31" t="str">
        <x:v>r0073_smpc</x:v>
      </x:c>
      <x:c r="F256" s="31" t="str">
        <x:v>SMPC</x:v>
      </x:c>
      <x:c r="G256" s="31" t="n">
        <x:v>17</x:v>
      </x:c>
      <x:c r="H256" s="31" t="str">
        <x:v>metoclopramide</x:v>
      </x:c>
      <x:c r="I256" s="37" t="str">
        <x:v>s not significantly affect absorption. However, the concurrent administration of dairy products or mineral-fortified drinks alone (e.g. milk, yoghurt, calcium -fortified orange juice) with ciprofloxacin should be avoided because absorption of ciprofloxacin may be reduced Probenecid Probenecid interferes with renal secretion of ciprofloxacin. Co - administration of probenecid and ciprofloxacin increases ciprofloxacin serum concentrations. Metoclopramide Metoclopramide accelerates the absorption of ciprofloxacin (oral) resulting in a shorter time to reach maximum plasma concentrations. No effect was seen on the bioavailability of ciprofloxacin. Omeprazole Concomitant administration of ciprofloxacin and omeprazole containing medicinal products results in a slight reduction of Cmax and AUC of ciprofloxacin. Effects of ciprofloxacin on other medicinal products: Tizanidine Tizanidine must</x:v>
      </x:c>
      <x:c r="J256" s="37" t="str">
        <x:v>https://drug.fda.moph.go.th/media.php?id=842360112483016704&amp;name=SmPC Ciprofloxacin hydrochloride tablet.pdf</x:v>
      </x:c>
    </x:row>
    <x:row r="257">
      <x:c r="A257" s="31" t="str">
        <x:v>ciprofloxacin</x:v>
      </x:c>
      <x:c r="B257" s="31" t="str">
        <x:v>omeprazole</x:v>
      </x:c>
      <x:c r="C257" s="31" t="str">
        <x:v>unclassified</x:v>
      </x:c>
      <x:c r="D257" s="31" t="str">
        <x:v>review</x:v>
      </x:c>
      <x:c r="E257" s="31" t="str">
        <x:v>r0071_smpc</x:v>
      </x:c>
      <x:c r="F257" s="31" t="str">
        <x:v>SMPC</x:v>
      </x:c>
      <x:c r="G257" s="31" t="n">
        <x:v>16</x:v>
      </x:c>
      <x:c r="H257" s="31" t="str">
        <x:v>omeprazole</x:v>
      </x:c>
      <x:c r="I257" s="37" t="str">
        <x:v>0/2023 Ref:Ciprofloxacin 250mg tablets, MHRA, 15/08/2023 16 Probenecid Probenecid interferes with renal secretion of ciprofloxacin. Co - administration of probenecid and ciprofloxacin increases ciprofloxacin serum concentrations. Metoclopramide Metoclopramide accelerates the absorption of ciprofloxacin (oral) resulting in a shorter time to reach maximum plasma concentrations. No effect was seen on the bioavailability of ciprofloxacin. Omeprazole Concomitant administration of ciprofloxacin and omeprazole containing medicinal products results in a slight reduction of Cmax and AUC of ciprofloxacin. Effects of ciprofloxacin on other medicinal products Tizanidine Tizanidine must not be administered together with ciprofloxacin (see section 4.3). In a clinical study with healthy subjects, there was an increase in serum tizanidine concentration (Cmax increase 7-fold, range 4 to 21 -fol</x:v>
      </x:c>
      <x:c r="J257" s="37" t="str">
        <x:v>https://drug.fda.moph.go.th/media.php?id=842359238230679552&amp;name=SmPC Ciprofloxacin film-coated tablets.pdf</x:v>
      </x:c>
    </x:row>
    <x:row r="258">
      <x:c r="A258" s="31" t="str">
        <x:v>ciprofloxacin</x:v>
      </x:c>
      <x:c r="B258" s="31" t="str">
        <x:v>omeprazole</x:v>
      </x:c>
      <x:c r="C258" s="31" t="str">
        <x:v>unclassified</x:v>
      </x:c>
      <x:c r="D258" s="31" t="str">
        <x:v>review</x:v>
      </x:c>
      <x:c r="E258" s="31" t="str">
        <x:v>r0073_smpc</x:v>
      </x:c>
      <x:c r="F258" s="31" t="str">
        <x:v>SMPC</x:v>
      </x:c>
      <x:c r="G258" s="31" t="n">
        <x:v>17</x:v>
      </x:c>
      <x:c r="H258" s="31" t="str">
        <x:v>omeprazole</x:v>
      </x:c>
      <x:c r="I258" s="37" t="str">
        <x:v>be avoided because absorption of ciprofloxacin may be reduced Probenecid Probenecid interferes with renal secretion of ciprofloxacin. Co - administration of probenecid and ciprofloxacin increases ciprofloxacin serum concentrations. Metoclopramide Metoclopramide accelerates the absorption of ciprofloxacin (oral) resulting in a shorter time to reach maximum plasma concentrations. No effect was seen on the bioavailability of ciprofloxacin. Omeprazole Concomitant administration of ciprofloxacin and omeprazole containing medicinal products results in a slight reduction of Cmax and AUC of ciprofloxacin. Effects of ciprofloxacin on other medicinal products: Tizanidine Tizanidine must not be administered together with ciprofloxacin (see section 4.3). In a clinical study with healthy subjects, there was an increase in serum tizanidine concentration (Cmax increase: 7 -fold, range: 4 to 21</x:v>
      </x:c>
      <x:c r="J258" s="37" t="str">
        <x:v>https://drug.fda.moph.go.th/media.php?id=842360112483016704&amp;name=SmPC Ciprofloxacin hydrochloride tablet.pdf</x:v>
      </x:c>
    </x:row>
    <x:row r="259">
      <x:c r="A259" s="31" t="str">
        <x:v>ciprofloxacin</x:v>
      </x:c>
      <x:c r="B259" s="31" t="str">
        <x:v>sucralfate</x:v>
      </x:c>
      <x:c r="C259" s="31" t="str">
        <x:v>unclassified</x:v>
      </x:c>
      <x:c r="D259" s="31" t="str">
        <x:v>review</x:v>
      </x:c>
      <x:c r="E259" s="31" t="str">
        <x:v>r0071_smpc</x:v>
      </x:c>
      <x:c r="F259" s="31" t="str">
        <x:v>SMPC</x:v>
      </x:c>
      <x:c r="G259" s="31" t="n">
        <x:v>15</x:v>
      </x:c>
      <x:c r="H259" s="31" t="str">
        <x:v>sucralfate</x:v>
      </x:c>
      <x:c r="I259" s="37" t="str">
        <x:v>caution in patients receiving drugs known to prolong the QT interval (e.g.Class IA and III anti -arrhythmics, tricyclic antidepressants, macrolides, antipsychotics) (see section 4.4). Chelation Complex Formation The simultaneous administration of ciprofloxacin (oral) and multivalent cation-containing drugs and mineral supplements (e.g. magnesium, aluminium or calcium), polymeric phosphate binders (e.g. sevelamer or lanthanum carbonate), sucralfate or antacids and highly buffereddrugs, (e.g. didanosine tablets) containing magnesium, aluminium or calcium reduces the absorption of ciprofloxacin. Consequently, Ciprofloxacin should be administered either 1 to 2 hours before or at least 4 hours after these preparations. This restriction does not apply to antacids belonging to the class of H2-receptor blockers. Food and Dairy Products Dietary calcium as part of a meal does not significant</x:v>
      </x:c>
      <x:c r="J259" s="37" t="str">
        <x:v>https://drug.fda.moph.go.th/media.php?id=842359238230679552&amp;name=SmPC Ciprofloxacin film-coated tablets.pdf</x:v>
      </x:c>
    </x:row>
    <x:row r="260">
      <x:c r="A260" s="31" t="str">
        <x:v>ciprofloxacin</x:v>
      </x:c>
      <x:c r="B260" s="31" t="str">
        <x:v>sucralfate</x:v>
      </x:c>
      <x:c r="C260" s="31" t="str">
        <x:v>unclassified</x:v>
      </x:c>
      <x:c r="D260" s="31" t="str">
        <x:v>review</x:v>
      </x:c>
      <x:c r="E260" s="31" t="str">
        <x:v>r0073_smpc</x:v>
      </x:c>
      <x:c r="F260" s="31" t="str">
        <x:v>SMPC</x:v>
      </x:c>
      <x:c r="G260" s="31" t="n">
        <x:v>16</x:v>
      </x:c>
      <x:c r="H260" s="31" t="str">
        <x:v>sucralfate</x:v>
      </x:c>
      <x:c r="I260" s="37" t="str">
        <x:v>ion in patients receiving drugs known to prolong the QT interval (e.g. Class IA and III anti -arrhythmics, tricyclic antidepressants, macrolides, antipsychotics) (see section 4.4). Chelation Complex Formation The simultaneous administration of ciprofloxacin (oral) and multivalent cation-containing drugs and mineral supplements (e.g. calcium, magnesium, aluminium, iron), polymeric phosphate binders (e.g. sevelamer or lanthanum carbonate), sucralfate or antacids, and highly</x:v>
      </x:c>
      <x:c r="J260" s="37" t="str">
        <x:v>https://drug.fda.moph.go.th/media.php?id=842360112483016704&amp;name=SmPC Ciprofloxacin hydrochloride tablet.pdf</x:v>
      </x:c>
    </x:row>
    <x:row r="261">
      <x:c r="A261" s="31" t="str">
        <x:v>ciprofloxacin</x:v>
      </x:c>
      <x:c r="B261" s="31" t="str">
        <x:v>sucralfate</x:v>
      </x:c>
      <x:c r="C261" s="31" t="str">
        <x:v>unclassified</x:v>
      </x:c>
      <x:c r="D261" s="31" t="str">
        <x:v>review</x:v>
      </x:c>
      <x:c r="E261" s="31" t="str">
        <x:v>r0329_smpc</x:v>
      </x:c>
      <x:c r="F261" s="31" t="str">
        <x:v>SMPC</x:v>
      </x:c>
      <x:c r="G261" s="31" t="n">
        <x:v>4</x:v>
      </x:c>
      <x:c r="H261" s="31" t="str">
        <x:v>ciprofloxacin</x:v>
      </x:c>
      <x:c r="I261" s="37" t="str">
        <x:v>1 Ref:Antepsin, HPRA, 03/2019 4 Concomitant administration of sucralfate may reduce the bioavailability of certain drugs including fluoroquinolones such as ciprofloxacin and norfloxacin, tetracycline, ketoconazole, sulpiride, digoxin, warfarin, phenytoin, theophylline, levothyroxine, qui nidine and H2 antagonists.The bioavailability of these agents may be restored by separating the administration of these agents from sucralfate by two hours.This interaction appears to be non systemic in origin presumably resulting from these agents being b ound by sucralfate in the gastrointestinal tract. Because of the p</x:v>
      </x:c>
      <x:c r="J261" s="37" t="str">
        <x:v>https://drug.fda.moph.go.th/media.php?id=810463510696960000&amp;name=SMPC_Sucralfate_suspension.pdf</x:v>
      </x:c>
    </x:row>
    <x:row r="262">
      <x:c r="A262" s="31" t="str">
        <x:v>ciprofloxacin</x:v>
      </x:c>
      <x:c r="B262" s="31" t="str">
        <x:v>theophylline</x:v>
      </x:c>
      <x:c r="C262" s="31" t="str">
        <x:v>unclassified</x:v>
      </x:c>
      <x:c r="D262" s="31" t="str">
        <x:v>review</x:v>
      </x:c>
      <x:c r="E262" s="31" t="str">
        <x:v>r0071_smpc</x:v>
      </x:c>
      <x:c r="F262" s="31" t="str">
        <x:v>SMPC</x:v>
      </x:c>
      <x:c r="G262" s="31" t="n">
        <x:v>14</x:v>
      </x:c>
      <x:c r="H262" s="31" t="str">
        <x:v>theophylline</x:v>
      </x:c>
      <x:c r="I262" s="37" t="str">
        <x:v>hout a clinically apparent superinfection. There may be a particular risk of selecting for ciprofloxacin -resistant bacteria during extended durations of treatment and when treating nosocomial infections and/or infections caused by Staphylococcus and Pseudomonas species. Cytochrome P450 Ciprofloxacin inhibits CYP 1A2 and thus may cause increased serum concentrations of concomitantly administered substances metabolised by this enzyme (e.g. theophylline, clozapine, olanzapine, ropinirole, tizanidine, duloxetine, agomelatine). Co-administration of ciprofloxacin and tizanidine is contra -indicated. Therefore, patients taking these substances concomitantly with ciprofloxacin should be monitored closely for clinical signs of overdosage, and determination of serum concentrations (e.g. of theophylline) may be necessary (see section 4.5). Methotrexate The concomitant use of ciprofloxacin with m</x:v>
      </x:c>
      <x:c r="J262" s="37" t="str">
        <x:v>https://drug.fda.moph.go.th/media.php?id=842359238230679552&amp;name=SmPC Ciprofloxacin film-coated tablets.pdf</x:v>
      </x:c>
    </x:row>
    <x:row r="263">
      <x:c r="A263" s="31" t="str">
        <x:v>ciprofloxacin</x:v>
      </x:c>
      <x:c r="B263" s="31" t="str">
        <x:v>theophylline</x:v>
      </x:c>
      <x:c r="C263" s="31" t="str">
        <x:v>unclassified</x:v>
      </x:c>
      <x:c r="D263" s="31" t="str">
        <x:v>review</x:v>
      </x:c>
      <x:c r="E263" s="31" t="str">
        <x:v>r0071_smpc</x:v>
      </x:c>
      <x:c r="F263" s="31" t="str">
        <x:v>SMPC</x:v>
      </x:c>
      <x:c r="G263" s="31" t="n">
        <x:v>16</x:v>
      </x:c>
      <x:c r="H263" s="31" t="str">
        <x:v>theophylline</x:v>
      </x:c>
      <x:c r="I263" s="37" t="str">
        <x:v>comitantly with ciprofloxacin. Increased serum tizanidine concentration is associated with a potentiated hypotensive and sedative effect. Methotrexate Renal tubular transport of methotrexate may be inhibited by concomitant administration of ciprofloxacin, potentially leading to increased plasma levels of methotrexate and increased risk of methotrexate-associated toxic reactions. The concomitant use is no t recommended (see section 4.4). Theophylline Concurrent administration of ciprofloxacin and theophylline can cause an undesirable increase in serum theophylline concentration. This can lead to theophylline -induced side effects that may rarely be life</x:v>
      </x:c>
      <x:c r="J263" s="37" t="str">
        <x:v>https://drug.fda.moph.go.th/media.php?id=842359238230679552&amp;name=SmPC Ciprofloxacin film-coated tablets.pdf</x:v>
      </x:c>
    </x:row>
    <x:row r="264">
      <x:c r="A264" s="31" t="str">
        <x:v>ciprofloxacin</x:v>
      </x:c>
      <x:c r="B264" s="31" t="str">
        <x:v>theophylline</x:v>
      </x:c>
      <x:c r="C264" s="31" t="str">
        <x:v>unclassified</x:v>
      </x:c>
      <x:c r="D264" s="31" t="str">
        <x:v>review</x:v>
      </x:c>
      <x:c r="E264" s="31" t="str">
        <x:v>r0072_smpc</x:v>
      </x:c>
      <x:c r="F264" s="31" t="str">
        <x:v>SMPC</x:v>
      </x:c>
      <x:c r="G264" s="31" t="n">
        <x:v>16</x:v>
      </x:c>
      <x:c r="H264" s="31" t="str">
        <x:v>theophylline</x:v>
      </x:c>
      <x:c r="I264" s="37" t="str">
        <x:v>treating nosocomial infections and/or infections caused by Staphylococcus and Pseudomonas species. Cytochrome P450 &lt;GENERIC NAME&gt; inhibits CYP1A2 and thus may cause increased serum concentration of concomitantly administered substances metabolised by this enzyme (e.g. theophylline, clozapine, olanzapine, ropinirole, tizanidine, duloxetine). Co -administration of &lt;GENERIC NAME&gt; and tizanidine is contraindicated. Therefore, patients taking these substances concomitantly with &lt;GENERIC NAME&gt; should be monitored closely for clinical signs of overdose, and determination of serum concentrations (e.g. of theophylline) may be necessary (see section 4.5). Methotrexate The concomitant use of &lt;GENERIC NAME&gt; with methotrexate is</x:v>
      </x:c>
      <x:c r="J264" s="37" t="str">
        <x:v>https://drug.fda.moph.go.th/media.php?id=809677740591685632&amp;name=SMPC_Ciprofloxacin_Solution for infusion.pdf</x:v>
      </x:c>
    </x:row>
    <x:row r="265">
      <x:c r="A265" s="31" t="str">
        <x:v>ciprofloxacin</x:v>
      </x:c>
      <x:c r="B265" s="31" t="str">
        <x:v>theophylline</x:v>
      </x:c>
      <x:c r="C265" s="31" t="str">
        <x:v>unclassified</x:v>
      </x:c>
      <x:c r="D265" s="31" t="str">
        <x:v>review</x:v>
      </x:c>
      <x:c r="E265" s="31" t="str">
        <x:v>r0072_smpc</x:v>
      </x:c>
      <x:c r="F265" s="31" t="str">
        <x:v>SMPC</x:v>
      </x:c>
      <x:c r="G265" s="31" t="n">
        <x:v>18</x:v>
      </x:c>
      <x:c r="H265" s="31" t="str">
        <x:v>theophylline</x:v>
      </x:c>
      <x:c r="I265" s="37" t="str">
        <x:v>serum tizanidine concentration is associated with a potentiated hypotensive and sedative effect. Methotrexate Renal tubular transport of methotrexate may be inhibited by concomitant administration of ciprofloxacin, potentially leading to increased plasma levels of methotrexate and increased risk of methotrexate -associated toxic reactions. The concomitant use is not recommended (see section 4.4). Theophylline Concurrent administration of ciprofloxacin and theophylline can cause an undesirable increase in serum theophylline concentration. This can lead to theophylline -induced side effects that may rarely be life threatening or fatal. During the combination, serum theophylline concentrations should be checked and the theophylline dose reduced as necessary (see section 4.4). Other xanthine derivatives On concurrent administration of ciprofloxaci</x:v>
      </x:c>
      <x:c r="J265" s="37" t="str">
        <x:v>https://drug.fda.moph.go.th/media.php?id=809677740591685632&amp;name=SMPC_Ciprofloxacin_Solution for infusion.pdf</x:v>
      </x:c>
    </x:row>
    <x:row r="266">
      <x:c r="A266" s="31" t="str">
        <x:v>ciprofloxacin</x:v>
      </x:c>
      <x:c r="B266" s="31" t="str">
        <x:v>theophylline</x:v>
      </x:c>
      <x:c r="C266" s="31" t="str">
        <x:v>unclassified</x:v>
      </x:c>
      <x:c r="D266" s="31" t="str">
        <x:v>review</x:v>
      </x:c>
      <x:c r="E266" s="31" t="str">
        <x:v>r0073_smpc</x:v>
      </x:c>
      <x:c r="F266" s="31" t="str">
        <x:v>SMPC</x:v>
      </x:c>
      <x:c r="G266" s="31" t="n">
        <x:v>16</x:v>
      </x:c>
      <x:c r="H266" s="31" t="str">
        <x:v>theophylline</x:v>
      </x:c>
      <x:c r="I266" s="37" t="str">
        <x:v>1 Ref: Ciprofloxacin, MHRA, 22/03/2024 16 Cytochrome P450 Ciprofloxacin inhibits CYP1A2 and thus may cause increased serum concentration of concomitantly administered substances metabolised by this enzyme (e.g. theophylline, clozapine, olanzapine, ropinirole, tizanidine, duloxetine, agomelatine). Co-administration of ciprofloxacin and tizanidine is contra -indicated. Therefore, patients taking these substances concomitantly with ciprofloxacin should be monitored closely for clinical signs of overdose, and determination of serum concentrations (e.g. of theophylline) may be necessary (see section 4.5). Methotrexate The concomitant use of ciprofloxacin with met</x:v>
      </x:c>
      <x:c r="J266" s="37" t="str">
        <x:v>https://drug.fda.moph.go.th/media.php?id=842360112483016704&amp;name=SmPC Ciprofloxacin hydrochloride tablet.pdf</x:v>
      </x:c>
    </x:row>
    <x:row r="267">
      <x:c r="A267" s="31" t="str">
        <x:v>ciprofloxacin</x:v>
      </x:c>
      <x:c r="B267" s="31" t="str">
        <x:v>theophylline</x:v>
      </x:c>
      <x:c r="C267" s="31" t="str">
        <x:v>unclassified</x:v>
      </x:c>
      <x:c r="D267" s="31" t="str">
        <x:v>review</x:v>
      </x:c>
      <x:c r="E267" s="31" t="str">
        <x:v>r0073_smpc</x:v>
      </x:c>
      <x:c r="F267" s="31" t="str">
        <x:v>SMPC</x:v>
      </x:c>
      <x:c r="G267" s="31" t="n">
        <x:v>18</x:v>
      </x:c>
      <x:c r="H267" s="31" t="str">
        <x:v>theophylline</x:v>
      </x:c>
      <x:c r="I267" s="37" t="str">
        <x:v>1 Ref: Ciprofloxacin, MHRA, 22/03/2024 18 concentration is associated with a potentiated hypotensive and sedative effect. Methotrexate Renal tubular transport of methotrexate may be inhibited by concomitant administration of ciprofloxacin, potentially leading to increased plasma levels of methotrexate and increased risk of methotrexate-associated toxic reactions. The concomitant use is no t recommended (see section 4.4). Theophylline Concurrent administration of ciprofloxacin and theophylline can cause an undesirable increase in serum theophylline concentration. This can lead to theophylline -induced side effects that may rarely be life threatening or fatal. During the combination, seru m theophylline concentrations should be checked and the theophylline dose reduced as necessary (see section 4.4). Other xanthine derivatives On concurrent administration of ciprofloxa</x:v>
      </x:c>
      <x:c r="J267" s="37" t="str">
        <x:v>https://drug.fda.moph.go.th/media.php?id=842360112483016704&amp;name=SmPC Ciprofloxacin hydrochloride tablet.pdf</x:v>
      </x:c>
    </x:row>
    <x:row r="268">
      <x:c r="A268" s="31" t="str">
        <x:v>clarithromycin</x:v>
      </x:c>
      <x:c r="B268" s="31" t="str">
        <x:v>colchicine</x:v>
      </x:c>
      <x:c r="C268" s="31" t="str">
        <x:v>unclassified</x:v>
      </x:c>
      <x:c r="D268" s="31" t="str">
        <x:v>review</x:v>
      </x:c>
      <x:c r="E268" s="31" t="str">
        <x:v>r0075_smpc</x:v>
      </x:c>
      <x:c r="F268" s="31" t="str">
        <x:v>SMPC</x:v>
      </x:c>
      <x:c r="G268" s="31" t="n">
        <x:v>6</x:v>
      </x:c>
      <x:c r="H268" s="31" t="str">
        <x:v>colchicine</x:v>
      </x:c>
      <x:c r="I268" s="37" t="str">
        <x:v>tions 4.4 and 4.5). Concomitant administration with ticagrelor or ranolazine is contraindicated. • Clarithromycin should not be used concomitantly with HMG -CoA reductase inhibitors (statins) that are extensively metabolized by CYP3A4, (lovastatin or simvastatin), due to the increased risk of myopathy, including rhabdomyolysis (see section 4.5). • As with other strong CYP3A4 inhibitors, Clarithromycin should not be used in patients taking colchicine (see sections 4.4 and 4.5).</x:v>
      </x:c>
      <x:c r="J268" s="37" t="str">
        <x:v>https://drug.fda.moph.go.th/media.php?id=809678715939332096&amp;name=SMPC_Clarithromycin_Film-coated tablets.pdf</x:v>
      </x:c>
    </x:row>
    <x:row r="269">
      <x:c r="A269" s="31" t="str">
        <x:v>clarithromycin</x:v>
      </x:c>
      <x:c r="B269" s="31" t="str">
        <x:v>colchicine</x:v>
      </x:c>
      <x:c r="C269" s="31" t="str">
        <x:v>severe</x:v>
      </x:c>
      <x:c r="D269" s="31" t="str">
        <x:v>eligible</x:v>
      </x:c>
      <x:c r="E269" s="31" t="str">
        <x:v>r0075_smpc</x:v>
      </x:c>
      <x:c r="F269" s="31" t="str">
        <x:v>SMPC</x:v>
      </x:c>
      <x:c r="G269" s="31" t="n">
        <x:v>8</x:v>
      </x:c>
      <x:c r="H269" s="31" t="str">
        <x:v>colchicine</x:v>
      </x:c>
      <x:c r="I269" s="37" t="str">
        <x:v>Microbial testing should be performed and adequate treatment initiated. Drugs inhibiting peristalsis should be avoided. There have been post -marketing reports of colchicine toxicity with concomitant use of clarithromycin and colchicine, especially in the elderly, some of which occurred in patients with renal insufficiency. Deaths have been reported in some such patients (se e section 4.5). Concomitant administration of clarithromycin and colchicine is contraindicated (see section 4.3).</x:v>
      </x:c>
      <x:c r="J269" s="37" t="str">
        <x:v>https://drug.fda.moph.go.th/media.php?id=809678715939332096&amp;name=SMPC_Clarithromycin_Film-coated tablets.pdf</x:v>
      </x:c>
    </x:row>
    <x:row r="270">
      <x:c r="A270" s="31" t="str">
        <x:v>clarithromycin</x:v>
      </x:c>
      <x:c r="B270" s="31" t="str">
        <x:v>colchicine</x:v>
      </x:c>
      <x:c r="C270" s="31" t="str">
        <x:v>unclassified</x:v>
      </x:c>
      <x:c r="D270" s="31" t="str">
        <x:v>review</x:v>
      </x:c>
      <x:c r="E270" s="31" t="str">
        <x:v>r0075_smpc</x:v>
      </x:c>
      <x:c r="F270" s="31" t="str">
        <x:v>SMPC</x:v>
      </x:c>
      <x:c r="G270" s="31" t="n">
        <x:v>18</x:v>
      </x:c>
      <x:c r="H270" s="31" t="str">
        <x:v>colchicine</x:v>
      </x:c>
      <x:c r="I270" s="37" t="str">
        <x:v>ving the CYP3A substrates astemizole, cisapride, domperidone, pimoz ide and terfenadine due to the risk of QT prolongation and cardiac arrhythmias, including ventricular tachycardia, ventricular fibrillation, and torsades de pointes (see sections 4.3 and 4.4). The use of clarithromycin is also contraindicated with ergot a lkaloids, oral midazolam, HMG CoA reductase inhibitors metabolised mainly by CYP3A4 (e.g. lovastatin and simvastatin), colchicine, ticagrelor and ranolazine (see section 4.3). Concomitant administration of clarithromycin with lomitapide is contraindicated due to the potential for markedly increased transaminases (see section 4.3). Caution is required if clarithromycin is co-administered with other drugs known to be CYP3A enzyme substrates, especially if the CYP3A substrate has a narrow safety margin (e.g. carbamazepine) and/or the substrate is extensively metabolise</x:v>
      </x:c>
      <x:c r="J270" s="37" t="str">
        <x:v>https://drug.fda.moph.go.th/media.php?id=809678715939332096&amp;name=SMPC_Clarithromycin_Film-coated tablets.pdf</x:v>
      </x:c>
    </x:row>
    <x:row r="271">
      <x:c r="A271" s="31" t="str">
        <x:v>clarithromycin</x:v>
      </x:c>
      <x:c r="B271" s="31" t="str">
        <x:v>colchicine</x:v>
      </x:c>
      <x:c r="C271" s="31" t="str">
        <x:v>unclassified</x:v>
      </x:c>
      <x:c r="D271" s="31" t="str">
        <x:v>review</x:v>
      </x:c>
      <x:c r="E271" s="31" t="str">
        <x:v>r0075_smpc</x:v>
      </x:c>
      <x:c r="F271" s="31" t="str">
        <x:v>SMPC</x:v>
      </x:c>
      <x:c r="G271" s="31" t="n">
        <x:v>22</x:v>
      </x:c>
      <x:c r="H271" s="31" t="str">
        <x:v>colchicine</x:v>
      </x:c>
      <x:c r="I271" s="37" t="str">
        <x:v>ndent on CYP3A for their elimination (temazepam, nitrazepam, lorazepam), a clinically important interaction with clarithromycin is unlikely. There have been post - marketing reports of drug interactions and central ne rvous system (CNS) effects (e.g., somnolence and confusion) with the concomitant use of clarithromycin and triazolam. Monitoring the patient for increased CNS pharmacological effects is suggested. • Other drug interactions o Colchicine Colchicine is a substrate for both CYP3A and the efflux transporter, P -glycoprotein (Pgp). Clarithromycin and other macrolides are known to inhibit CYP3A and Pgp. When clarithromycin and colchicine are administered together, inhibition of Pgp and/or CYP3A by clarithromycin may lead to increased exposure to colchicine (see section 4.3 and 4.4). o Digoxin Digoxin is thought to be a substrate for the efflux transporter, P - glycoprotein (P</x:v>
      </x:c>
      <x:c r="J271" s="37" t="str">
        <x:v>https://drug.fda.moph.go.th/media.php?id=809678715939332096&amp;name=SMPC_Clarithromycin_Film-coated tablets.pdf</x:v>
      </x:c>
    </x:row>
    <x:row r="272">
      <x:c r="A272" s="31" t="str">
        <x:v>clarithromycin</x:v>
      </x:c>
      <x:c r="B272" s="31" t="str">
        <x:v>colchicine</x:v>
      </x:c>
      <x:c r="C272" s="31" t="str">
        <x:v>unclassified</x:v>
      </x:c>
      <x:c r="D272" s="31" t="str">
        <x:v>review</x:v>
      </x:c>
      <x:c r="E272" s="31" t="str">
        <x:v>r0075_smpc</x:v>
      </x:c>
      <x:c r="F272" s="31" t="str">
        <x:v>SMPC</x:v>
      </x:c>
      <x:c r="G272" s="31" t="n">
        <x:v>33</x:v>
      </x:c>
      <x:c r="H272" s="31" t="str">
        <x:v>colchicine</x:v>
      </x:c>
      <x:c r="I272" s="37" t="str">
        <x:v>In some of the reports of rhabdomyolysis, clarithromycin was administered concomitantly with statins, fibrates, colchicine or allopurinol (see section 4.3 and 4.4). There have been post -marketing reports of drug interactions and central nervous system (CNS) effects (e.g. somnolence and confusion) with the concomitant use of clarithromycin and triazolam. Monitoring the patient for increased CNS pharmacological effects is suggested (see section 4.5). There have been rare reports of clarithromycin ER tablets in the stool, many of which have occurred in patient</x:v>
      </x:c>
      <x:c r="J272" s="37" t="str">
        <x:v>https://drug.fda.moph.go.th/media.php?id=809678715939332096&amp;name=SMPC_Clarithromycin_Film-coated tablets.pdf</x:v>
      </x:c>
    </x:row>
    <x:row r="273">
      <x:c r="A273" s="31" t="str">
        <x:v>clarithromycin</x:v>
      </x:c>
      <x:c r="B273" s="31" t="str">
        <x:v>colchicine</x:v>
      </x:c>
      <x:c r="C273" s="31" t="str">
        <x:v>moderate</x:v>
      </x:c>
      <x:c r="D273" s="31" t="str">
        <x:v>eligible</x:v>
      </x:c>
      <x:c r="E273" s="31" t="str">
        <x:v>r0087_smpc</x:v>
      </x:c>
      <x:c r="F273" s="31" t="str">
        <x:v>SMPC</x:v>
      </x:c>
      <x:c r="G273" s="31" t="n">
        <x:v>5</x:v>
      </x:c>
      <x:c r="H273" s="31" t="str">
        <x:v>clarithromycin</x:v>
      </x:c>
      <x:c r="I273" s="37" t="str">
        <x:v>l function. In addition, substances such as cimetidine and tolbutamide may reduce metabolism of colchicine and thus increase plasma levels of colchicine. Colchicine is a substrate for both CYP3A4 and the transport protein P - gp. In the presence of CYP3A4 or P-gp inhibitors, the concentrations of colchicine in the blood may increase. Toxicity, including fatal cases, have been reported during concurrent use of inhibitors such as macrolides (clarithromycin and erythromycin), ciclosporin, ketoconazole, itraconazole, voriconazole, HIV protease inhibitors, calcium channel antagonists such as verapamil and diltiazem (see section 4.4).</x:v>
      </x:c>
      <x:c r="J273" s="37" t="str">
        <x:v>https://drug.fda.moph.go.th/media.php?id=809692129914920960&amp;name=SMPC_Colchicine_Tablets.pdf</x:v>
      </x:c>
    </x:row>
    <x:row r="274">
      <x:c r="A274" s="31" t="str">
        <x:v>clarithromycin</x:v>
      </x:c>
      <x:c r="B274" s="31" t="str">
        <x:v>digoxin</x:v>
      </x:c>
      <x:c r="C274" s="31" t="str">
        <x:v>unclassified</x:v>
      </x:c>
      <x:c r="D274" s="31" t="str">
        <x:v>review</x:v>
      </x:c>
      <x:c r="E274" s="31" t="str">
        <x:v>r0075_smpc</x:v>
      </x:c>
      <x:c r="F274" s="31" t="str">
        <x:v>SMPC</x:v>
      </x:c>
      <x:c r="G274" s="31" t="n">
        <x:v>22</x:v>
      </x:c>
      <x:c r="H274" s="31" t="str">
        <x:v>digoxin</x:v>
      </x:c>
      <x:c r="I274" s="37" t="str">
        <x:v>increased CNS pharmacological effects is suggested. • Other drug interactions o Colchicine Colchicine is a substrate for both CYP3A and the efflux transporter, P -glycoprotein (Pgp). Clarithromycin and other macrolides are known to inhibit CYP3A and Pgp. When clarithromycin and colchicine are administered together, inhibition of Pgp and/or CYP3A by clarithromycin may lead to increased exposure to colchicine (see section 4.3 and 4.4). o Digoxin Digoxin is thought to be a substrate for the efflux transporter, P - glycoprotein (Pgp). Clarithromycin is known to inhibit Pgp. When clarithromycin and digoxin are administered together,</x:v>
      </x:c>
      <x:c r="J274" s="37" t="str">
        <x:v>https://drug.fda.moph.go.th/media.php?id=809678715939332096&amp;name=SMPC_Clarithromycin_Film-coated tablets.pdf</x:v>
      </x:c>
    </x:row>
    <x:row r="275">
      <x:c r="A275" s="31" t="str">
        <x:v>clarithromycin</x:v>
      </x:c>
      <x:c r="B275" s="31" t="str">
        <x:v>digoxin</x:v>
      </x:c>
      <x:c r="C275" s="31" t="str">
        <x:v>unclassified</x:v>
      </x:c>
      <x:c r="D275" s="31" t="str">
        <x:v>review</x:v>
      </x:c>
      <x:c r="E275" s="31" t="str">
        <x:v>r0075_smpc</x:v>
      </x:c>
      <x:c r="F275" s="31" t="str">
        <x:v>SMPC</x:v>
      </x:c>
      <x:c r="G275" s="31" t="n">
        <x:v>23</x:v>
      </x:c>
      <x:c r="H275" s="31" t="str">
        <x:v>digoxin</x:v>
      </x:c>
      <x:c r="I275" s="37" t="str">
        <x:v>inhibition of Pgp by clarithromycin may lead to increased exposure to digoxin. Elevated digoxin serum concentrations in patients receiving clarithromycin and digoxin concomitantly have also been reported in post marketing surveillance. Some patients have s hown clinical signs consistent with digoxin toxicity, including potentially fatal arrhythmias. Serum digoxin concentrations should be carefully monitored while patients are receiving digoxin and clarithromycin simultaneously. o Zidovudine Simultaneous oral administration of clarithromycin tablets and zidovudine to HIVinfected adult patients may res</x:v>
      </x:c>
      <x:c r="J275" s="37" t="str">
        <x:v>https://drug.fda.moph.go.th/media.php?id=809678715939332096&amp;name=SMPC_Clarithromycin_Film-coated tablets.pdf</x:v>
      </x:c>
    </x:row>
    <x:row r="276">
      <x:c r="A276" s="31" t="str">
        <x:v>clarithromycin</x:v>
      </x:c>
      <x:c r="B276" s="31" t="str">
        <x:v>diltiazem</x:v>
      </x:c>
      <x:c r="C276" s="31" t="str">
        <x:v>unclassified</x:v>
      </x:c>
      <x:c r="D276" s="31" t="str">
        <x:v>review</x:v>
      </x:c>
      <x:c r="E276" s="31" t="str">
        <x:v>r0075_smpc</x:v>
      </x:c>
      <x:c r="F276" s="31" t="str">
        <x:v>SMPC</x:v>
      </x:c>
      <x:c r="G276" s="31" t="n">
        <x:v>25</x:v>
      </x:c>
      <x:c r="H276" s="31" t="str">
        <x:v>diltiazem</x:v>
      </x:c>
      <x:c r="I276" s="37" t="str">
        <x:v>tients with creatinine clearance &lt;30 mL/min, the dose of clarithromycin should be decreased by 75% using an appropriate clarithromycin formulation. Doses of clarithrom ycin greater than 1000 mg per day should not be coadministered with protease inhibitors. o Calcium Channel Blockers Caution is advised regarding the concomitant administration of clarithromycin and calcium channel blockers metabolized by CYP3A4 (e.g. verapamil, amlodipine, diltiazem) due to the risk of hypotension. Plasma concentrations of clarithromycin as well as calc ium channel blockers may increase due to the interaction. Hypotension, bradyarrhythmias and lactic acidosis have been observed in patients taking clarithromycin and verapamil concomitantly. o Itraconazole Both clarithromycin and itraconazole are substrates and inhibitors of CYP3A, leading to a bidirectional drug interaction. Clarithromycin may incre</x:v>
      </x:c>
      <x:c r="J276" s="37" t="str">
        <x:v>https://drug.fda.moph.go.th/media.php?id=809678715939332096&amp;name=SMPC_Clarithromycin_Film-coated tablets.pdf</x:v>
      </x:c>
    </x:row>
    <x:row r="277">
      <x:c r="A277" s="31" t="str">
        <x:v>clarithromycin</x:v>
      </x:c>
      <x:c r="B277" s="31" t="str">
        <x:v>domperidone</x:v>
      </x:c>
      <x:c r="C277" s="31" t="str">
        <x:v>severe</x:v>
      </x:c>
      <x:c r="D277" s="31" t="str">
        <x:v>eligible</x:v>
      </x:c>
      <x:c r="E277" s="31" t="str">
        <x:v>r0075_smpc</x:v>
      </x:c>
      <x:c r="F277" s="31" t="str">
        <x:v>SMPC</x:v>
      </x:c>
      <x:c r="G277" s="31" t="n">
        <x:v>6</x:v>
      </x:c>
      <x:c r="H277" s="31" t="str">
        <x:v>domperidone</x:v>
      </x:c>
      <x:c r="I277" s="37" t="str">
        <x:v>rgotamine or dihydroergotamine) is contraindicated, as this may result in ergot toxicity (see sections 4.4 and 4.5). • Concomitant administration of clarithromycin and oral midazolam is contraindicated (see section 4.5). • Concomitant administration of clarithromycin and lomitapide is contraindicated (see section 4.5). • Concomitant administration of clarithromycin and any of the following drugs is contraindicated: astemizole, cisapride, domperidone, pimozide and terfenadine as this may result in QT prolongation and cardiac arrhythmias, including ventricular tachycardia, v entricular fibrillation, and torsades de pointes (see section 4.4 and 4.5). • Clarithromycin should not be given to patients with history of QT prolongation (congenital or documented acquired QT prolongation) or ventricular cardiac arrhythmia, including torsades de pointes (see sections 4.4 and 4.5). Concomitant ad</x:v>
      </x:c>
      <x:c r="J277" s="37" t="str">
        <x:v>https://drug.fda.moph.go.th/media.php?id=809678715939332096&amp;name=SMPC_Clarithromycin_Film-coated tablets.pdf</x:v>
      </x:c>
    </x:row>
    <x:row r="278">
      <x:c r="A278" s="31" t="str">
        <x:v>clarithromycin</x:v>
      </x:c>
      <x:c r="B278" s="31" t="str">
        <x:v>domperidone</x:v>
      </x:c>
      <x:c r="C278" s="31" t="str">
        <x:v>severe</x:v>
      </x:c>
      <x:c r="D278" s="31" t="str">
        <x:v>eligible</x:v>
      </x:c>
      <x:c r="E278" s="31" t="str">
        <x:v>r0075_smpc</x:v>
      </x:c>
      <x:c r="F278" s="31" t="str">
        <x:v>SMPC</x:v>
      </x:c>
      <x:c r="G278" s="31" t="n">
        <x:v>9</x:v>
      </x:c>
      <x:c r="H278" s="31" t="str">
        <x:v>domperidone</x:v>
      </x:c>
      <x:c r="I278" s="37" t="str">
        <x:v>rolongation of the QT interval, reflecting effects on cardiac repolarisation imparting a risk of developing cardiac arrhythmia and torsades de pointes, have been seen in patients treated with macrolides including clarithromycin (see section 4.8). Due to increased risk of QT prolongation and ventricular arrhythmias (including torsades de pointes), the use of clarithromycin is contraindicated: in patients taking any of astemizole, cisapride, domperidone, pimozide and terfenadine; in patients who have electrolyte disturbances such as hypomagnesaemia or hypokalaemia; and in patients with a history of QT prolongation or ventricular cardiac arrhythmia (see section 4.3). Carefully consider the balance of benefits and risks before prescribing clarithromycin for any patients taking hydroxychloroquine or chloroquine, because of the potential for an increased risk of cardiovascular events and car</x:v>
      </x:c>
      <x:c r="J278" s="37" t="str">
        <x:v>https://drug.fda.moph.go.th/media.php?id=809678715939332096&amp;name=SMPC_Clarithromycin_Film-coated tablets.pdf</x:v>
      </x:c>
    </x:row>
    <x:row r="279">
      <x:c r="A279" s="31" t="str">
        <x:v>clarithromycin</x:v>
      </x:c>
      <x:c r="B279" s="31" t="str">
        <x:v>domperidone</x:v>
      </x:c>
      <x:c r="C279" s="31" t="str">
        <x:v>severe</x:v>
      </x:c>
      <x:c r="D279" s="31" t="str">
        <x:v>eligible</x:v>
      </x:c>
      <x:c r="E279" s="31" t="str">
        <x:v>r0075_smpc</x:v>
      </x:c>
      <x:c r="F279" s="31" t="str">
        <x:v>SMPC</x:v>
      </x:c>
      <x:c r="G279" s="31" t="n">
        <x:v>13</x:v>
      </x:c>
      <x:c r="H279" s="31" t="str">
        <x:v>domperidone</x:v>
      </x:c>
      <x:c r="I279" s="37" t="str">
        <x:v>4.5. Interaction with other medicinal products and other forms of interaction The use of the following drugs is strictly contraindicated due to the potential for severe drug interaction effects: Astemizole, cisapride, domperidone, pimozide, and terfenadine: Elevated cisapride levels have been reported in patients receiving clarithromycin and cisapride concomitantly. This may result in QT prolongation and cardiac arrhythmias including ventricular tachycardia, ventricular fibrillation and torsades de pointes. S imilar effects have been observed in patients taking clarithromycin and pimozide concomitantly (see section 4.3). Macrolides have been reported to alter the</x:v>
      </x:c>
      <x:c r="J279" s="37" t="str">
        <x:v>https://drug.fda.moph.go.th/media.php?id=809678715939332096&amp;name=SMPC_Clarithromycin_Film-coated tablets.pdf</x:v>
      </x:c>
    </x:row>
    <x:row r="280">
      <x:c r="A280" s="31" t="str">
        <x:v>clarithromycin</x:v>
      </x:c>
      <x:c r="B280" s="31" t="str">
        <x:v>domperidone</x:v>
      </x:c>
      <x:c r="C280" s="31" t="str">
        <x:v>severe</x:v>
      </x:c>
      <x:c r="D280" s="31" t="str">
        <x:v>eligible</x:v>
      </x:c>
      <x:c r="E280" s="31" t="str">
        <x:v>r0075_smpc</x:v>
      </x:c>
      <x:c r="F280" s="31" t="str">
        <x:v>SMPC</x:v>
      </x:c>
      <x:c r="G280" s="31" t="n">
        <x:v>18</x:v>
      </x:c>
      <x:c r="H280" s="31" t="str">
        <x:v>domperidone</x:v>
      </x:c>
      <x:c r="I280" s="37" t="str">
        <x:v>elevations in drug concentrations that could increase or prolong both therapeutic and adverse effects of the concomitant drug. The use of clarithromycin is contraindicated in patients receiving the CYP3A substrates astemizole, cisapride, domperidone, pimoz ide and terfenadine due to the risk of QT prolongation and cardiac arrhythmias, including ventricular tachycardia, ventricular fibrillation, and torsades de pointes (see sections 4.3 and 4.4). The use of clarithromycin is also contraindicated with ergot a lkaloids, oral midazolam, HMG CoA reductase inhibitors metabolised mainly by CYP3A4 (e.g. lovastatin and simvastatin), colchicine, ticagrelor and ranolazine (see section 4.3). Con</x:v>
      </x:c>
      <x:c r="J280" s="37" t="str">
        <x:v>https://drug.fda.moph.go.th/media.php?id=809678715939332096&amp;name=SMPC_Clarithromycin_Film-coated tablets.pdf</x:v>
      </x:c>
    </x:row>
    <x:row r="281">
      <x:c r="A281" s="31" t="str">
        <x:v>clarithromycin</x:v>
      </x:c>
      <x:c r="B281" s="31" t="str">
        <x:v>domperidone</x:v>
      </x:c>
      <x:c r="C281" s="31" t="str">
        <x:v>unclassified</x:v>
      </x:c>
      <x:c r="D281" s="31" t="str">
        <x:v>review</x:v>
      </x:c>
      <x:c r="E281" s="31" t="str">
        <x:v>r0116_smpc</x:v>
      </x:c>
      <x:c r="F281" s="31" t="str">
        <x:v>SMPC</x:v>
      </x:c>
      <x:c r="G281" s="31" t="n">
        <x:v>7</x:v>
      </x:c>
      <x:c r="H281" s="31" t="str">
        <x:v>clarithromycin</x:v>
      </x:c>
      <x:c r="I281" s="37" t="str">
        <x:v>1 Ref: Domperidone, MHRA, date 13/02/2024 7 - apomorphine, unless the benefit of the co -administration outweighs the risks, and only if the recommended precautions for co-administration are strictly fulfilled. Please refer to the apomorphine SmPC. Potent CYP3A4 inhibitors (regardless of their QT prolonging effects) : - protease inhibitors - systemic azole antifungals - some macrolides (erythromycin, clarithromycin,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 -inducing drugs, as well as with the following macrolides involved in QT -interval prolongation: azithromycin and roxithromycin (cl</x:v>
      </x:c>
      <x:c r="J281" s="37" t="str">
        <x:v>https://drug.fda.moph.go.th/media.php?id=810073662739849216&amp;name=SMPC_Domperidone_oral suspension.pdf</x:v>
      </x:c>
    </x:row>
    <x:row r="282">
      <x:c r="A282" s="31" t="str">
        <x:v>clarithromycin</x:v>
      </x:c>
      <x:c r="B282" s="31" t="str">
        <x:v>domperidone</x:v>
      </x:c>
      <x:c r="C282" s="31" t="str">
        <x:v>unclassified</x:v>
      </x:c>
      <x:c r="D282" s="31" t="str">
        <x:v>review</x:v>
      </x:c>
      <x:c r="E282" s="31" t="str">
        <x:v>r0117_smpc</x:v>
      </x:c>
      <x:c r="F282" s="31" t="str">
        <x:v>SMPC</x:v>
      </x:c>
      <x:c r="G282" s="31" t="n">
        <x:v>6</x:v>
      </x:c>
      <x:c r="H282" s="31" t="str">
        <x:v>clarithromycin</x:v>
      </x:c>
      <x:c r="I282" s="37" t="str">
        <x:v>1 Ref:Domperidone 10 mg film-coated tablets, MHRA, 03/04/2024 6 • protease inhibitors • systemic azole antifungals • some macrolides (erythromycin, clarithromycin,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hypokalaemia-inducing drugs, as well as with the following macrolides involved in QT -interval prolongation: azithromycin and roxithromycin (clarithromyci</x:v>
      </x:c>
      <x:c r="J282" s="37" t="str">
        <x:v>https://drug.fda.moph.go.th/media.php?id=810074048620011520&amp;name=SMPC_Domperidone_Film-coated Tablets.pdf</x:v>
      </x:c>
    </x:row>
    <x:row r="283">
      <x:c r="A283" s="31" t="str">
        <x:v>clarithromycin</x:v>
      </x:c>
      <x:c r="B283" s="31" t="str">
        <x:v>domperidone</x:v>
      </x:c>
      <x:c r="C283" s="31" t="str">
        <x:v>moderate</x:v>
      </x:c>
      <x:c r="D283" s="31" t="str">
        <x:v>eligible</x:v>
      </x:c>
      <x:c r="E283" s="31" t="str">
        <x:v>r0118_smpc</x:v>
      </x:c>
      <x:c r="F283" s="31" t="str">
        <x:v>SMPC</x:v>
      </x:c>
      <x:c r="G283" s="31" t="n">
        <x:v>6</x:v>
      </x:c>
      <x:c r="H283" s="31" t="str">
        <x:v>clarithromycin</x:v>
      </x:c>
      <x:c r="I283" s="37" t="str">
        <x:v>in, clarithromycin and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hypokalaemia-inducing drugs, as well as with the following macrolides involved in QT -prolongation: azithromycin and roxithromycin (clarithromycin is contraindicated as it is a potent CYP3A4 inhibitor). The above list of substances is representative and not exhaustive. There is a theoretical potential that domperidone may antagonise the hypoprolactinaemia effect of drugs such as bromocriptine. Opioid analgesics and antimuscarinics may antagonise the prokinetic effects of domperidone.</x:v>
      </x:c>
      <x:c r="J283" s="37" t="str">
        <x:v>https://drug.fda.moph.go.th/media.php?id=810074487256129536&amp;name=SMPC_Domperidone_Tablets.pdf</x:v>
      </x:c>
    </x:row>
    <x:row r="284">
      <x:c r="A284" s="31" t="str">
        <x:v>clarithromycin</x:v>
      </x:c>
      <x:c r="B284" s="31" t="str">
        <x:v>erythromycin</x:v>
      </x:c>
      <x:c r="C284" s="31" t="str">
        <x:v>unclassified</x:v>
      </x:c>
      <x:c r="D284" s="31" t="str">
        <x:v>review</x:v>
      </x:c>
      <x:c r="E284" s="31" t="str">
        <x:v>r0126_smpc</x:v>
      </x:c>
      <x:c r="F284" s="31" t="str">
        <x:v>SMPC</x:v>
      </x:c>
      <x:c r="G284" s="31" t="n">
        <x:v>11</x:v>
      </x:c>
      <x:c r="H284" s="31" t="str">
        <x:v>clarithromycin</x:v>
      </x:c>
      <x:c r="I284" s="37" t="str">
        <x:v>saesthesia and ischaemia of the central nervous system, extremities and other tissues (see section 4.3). Elevated cisapride levels have been reported in patients receiving erythromycin and cisapride concomitantly. This may result in QTc prolongation and cardiac arrhythmias including ventricular tachycardia, ventricular fibrillation and torsades de pointes. Similar effects have been observed with concomitant administration of pimozide and clarithromycin, another macrolide antibiotic. Erythromycin use in patients who are receiving high doses of theophylline may be associated with an increase in serum theophylline levels and potential theophylline toxicity. In case of theophylline toxicity and/or elevated serum theophylline levels, the dose of theophylline should be reduced while the patient is receiving concomitant erythromycin therapy. There have been published reports suggesting when or</x:v>
      </x:c>
      <x:c r="J284" s="37" t="str">
        <x:v>https://drug.fda.moph.go.th/media.php?id=810076416409477120&amp;name=SMPC_Erythromycin_Gastro-resistant tablets.pdf</x:v>
      </x:c>
    </x:row>
    <x:row r="285">
      <x:c r="A285" s="31" t="str">
        <x:v>clarithromycin</x:v>
      </x:c>
      <x:c r="B285" s="31" t="str">
        <x:v>erythromycin</x:v>
      </x:c>
      <x:c r="C285" s="31" t="str">
        <x:v>unclassified</x:v>
      </x:c>
      <x:c r="D285" s="31" t="str">
        <x:v>review</x:v>
      </x:c>
      <x:c r="E285" s="31" t="str">
        <x:v>r0127_smpc</x:v>
      </x:c>
      <x:c r="F285" s="31" t="str">
        <x:v>SMPC</x:v>
      </x:c>
      <x:c r="G285" s="31" t="n">
        <x:v>10</x:v>
      </x:c>
      <x:c r="H285" s="31" t="str">
        <x:v>clarithromycin</x:v>
      </x:c>
      <x:c r="I285" s="37" t="str">
        <x:v>y vasospasm and ischaemia of the central nervous system, extremities and other tissues (see section 4.3). Elevated cisapride levels have been reported in patients receiving erythromycin and cisapride concomitantly. This may result in QTc prolongation and cardiac arrhythmias including ventricular tachycardia, ventricular fibrillation and torsades de pointes.Si milar effects have been observed with concomitant administration of pimozide and clarithromycin, another macrolide antibiotic. Erythromycin use in patients who are receiving high doses of theophylline may be associated with an increase in serum theophylline levels and potential theophylline toxicity. In case of theophylline toxicity and/or elevated serum theophylline levels, the d ose of theophylline should be reduced while the patient is receiving concomitant erythromycin therapy. There have been published reports suggesting when o</x:v>
      </x:c>
      <x:c r="J285" s="37" t="str">
        <x:v>https://drug.fda.moph.go.th/media.php?id=810076760694726656&amp;name=SMPC_Erythromycin_film-coated tablets.pdf</x:v>
      </x:c>
    </x:row>
    <x:row r="286">
      <x:c r="A286" s="31" t="str">
        <x:v>clarithromycin</x:v>
      </x:c>
      <x:c r="B286" s="31" t="str">
        <x:v>haloperidol</x:v>
      </x:c>
      <x:c r="C286" s="31" t="str">
        <x:v>unclassified</x:v>
      </x:c>
      <x:c r="D286" s="31" t="str">
        <x:v>review</x:v>
      </x:c>
      <x:c r="E286" s="31" t="str">
        <x:v>r0172_smpc</x:v>
      </x:c>
      <x:c r="F286" s="31" t="str">
        <x:v>SMPC</x:v>
      </x:c>
      <x:c r="G286" s="31" t="n">
        <x:v>13</x:v>
      </x:c>
      <x:c r="H286" s="31" t="str">
        <x:v>clarithromycin</x:v>
      </x:c>
      <x:c r="I286" s="37" t="str">
        <x:v>performed in adults. Cardiovascular effects &lt;GENERIC NAME&gt; is contraindicated in combination with medicinal products known to prolong the QTc interval (see section 4.3). Examples include: • Class IA antiarrhythmics (e.g. disopyramide, quinidine). • Class III antiarrhythmics (e.g. amiodarone, dofetilide, dronedarone, ibutilide, sotalol). • Certain antidepressants (e.g. citalopram, escitalopram). • Certain antibiotics (e.g. azithromycin, clarithromycin, erythromycin, levofloxacin, moxifloxacin, telithromycin). • Other antipsychotics (e.g. phenothiazine derivatives, sertindole, pimozide, ziprasidone) • Certain antifungals (e.g. pentamidine). • Certain antimalarials (e.g. halofantrine). • Certain gastrointestinal medicinal products (e.g. dolasetron). • Certain medicinal products used in cancer (e.g. toremifene, vandetanib). • Certain other medicinal products (e.g. bepridil, methadone).</x:v>
      </x:c>
      <x:c r="J286" s="37" t="str">
        <x:v>https://drug.fda.moph.go.th/media.php?id=808571302360260608&amp;name=SmPC - Haloperidol ORAL SOLUTION.pdf</x:v>
      </x:c>
    </x:row>
    <x:row r="287">
      <x:c r="A287" s="31" t="str">
        <x:v>clarithromycin</x:v>
      </x:c>
      <x:c r="B287" s="31" t="str">
        <x:v>insulin</x:v>
      </x:c>
      <x:c r="C287" s="31" t="str">
        <x:v>unclassified</x:v>
      </x:c>
      <x:c r="D287" s="31" t="str">
        <x:v>review</x:v>
      </x:c>
      <x:c r="E287" s="31" t="str">
        <x:v>r0075_smpc</x:v>
      </x:c>
      <x:c r="F287" s="31" t="str">
        <x:v>SMPC</x:v>
      </x:c>
      <x:c r="G287" s="31" t="n">
        <x:v>12</x:v>
      </x:c>
      <x:c r="H287" s="31" t="str">
        <x:v>insulin</x:v>
      </x:c>
      <x:c r="I287" s="37" t="str">
        <x:v>Oral hypoglycaemic agents/Insulin: The concomitant use of clarithromycin and oral hypoglycaemic agents (such as sulphonylurias) and/or insulin can result in significant hypoglycaemia. Careful monitoring of glucose is recommended (see section 4.5). Oral anticoagulants: There is a risk of serious haemorrhage and significant elevations in International Normalized Ratio (INR) and prothrombin time when clarithromycin is co -administered with warfarin (see section 4.5). INR and</x:v>
      </x:c>
      <x:c r="J287" s="37" t="str">
        <x:v>https://drug.fda.moph.go.th/media.php?id=809678715939332096&amp;name=SMPC_Clarithromycin_Film-coated tablets.pdf</x:v>
      </x:c>
    </x:row>
    <x:row r="288">
      <x:c r="A288" s="31" t="str">
        <x:v>clarithromycin</x:v>
      </x:c>
      <x:c r="B288" s="31" t="str">
        <x:v>insulin</x:v>
      </x:c>
      <x:c r="C288" s="31" t="str">
        <x:v>unclassified</x:v>
      </x:c>
      <x:c r="D288" s="31" t="str">
        <x:v>review</x:v>
      </x:c>
      <x:c r="E288" s="31" t="str">
        <x:v>r0075_smpc</x:v>
      </x:c>
      <x:c r="F288" s="31" t="str">
        <x:v>SMPC</x:v>
      </x:c>
      <x:c r="G288" s="31" t="n">
        <x:v>19</x:v>
      </x:c>
      <x:c r="H288" s="31" t="str">
        <x:v>insulin</x:v>
      </x:c>
      <x:c r="I288" s="37" t="str">
        <x:v>rolongation during co-administration of clarithromycin with these drugs. Serum levels of quinidine and disopyramide should be monitored during clarithromycin therapy. There have been post marketing reports of hypoglycemia with the concomitant administration of clarithromycin and disopyramide. Therefore blood glucose levels should be monitored during concomitant administration of clarithromycin and disopyramide. • Oral hypoglycemic agents/Insulin With certain hypoglycemic drugs such as nateglinide, and repaglinide, inhibition of CYP3A enzyme by clarithromycin may be involved and could cause hypoglycaemia when used concomitantly. Careful monitoring of glucose is recommended.</x:v>
      </x:c>
      <x:c r="J288" s="37" t="str">
        <x:v>https://drug.fda.moph.go.th/media.php?id=809678715939332096&amp;name=SMPC_Clarithromycin_Film-coated tablets.pdf</x:v>
      </x:c>
    </x:row>
    <x:row r="289">
      <x:c r="A289" s="31" t="str">
        <x:v>clarithromycin</x:v>
      </x:c>
      <x:c r="B289" s="31" t="str">
        <x:v>itraconazole</x:v>
      </x:c>
      <x:c r="C289" s="31" t="str">
        <x:v>unclassified</x:v>
      </x:c>
      <x:c r="D289" s="31" t="str">
        <x:v>review</x:v>
      </x:c>
      <x:c r="E289" s="31" t="str">
        <x:v>r0075_smpc</x:v>
      </x:c>
      <x:c r="F289" s="31" t="str">
        <x:v>SMPC</x:v>
      </x:c>
      <x:c r="G289" s="31" t="n">
        <x:v>25</x:v>
      </x:c>
      <x:c r="H289" s="31" t="str">
        <x:v>itraconazole</x:v>
      </x:c>
      <x:c r="I289" s="37" t="str">
        <x:v>is advised regarding the concomitant administration of clarithromycin and calcium channel blockers metabolized by CYP3A4 (e.g. verapamil, amlodipine, diltiazem) due to the risk of hypotension. Plasma concentrations of clarithromycin as well as calc ium channel blockers may increase due to the interaction. Hypotension, bradyarrhythmias and lactic acidosis have been observed in patients taking clarithromycin and verapamil concomitantly. o Itraconazole Both clarithromycin and itraconazole are substrates and inhibitors of CYP3A, leading to a bidirectional drug interaction. Clarithromycin may increase the plasma levels of itraconazole, while itraconazole may increase the plasma levels of clarithromycin. Pa tients taking itraconazole and clarithromycin concomitantly should be monitored closely for signs or symptoms of increased or prolonged pharmacologic effect.</x:v>
      </x:c>
      <x:c r="J289" s="37" t="str">
        <x:v>https://drug.fda.moph.go.th/media.php?id=809678715939332096&amp;name=SMPC_Clarithromycin_Film-coated tablets.pdf</x:v>
      </x:c>
    </x:row>
    <x:row r="290">
      <x:c r="A290" s="31" t="str">
        <x:v>clarithromycin</x:v>
      </x:c>
      <x:c r="B290" s="31" t="str">
        <x:v>itraconazole</x:v>
      </x:c>
      <x:c r="C290" s="31" t="str">
        <x:v>unclassified</x:v>
      </x:c>
      <x:c r="D290" s="31" t="str">
        <x:v>review</x:v>
      </x:c>
      <x:c r="E290" s="31" t="str">
        <x:v>r0201_smpc</x:v>
      </x:c>
      <x:c r="F290" s="31" t="str">
        <x:v>SMPC</x:v>
      </x:c>
      <x:c r="G290" s="31" t="n">
        <x:v>11</x:v>
      </x:c>
      <x:c r="H290" s="31" t="str">
        <x:v>clarithromycin</x:v>
      </x:c>
      <x:c r="I290" s="37" t="str">
        <x:v>treatment with itraconazole, unless the benefits outweigh the risk of potentially reduced itraconazole efficacy. Upon coadministration, it is recommended that the antifungal activity be monitored and the itraconazole dose increased as deemed necessary. Drugs that may increase itraconazole plasma concentrations Potent inhibitors of CYP3A4 may increase the bioavailability of itraconazole. Examples include: - Antibacterials: ciprofloxacin, clarithromycin, erythromycin, - Antivirals: ritonavir -boosted darunavir, ritonavir -boosted fosamprenavir, indinavir (see also under Drugs that may have their plasma concentrations increased by itraconazole), ritonavir (see also under Drugs that may have their plasma concentrations increased by itraconazole). It is recommended that these drugs be used with caution when coadministered with itraconazole capsules. It is recommended that patients who must</x:v>
      </x:c>
      <x:c r="J290" s="37" t="str">
        <x:v>https://drug.fda.moph.go.th/media.php?id=810398699489468416&amp;name=SMPC_Itraconazole_Hard capsules.pdf</x:v>
      </x:c>
    </x:row>
    <x:row r="291">
      <x:c r="A291" s="31" t="str">
        <x:v>clarithromycin</x:v>
      </x:c>
      <x:c r="B291" s="31" t="str">
        <x:v>methylprednisolone</x:v>
      </x:c>
      <x:c r="C291" s="31" t="str">
        <x:v>unclassified</x:v>
      </x:c>
      <x:c r="D291" s="31" t="str">
        <x:v>review</x:v>
      </x:c>
      <x:c r="E291" s="31" t="str">
        <x:v>r0233_smpc</x:v>
      </x:c>
      <x:c r="F291" s="31" t="str">
        <x:v>SMPC</x:v>
      </x:c>
      <x:c r="G291" s="31" t="n">
        <x:v>18</x:v>
      </x:c>
      <x:c r="H291" s="31" t="str">
        <x:v>clarithromycin</x:v>
      </x:c>
      <x:c r="I291" s="37" t="str">
        <x:v>one may occur. Co-administration may require an increase in methylprednisolone dosage to achieve the desired result. Antiemetic - APREPITANT - FOSAPREPITANT Antifungal - ITRACONAZOLE - KETOCONAZOLE Antivirals - HIV-PROTEASE INHIBITORS Pharmacokinetic enhancers - COBICISTAT Calcium Channel Blocker - DILTIAZEM Contraceptives (oral) - ETHINYLESTRADIOL/ NORETHISTERONE Immunosuppressant - CICLOSPORIN Macrolide Antibacterial - CLARITHROMYCIN - ERYTHROMYCIN CYP3A4 INHIBITORS (and SUBSTRATES) CYP3A4 INHIBITORS (and SUBSTRATES) The hepatic clearance of methylprednisolone may be inhibited or induced, resulting in an increase or decrease in the plasma concentration of methylprednisolone. A corresponding dosage adjustment may be required. It is possible that adverse events associated with the use of either drug alone may be more likely to occur with administration 1</x:v>
      </x:c>
      <x:c r="J291" s="37" t="str">
        <x:v>https://drug.fda.moph.go.th/media.php?id=810412748335882240&amp;name=SMPC_Methylprednisolone_Powders for solutions for injections or infusions.pdf</x:v>
      </x:c>
    </x:row>
    <x:row r="292">
      <x:c r="A292" s="31" t="str">
        <x:v>clarithromycin</x:v>
      </x:c>
      <x:c r="B292" s="31" t="str">
        <x:v>omeprazole</x:v>
      </x:c>
      <x:c r="C292" s="31" t="str">
        <x:v>unclassified</x:v>
      </x:c>
      <x:c r="D292" s="31" t="str">
        <x:v>review</x:v>
      </x:c>
      <x:c r="E292" s="31" t="str">
        <x:v>r0075_smpc</x:v>
      </x:c>
      <x:c r="F292" s="31" t="str">
        <x:v>SMPC</x:v>
      </x:c>
      <x:c r="G292" s="31" t="n">
        <x:v>20</x:v>
      </x:c>
      <x:c r="H292" s="31" t="str">
        <x:v>omeprazole</x:v>
      </x:c>
      <x:c r="I292" s="37" t="str">
        <x:v>• Omeprazole Clarithromycin (500 mg every 8 hours) was given in combination with omeprazole (40 mg daily) to healthy adult subjects. The steady -state plasma concentrations of omeprazole were increased (Cmax, AUC0-24, and t1/2 increased by 30%, 89%, and 34%, respectivel y), by the concomitant administration of clarithromycin. The mean 24 -hour gastric pH value was 5.2 when omeprazole was administered alone and 5.7 when omeprazole was co-administered w</x:v>
      </x:c>
      <x:c r="J292" s="37" t="str">
        <x:v>https://drug.fda.moph.go.th/media.php?id=809678715939332096&amp;name=SMPC_Clarithromycin_Film-coated tablets.pdf</x:v>
      </x:c>
    </x:row>
    <x:row r="293">
      <x:c r="A293" s="31" t="str">
        <x:v>clarithromycin</x:v>
      </x:c>
      <x:c r="B293" s="31" t="str">
        <x:v>omeprazole</x:v>
      </x:c>
      <x:c r="C293" s="31" t="str">
        <x:v>unclassified</x:v>
      </x:c>
      <x:c r="D293" s="31" t="str">
        <x:v>review</x:v>
      </x:c>
      <x:c r="E293" s="31" t="str">
        <x:v>r0262_smpc</x:v>
      </x:c>
      <x:c r="F293" s="31" t="str">
        <x:v>SMPC</x:v>
      </x:c>
      <x:c r="G293" s="31" t="n">
        <x:v>13</x:v>
      </x:c>
      <x:c r="H293" s="31" t="str">
        <x:v>clarithromycin</x:v>
      </x:c>
      <x:c r="I293" s="37" t="str">
        <x:v>1 Ref:Losec 20 mg, MHRA, 10/04/2024 13 methotrexate administration a temporary withdrawal of omeprazole may need to be considered. Effects of other active substances on the pharmacokinetics of omeprazole Inhibitors of CYP2C19 and/or CYP3A4 Since omeprazole is metabolised by CYP2C19 and CYP3A4, active substances known to inhibit CYP2C19 or CYP3A4 (such as clarithromycin and voriconazole) may lead to increased omeprazole serum levels by decreasing omeprazole’s rate of metabolism. Concomitant voriconazole treatment resulted in more than doubling of the omeprazole exposure. As high doses of omeprazole have been well- tolerated adjustment of the omeprazole dose is not generally required. However, dose adjustment should be considered in patients with severe hepatic impairment and if long-term treatment is indic</x:v>
      </x:c>
      <x:c r="J293" s="37" t="str">
        <x:v>https://drug.fda.moph.go.th/media.php?id=810426319253938176&amp;name=SMPC_Omeprazole_Hard Gastro-resistant Capsule.pdf</x:v>
      </x:c>
    </x:row>
    <x:row r="294">
      <x:c r="A294" s="31" t="str">
        <x:v>clarithromycin</x:v>
      </x:c>
      <x:c r="B294" s="31" t="str">
        <x:v>omeprazole</x:v>
      </x:c>
      <x:c r="C294" s="31" t="str">
        <x:v>unclassified</x:v>
      </x:c>
      <x:c r="D294" s="31" t="str">
        <x:v>review</x:v>
      </x:c>
      <x:c r="E294" s="31" t="str">
        <x:v>r0435_smpc</x:v>
      </x:c>
      <x:c r="F294" s="31" t="str">
        <x:v>SMPC</x:v>
      </x:c>
      <x:c r="G294" s="31" t="n">
        <x:v>9</x:v>
      </x:c>
      <x:c r="H294" s="31" t="str">
        <x:v>clarithromycin</x:v>
      </x:c>
      <x:c r="I294" s="37" t="str">
        <x:v>ven together with proton pump inhibitors, methotrexate levels have been reported to increase in some patients. In high-dose methotrexate administration a temporary withdrawal of omeprazole may need to be considered. Effects of other active substances on the pharmacokinetics of omeprazole Inhibitors of CYP2C19 and/or CYP3A4 Since omeprazole is metabolised by CYP2C19 and CYP3A4, active substances known to inhibit CYP2C19 or CYP3A4 (such as clarithromycin and voriconazole) may lead to increased omeprazole serum levels by decreasing omeprazole's rate of metabolism. Concomitant voriconazole treatment resulted in more than doubling of the omeprazole exposure. As high doses of omeprazole have been well-tolerated adjustment of the omeprazole dose is not generally required. However, dose adjustment should be considered in patients with severe hepatic impairment and if long-term treatment is indic</x:v>
      </x:c>
      <x:c r="J294" s="37" t="str">
        <x:v>https://drug.fda.moph.go.th/media.php?id=904966130538520576&amp;name=3. Ref SmPC_Omeprazole.pdf</x:v>
      </x:c>
    </x:row>
    <x:row r="295">
      <x:c r="A295" s="31" t="str">
        <x:v>clarithromycin</x:v>
      </x:c>
      <x:c r="B295" s="31" t="str">
        <x:v>pimozide</x:v>
      </x:c>
      <x:c r="C295" s="31" t="str">
        <x:v>severe</x:v>
      </x:c>
      <x:c r="D295" s="31" t="str">
        <x:v>eligible</x:v>
      </x:c>
      <x:c r="E295" s="31" t="str">
        <x:v>r0075_smpc</x:v>
      </x:c>
      <x:c r="F295" s="31" t="str">
        <x:v>SMPC</x:v>
      </x:c>
      <x:c r="G295" s="31" t="n">
        <x:v>6</x:v>
      </x:c>
      <x:c r="H295" s="31" t="str">
        <x:v>pimozide</x:v>
      </x:c>
      <x:c r="I295" s="37" t="str">
        <x:v>dihydroergotamine) is contraindicated, as this may result in ergot toxicity (see sections 4.4 and 4.5). • Concomitant administration of clarithromycin and oral midazolam is contraindicated (see section 4.5). • Concomitant administration of clarithromycin and lomitapide is contraindicated (see section 4.5). • Concomitant administration of clarithromycin and any of the following drugs is contraindicated: astemizole, cisapride, domperidone, pimozide and terfenadine as this may result in QT prolongation and cardiac arrhythmias, including ventricular tachycardia, v entricular fibrillation, and torsades de pointes (see section 4.4 and 4.5). • Clarithromycin should not be given to patients with history of QT prolongation (congenital or documented acquired QT prolongation) or ventricular cardiac arrhythmia, including torsades de pointes (see sections 4.4 and 4.5). Concomitant administrati</x:v>
      </x:c>
      <x:c r="J295" s="37" t="str">
        <x:v>https://drug.fda.moph.go.th/media.php?id=809678715939332096&amp;name=SMPC_Clarithromycin_Film-coated tablets.pdf</x:v>
      </x:c>
    </x:row>
    <x:row r="296">
      <x:c r="A296" s="31" t="str">
        <x:v>clarithromycin</x:v>
      </x:c>
      <x:c r="B296" s="31" t="str">
        <x:v>pimozide</x:v>
      </x:c>
      <x:c r="C296" s="31" t="str">
        <x:v>severe</x:v>
      </x:c>
      <x:c r="D296" s="31" t="str">
        <x:v>eligible</x:v>
      </x:c>
      <x:c r="E296" s="31" t="str">
        <x:v>r0075_smpc</x:v>
      </x:c>
      <x:c r="F296" s="31" t="str">
        <x:v>SMPC</x:v>
      </x:c>
      <x:c r="G296" s="31" t="n">
        <x:v>9</x:v>
      </x:c>
      <x:c r="H296" s="31" t="str">
        <x:v>pimozide</x:v>
      </x:c>
      <x:c r="I296" s="37" t="str">
        <x:v>f the QT interval, reflecting effects on cardiac repolarisation imparting a risk of developing cardiac arrhythmia and torsades de pointes, have been seen in patients treated with macrolides including clarithromycin (see section 4.8). Due to increased risk of QT prolongation and ventricular arrhythmias (including torsades de pointes), the use of clarithromycin is contraindicated: in patients taking any of astemizole, cisapride, domperidone, pimozide and terfenadine; in patients who have electrolyte disturbances such as hypomagnesaemia or hypokalaemia; and in patients with a history of QT prolongation or ventricular cardiac arrhythmia (see section 4.3). Carefully consider the balance of benefits and risks before prescribing clarithromycin for any patients taking hydroxychloroquine or chloroquine, because of the potential for an increased risk of cardiovascular events and cardiovascula</x:v>
      </x:c>
      <x:c r="J296" s="37" t="str">
        <x:v>https://drug.fda.moph.go.th/media.php?id=809678715939332096&amp;name=SMPC_Clarithromycin_Film-coated tablets.pdf</x:v>
      </x:c>
    </x:row>
    <x:row r="297">
      <x:c r="A297" s="31" t="str">
        <x:v>clarithromycin</x:v>
      </x:c>
      <x:c r="B297" s="31" t="str">
        <x:v>pimozide</x:v>
      </x:c>
      <x:c r="C297" s="31" t="str">
        <x:v>severe</x:v>
      </x:c>
      <x:c r="D297" s="31" t="str">
        <x:v>eligible</x:v>
      </x:c>
      <x:c r="E297" s="31" t="str">
        <x:v>r0075_smpc</x:v>
      </x:c>
      <x:c r="F297" s="31" t="str">
        <x:v>SMPC</x:v>
      </x:c>
      <x:c r="G297" s="31" t="n">
        <x:v>13</x:v>
      </x:c>
      <x:c r="H297" s="31" t="str">
        <x:v>pimozide</x:v>
      </x:c>
      <x:c r="I297" s="37" t="str">
        <x:v>4.5. Interaction with other medicinal products and other forms of interaction The use of the following drugs is strictly contraindicated due to the potential for severe drug interaction effects: Astemizole, cisapride, domperidone, pimozide, and terfenadine: Elevated cisapride levels have been reported in patients receiving clarithromycin and cisapride concomitantly. This may result in QT prolongation and cardiac arrhythmias including ventricular tachycardia, ventricular fibrillation and torsades de pointes. S imilar effects have been observed in patients taking clarithromycin and pimozide concomitantly (see section 4.3). Macrolides have been reported to alter the metabolism</x:v>
      </x:c>
      <x:c r="J297" s="37" t="str">
        <x:v>https://drug.fda.moph.go.th/media.php?id=809678715939332096&amp;name=SMPC_Clarithromycin_Film-coated tablets.pdf</x:v>
      </x:c>
    </x:row>
    <x:row r="298">
      <x:c r="A298" s="31" t="str">
        <x:v>clarithromycin</x:v>
      </x:c>
      <x:c r="B298" s="31" t="str">
        <x:v>rifampicin</x:v>
      </x:c>
      <x:c r="C298" s="31" t="str">
        <x:v>unclassified</x:v>
      </x:c>
      <x:c r="D298" s="31" t="str">
        <x:v>review</x:v>
      </x:c>
      <x:c r="E298" s="31" t="str">
        <x:v>r0075_smpc</x:v>
      </x:c>
      <x:c r="F298" s="31" t="str">
        <x:v>SMPC</x:v>
      </x:c>
      <x:c r="G298" s="31" t="n">
        <x:v>15</x:v>
      </x:c>
      <x:c r="H298" s="31" t="str">
        <x:v>rifampicin</x:v>
      </x:c>
      <x:c r="I298" s="37" t="str">
        <x:v>ithromycin with statins. In situations where the concomitant use of clarithromycin with statins cannot be avoided, it is recommended to prescribe the lowest registered dose of the statin. Use of a statin tha t is not dependent on CYP3A metabolism (e.g. fluvastatin) can be considered. Patients should be monitored for signs and symptoms of myopathy. Effects of Other Medicinal Products on Clarithromycin Drugs that are inducers of CYP3A (e.g. rifampicin, phenytoin, carbamazepine, phenobarbital, St John’s wort) may induce the metabolism of clarithromycin. This may result in sub -therapeutic levels of clarithromycin leading to reduced efficacy. Furthermore, it might be necessary to monitor the plasma levels of the CYP3A inducer, which could be increased owing to the inhibition of CYP3A by clarithromycin (see also the relevant product information for the CYP3A4 inducer administered). Concom</x:v>
      </x:c>
      <x:c r="J298" s="37" t="str">
        <x:v>https://drug.fda.moph.go.th/media.php?id=809678715939332096&amp;name=SMPC_Clarithromycin_Film-coated tablets.pdf</x:v>
      </x:c>
    </x:row>
    <x:row r="299">
      <x:c r="A299" s="31" t="str">
        <x:v>clarithromycin</x:v>
      </x:c>
      <x:c r="B299" s="31" t="str">
        <x:v>simvastatin</x:v>
      </x:c>
      <x:c r="C299" s="31" t="str">
        <x:v>severe</x:v>
      </x:c>
      <x:c r="D299" s="31" t="str">
        <x:v>eligible</x:v>
      </x:c>
      <x:c r="E299" s="31" t="str">
        <x:v>r0075_smpc</x:v>
      </x:c>
      <x:c r="F299" s="31" t="str">
        <x:v>SMPC</x:v>
      </x:c>
      <x:c r="G299" s="31" t="n">
        <x:v>6</x:v>
      </x:c>
      <x:c r="H299" s="31" t="str">
        <x:v>simvastatin</x:v>
      </x:c>
      <x:c r="I299" s="37" t="str">
        <x:v>in should not be given to patients with history of QT prolongation (congenital or documented acquired QT prolongation) or ventricular cardiac arrhythmia, including torsades de pointes (see sections 4.4 and 4.5). Concomitant administration with ticagrelor or ranolazine is contraindicated. • Clarithromycin should not be used concomitantly with HMG -CoA reductase inhibitors (statins) that are extensively metabolized by CYP3A4, (lovastatin or simvastatin), due to the increased risk of myopathy, including rhabdomyolysis (see section 4.5). • As with other strong CYP3A4 inhibitors, Clarithromycin should not be used in patients taking colchicine (see sections 4.4 and 4.5).</x:v>
      </x:c>
      <x:c r="J299" s="37" t="str">
        <x:v>https://drug.fda.moph.go.th/media.php?id=809678715939332096&amp;name=SMPC_Clarithromycin_Film-coated tablets.pdf</x:v>
      </x:c>
    </x:row>
    <x:row r="300">
      <x:c r="A300" s="31" t="str">
        <x:v>clarithromycin</x:v>
      </x:c>
      <x:c r="B300" s="31" t="str">
        <x:v>simvastatin</x:v>
      </x:c>
      <x:c r="C300" s="31" t="str">
        <x:v>severe</x:v>
      </x:c>
      <x:c r="D300" s="31" t="str">
        <x:v>eligible</x:v>
      </x:c>
      <x:c r="E300" s="31" t="str">
        <x:v>r0075_smpc</x:v>
      </x:c>
      <x:c r="F300" s="31" t="str">
        <x:v>SMPC</x:v>
      </x:c>
      <x:c r="G300" s="31" t="n">
        <x:v>11</x:v>
      </x:c>
      <x:c r="H300" s="31" t="str">
        <x:v>simvastatin</x:v>
      </x:c>
      <x:c r="I300" s="37" t="str">
        <x:v>idermal necrolysis and drug rash with eosinop hilia and systemic symptoms (DRESS)), clarithromycin therapy should be discontinued immediately and appropriate treatment should be urgently initiated. Clarithromycin should be used with caution when administered concurrently with medications that induce the cytochrome CYP3A4 enzyme (see section 4.5). HMG -CoA Reductase Inhibitors (statins): Concomitant use of clarithromycin with lovastatin or simvastatin is contraindicated (see section 4.3). Caution should be exercised when prescribing clarithromycin with other statins. Rhabdomyolysis has been reported in patients taking clarithromycin and s tatins. Patients should be monitored for signs and symptoms of myopathy. In situations where the concomitant use of clarithromycin with statins cannot be avoided, it is recommended to prescribe the lowest registered dose of the statin. Use of a statin</x:v>
      </x:c>
      <x:c r="J300" s="37" t="str">
        <x:v>https://drug.fda.moph.go.th/media.php?id=809678715939332096&amp;name=SMPC_Clarithromycin_Film-coated tablets.pdf</x:v>
      </x:c>
    </x:row>
    <x:row r="301">
      <x:c r="A301" s="31" t="str">
        <x:v>clarithromycin</x:v>
      </x:c>
      <x:c r="B301" s="31" t="str">
        <x:v>simvastatin</x:v>
      </x:c>
      <x:c r="C301" s="31" t="str">
        <x:v>severe</x:v>
      </x:c>
      <x:c r="D301" s="31" t="str">
        <x:v>eligible</x:v>
      </x:c>
      <x:c r="E301" s="31" t="str">
        <x:v>r0075_smpc</x:v>
      </x:c>
      <x:c r="F301" s="31" t="str">
        <x:v>SMPC</x:v>
      </x:c>
      <x:c r="G301" s="31" t="n">
        <x:v>14</x:v>
      </x:c>
      <x:c r="H301" s="31" t="str">
        <x:v>simvastatin</x:v>
      </x:c>
      <x:c r="I301" s="37" t="str">
        <x:v>ithromycin and ergot alkaloids is contraindicated (see section 4.3). Oral Midazolam: When midazolam was co -administered with clarithromycin tablets (500 mg twice daily), midazolam AUC was increased 7 -fold after oral administration of midazolam. Concomitant administration of oral midazolam and clarithromycin is contraindicated (see section 4.3). HMG-CoA Reductase Inhibitors (statins): Concomitant use of clarithromycin with lovastatin or simvastatin is contraindicated (see 4.3) as these statins are extensively metabolized by CYP3A4 and concomitant treatment with clarithromycin increases their plasma concentration, which increases the ris k of myopathy, including rhabdomyolysis. Reports of rhabdomyolysis have been received for patients taking clarithromycin concomitantly with these statins. If treatment with clarithromycin cannot be avoided, therapy with lovastatin or simvastatin must</x:v>
      </x:c>
      <x:c r="J301" s="37" t="str">
        <x:v>https://drug.fda.moph.go.th/media.php?id=809678715939332096&amp;name=SMPC_Clarithromycin_Film-coated tablets.pdf</x:v>
      </x:c>
    </x:row>
    <x:row r="302">
      <x:c r="A302" s="31" t="str">
        <x:v>clarithromycin</x:v>
      </x:c>
      <x:c r="B302" s="31" t="str">
        <x:v>simvastatin</x:v>
      </x:c>
      <x:c r="C302" s="31" t="str">
        <x:v>unclassified</x:v>
      </x:c>
      <x:c r="D302" s="31" t="str">
        <x:v>review</x:v>
      </x:c>
      <x:c r="E302" s="31" t="str">
        <x:v>r0075_smpc</x:v>
      </x:c>
      <x:c r="F302" s="31" t="str">
        <x:v>SMPC</x:v>
      </x:c>
      <x:c r="G302" s="31" t="n">
        <x:v>18</x:v>
      </x:c>
      <x:c r="H302" s="31" t="str">
        <x:v>simvastatin</x:v>
      </x:c>
      <x:c r="I302" s="37" t="str">
        <x:v>patients receiving the CYP3A substrates astemizole, cisapride, domperidone, pimoz ide and terfenadine due to the risk of QT prolongation and cardiac arrhythmias, including ventricular tachycardia, ventricular fibrillation, and torsades de pointes (see sections 4.3 and 4.4). The use of clarithromycin is also contraindicated with ergot a lkaloids, oral midazolam, HMG CoA reductase inhibitors metabolised mainly by CYP3A4 (e.g. lovastatin and simvastatin), colchicine, ticagrelor and ranolazine (see section 4.3). Concomitant administration of clarithromycin with lomitapide is contraindicated due to the potential for markedly increased transaminases (see section 4.3). Caution is required if clarithromycin is co-administered with other drugs known to be CYP3A enzyme substrates, especially if the CYP3A substrate has a narrow safety margin (e.g. carbamazepine) and/or the substrate is extensivel</x:v>
      </x:c>
      <x:c r="J302" s="37" t="str">
        <x:v>https://drug.fda.moph.go.th/media.php?id=809678715939332096&amp;name=SMPC_Clarithromycin_Film-coated tablets.pdf</x:v>
      </x:c>
    </x:row>
    <x:row r="303">
      <x:c r="A303" s="31" t="str">
        <x:v>clarithromycin</x:v>
      </x:c>
      <x:c r="B303" s="31" t="str">
        <x:v>theophylline</x:v>
      </x:c>
      <x:c r="C303" s="31" t="str">
        <x:v>unclassified</x:v>
      </x:c>
      <x:c r="D303" s="31" t="str">
        <x:v>review</x:v>
      </x:c>
      <x:c r="E303" s="31" t="str">
        <x:v>r0075_smpc</x:v>
      </x:c>
      <x:c r="F303" s="31" t="str">
        <x:v>SMPC</x:v>
      </x:c>
      <x:c r="G303" s="31" t="n">
        <x:v>19</x:v>
      </x:c>
      <x:c r="H303" s="31" t="str">
        <x:v>theophylline</x:v>
      </x:c>
      <x:c r="I303" s="37" t="str">
        <x:v>warfarin, rivaroxaban, apixaban), atypical antipsychotics (e.g. quetiapine), quinidine, rifabutin, sildenafil, sirolimus, tacrolimus, triazolam and vinblastine. Drugs interacting by similar mechanisms through other isozymes within the cytochrome P450 syste m include phenytoin, theophylline and valproate. • Antiarrhythmics concurrent use of clarithromycin and quinidine or disopyramide. Electrocardiograms should be monitored for QT prolongation during co-administration of clarithromycin with these drugs. Serum levels of quinidine and disopyramide should be monitored during clarithromycin therapy. There have been post marketing reports of hypoglycemia with the concomitant administration of clarithromycin and disopyramide. Th</x:v>
      </x:c>
      <x:c r="J303" s="37" t="str">
        <x:v>https://drug.fda.moph.go.th/media.php?id=809678715939332096&amp;name=SMPC_Clarithromycin_Film-coated tablets.pdf</x:v>
      </x:c>
    </x:row>
    <x:row r="304">
      <x:c r="A304" s="31" t="str">
        <x:v>clarithromycin</x:v>
      </x:c>
      <x:c r="B304" s="31" t="str">
        <x:v>tinidazole</x:v>
      </x:c>
      <x:c r="C304" s="31" t="str">
        <x:v>unclassified</x:v>
      </x:c>
      <x:c r="D304" s="31" t="str">
        <x:v>review</x:v>
      </x:c>
      <x:c r="E304" s="31" t="str">
        <x:v>r0075_smpc</x:v>
      </x:c>
      <x:c r="F304" s="31" t="str">
        <x:v>SMPC</x:v>
      </x:c>
      <x:c r="G304" s="31" t="n">
        <x:v>38</x:v>
      </x:c>
      <x:c r="H304" s="31" t="str">
        <x:v>tinidazole</x:v>
      </x:c>
      <x:c r="I304" s="37" t="str">
        <x:v>ing duodenal ulcer and gastric ulcer in which about 95% and 80% of patients respectively are infected with the agent. H. pylori is also implicated as a major contribution factor in the development of gastritis and ulcer recurrence in such patients. Clarithromycin has been used in small numbers of patients in other treatment regimens. Possible kinetic interactions have not been fully investigated. These regimens include: Clarithromycin plus tinidazole and</x:v>
      </x:c>
      <x:c r="J304" s="37" t="str">
        <x:v>https://drug.fda.moph.go.th/media.php?id=809678715939332096&amp;name=SMPC_Clarithromycin_Film-coated tablets.pdf</x:v>
      </x:c>
    </x:row>
    <x:row r="305">
      <x:c r="A305" s="31" t="str">
        <x:v>clarithromycin</x:v>
      </x:c>
      <x:c r="B305" s="31" t="str">
        <x:v>triamcinolone_acetonide</x:v>
      </x:c>
      <x:c r="C305" s="31" t="str">
        <x:v>unclassified</x:v>
      </x:c>
      <x:c r="D305" s="31" t="str">
        <x:v>review</x:v>
      </x:c>
      <x:c r="E305" s="31" t="str">
        <x:v>r0355_smpc</x:v>
      </x:c>
      <x:c r="F305" s="31" t="str">
        <x:v>SMPC</x:v>
      </x:c>
      <x:c r="G305" s="31" t="n">
        <x:v>10</x:v>
      </x:c>
      <x:c r="H305" s="31" t="str">
        <x:v>clarithromycin</x:v>
      </x:c>
      <x:c r="I305" s="37" t="str">
        <x:v>1 Ref: Kenalog, MHRA, 08/09/2023 10 CYP 3A4 inhibitors: Triamcinolone acetonide is a substrate of CYP3A4. Co -administration with strong CYP3A4 inhibitors (eg, ritonavir, atazanavir, clarithromycin, indinavir, itraconazole, nefazodone, nelfinavir, saquinavir, ketoconazole, telithromycin) with triamcinolone is not recommended because increased systemic corticosteroid adverse effects may occur (see section 4.8). If the potential benefit of co-administration outweighs the increased risk of systemic corticosteroid side-effects, patients should be monitored for these effects. During post marketing use, there have been reports of clinical</x:v>
      </x:c>
      <x:c r="J305" s="37" t="str">
        <x:v>https://drug.fda.moph.go.th/media.php?id=810493020255428608&amp;name=SMPC_Triamcinolone_Suspensions for injections or infusions.pdf</x:v>
      </x:c>
    </x:row>
    <x:row r="306">
      <x:c r="A306" s="31" t="str">
        <x:v>clarithromycin</x:v>
      </x:c>
      <x:c r="B306" s="31" t="str">
        <x:v>triamcinolone_acetonide</x:v>
      </x:c>
      <x:c r="C306" s="31" t="str">
        <x:v>unclassified</x:v>
      </x:c>
      <x:c r="D306" s="31" t="str">
        <x:v>review</x:v>
      </x:c>
      <x:c r="E306" s="31" t="str">
        <x:v>r0356_smpc</x:v>
      </x:c>
      <x:c r="F306" s="31" t="str">
        <x:v>SMPC</x:v>
      </x:c>
      <x:c r="G306" s="31" t="n">
        <x:v>10</x:v>
      </x:c>
      <x:c r="H306" s="31" t="str">
        <x:v>clarithromycin</x:v>
      </x:c>
      <x:c r="I306" s="37" t="str">
        <x:v>1 Ref: Kenalog, MHRA, 08/09/2023 10 CYP 3A4 inhibitors: Triamcinolone acetonide is a substrate of CYP3A4. Co -administration with strong CYP3A4 inhibitors (eg, ritonavir, atazanavir, clarithromycin, indinavir, itraconazole, nefazodone, nelfinavir, saquinavir, ketoconazole, telithromycin) with triamcinolone is not recommended because increased systemic corticosteroid adverse effects may occur (see section 4.8). If the potential benefit of co-administration outweighs the increased risk of systemic corticosteroid side-effects, patients should be monitored for these effects. During post marketing use, there have been reports of clinical</x:v>
      </x:c>
      <x:c r="J306" s="37" t="str">
        <x:v>https://drug.fda.moph.go.th/media.php?id=810493020255428608&amp;name=SMPC_Triamcinolone_Suspensions for injections or infusions.pdf</x:v>
      </x:c>
    </x:row>
    <x:row r="307">
      <x:c r="A307" s="31" t="str">
        <x:v>clarithromycin</x:v>
      </x:c>
      <x:c r="B307" s="31" t="str">
        <x:v>verapamil</x:v>
      </x:c>
      <x:c r="C307" s="31" t="str">
        <x:v>unclassified</x:v>
      </x:c>
      <x:c r="D307" s="31" t="str">
        <x:v>review</x:v>
      </x:c>
      <x:c r="E307" s="31" t="str">
        <x:v>r0075_smpc</x:v>
      </x:c>
      <x:c r="F307" s="31" t="str">
        <x:v>SMPC</x:v>
      </x:c>
      <x:c r="G307" s="31" t="n">
        <x:v>25</x:v>
      </x:c>
      <x:c r="H307" s="31" t="str">
        <x:v>verapamil</x:v>
      </x:c>
      <x:c r="I307" s="37" t="str">
        <x:v>ecreased by 50%. For patients with creatinine clearance &lt;30 mL/min, the dose of clarithromycin should be decreased by 75% using an appropriate clarithromycin formulation. Doses of clarithrom ycin greater than 1000 mg per day should not be coadministered with protease inhibitors. o Calcium Channel Blockers Caution is advised regarding the concomitant administration of clarithromycin and calcium channel blockers metabolized by CYP3A4 (e.g. verapamil, amlodipine, diltiazem) due to the risk of hypotension. Plasma concentrations of clarithromycin as well as calc ium channel blockers may increase due to the interaction. Hypotension, bradyarrhythmias and lactic acidosis have been observed in patients taking clarithromycin and verapamil concomitantly. o Itraconazole Both clarithromycin and itraconazole are substrates and inhibitors of CYP3A, leading to a bidirectional drug interaction. Cl</x:v>
      </x:c>
      <x:c r="J307" s="37" t="str">
        <x:v>https://drug.fda.moph.go.th/media.php?id=809678715939332096&amp;name=SMPC_Clarithromycin_Film-coated tablets.pdf</x:v>
      </x:c>
    </x:row>
    <x:row r="308">
      <x:c r="A308" s="31" t="str">
        <x:v>clarithromycin</x:v>
      </x:c>
      <x:c r="B308" s="31" t="str">
        <x:v>zidovudine</x:v>
      </x:c>
      <x:c r="C308" s="31" t="str">
        <x:v>unclassified</x:v>
      </x:c>
      <x:c r="D308" s="31" t="str">
        <x:v>review</x:v>
      </x:c>
      <x:c r="E308" s="31" t="str">
        <x:v>r0075_smpc</x:v>
      </x:c>
      <x:c r="F308" s="31" t="str">
        <x:v>SMPC</x:v>
      </x:c>
      <x:c r="G308" s="31" t="n">
        <x:v>23</x:v>
      </x:c>
      <x:c r="H308" s="31" t="str">
        <x:v>zidovudine</x:v>
      </x:c>
      <x:c r="I308" s="37" t="str">
        <x:v>d to increased exposure to digoxin. Elevated digoxin serum concentrations in patients receiving clarithromycin and digoxin concomitantly have also been reported in post marketing surveillance. Some patients have s hown clinical signs consistent with digoxin toxicity, including potentially fatal arrhythmias. Serum digoxin concentrations should be carefully monitored while patients are receiving digoxin and clarithromycin simultaneously. o Zidovudine Simultaneous oral administration of clarithromycin tablets and zidovudine to HIVinfected adult patients may result in decreased steady-state zidovudine concentrations. Because clarithromycin appears to interfere with the absorption of simultaneously admini stered oral zidovudine, this interaction can be largely avoided by staggering the doses of clarithromycin and zidovudine to allow for a 4 -hour interval between each medication. This i</x:v>
      </x:c>
      <x:c r="J308" s="37" t="str">
        <x:v>https://drug.fda.moph.go.th/media.php?id=809678715939332096&amp;name=SMPC_Clarithromycin_Film-coated tablets.pdf</x:v>
      </x:c>
    </x:row>
    <x:row r="309">
      <x:c r="A309" s="31" t="str">
        <x:v>clarithromycin</x:v>
      </x:c>
      <x:c r="B309" s="31" t="str">
        <x:v>zidovudine</x:v>
      </x:c>
      <x:c r="C309" s="31" t="str">
        <x:v>unclassified</x:v>
      </x:c>
      <x:c r="D309" s="31" t="str">
        <x:v>review</x:v>
      </x:c>
      <x:c r="E309" s="31" t="str">
        <x:v>r0364_smpc</x:v>
      </x:c>
      <x:c r="F309" s="31" t="str">
        <x:v>SMPC</x:v>
      </x:c>
      <x:c r="G309" s="31" t="n">
        <x:v>10</x:v>
      </x:c>
      <x:c r="H309" s="31" t="str">
        <x:v>clarithromycin</x:v>
      </x:c>
      <x:c r="I309" s="37" t="str">
        <x:v>. If concomitant therapy with any of these drugs is necessary then extra care should be taken in monitoring renal function and haematological parameters and, if required, the dos age of one or more agents should be reduced. Limited data from clinical trials do not indicate a significantly increased risk of adverse reactions to zidovudine with cotrimoxazole, aerosolised pentamidine, pyrimethamine and aciclovir at doses used in prophylaxis. Clarithromycin tablets reduce the absorption of zidovudine. This can be avoided by separating the administration of zidovudine and clarithromycin by at least two hours. 4.6. Fertility, pregnancy and lactation Pregnancy As a general rule, when deciding to use antiretroviral agents for the treatment of HIV infection in pregnant women and consequently for reducing the risk of HIV vertical transmission to the newborn, the animal data (see section 5.3) as w</x:v>
      </x:c>
      <x:c r="J309" s="37" t="str">
        <x:v>https://drug.fda.moph.go.th/media.php?id=810494978483691520&amp;name=SMPC_Zidovudine_Capsules.pdf</x:v>
      </x:c>
    </x:row>
    <x:row r="310">
      <x:c r="A310" s="31" t="str">
        <x:v>clindamycin</x:v>
      </x:c>
      <x:c r="B310" s="31" t="str">
        <x:v>erythromycin</x:v>
      </x:c>
      <x:c r="C310" s="31" t="str">
        <x:v>unclassified</x:v>
      </x:c>
      <x:c r="D310" s="31" t="str">
        <x:v>review</x:v>
      </x:c>
      <x:c r="E310" s="31" t="str">
        <x:v>r0126_smpc</x:v>
      </x:c>
      <x:c r="F310" s="31" t="str">
        <x:v>SMPC</x:v>
      </x:c>
      <x:c r="G310" s="31" t="n">
        <x:v>10</x:v>
      </x:c>
      <x:c r="H310" s="31" t="str">
        <x:v>clindamycin</x:v>
      </x:c>
      <x:c r="I310" s="37" t="str">
        <x:v>or astemizole is likely to result in an enhanced risk of cardio toxicity with these drugs. The concomitant use of erythromycin with either simvastatin, tolterodine, mizolastine, amisulpride, astemizole or terfenadine is therefore contraindicated. Anti -bacterial agents: an in vitro antagonism exists between erythromycin and the bactericidal beta -lactam antibiotics (e.g. penicillin, cephalosporin). Erythromycin antagonises the action of clindamycin, lincomycin and chloramphenicol. The same applies for streptomycin, tetracyclines and colistin. Protease inhibitors: in concomitant administration of erythromycin and protease inhibitors, an inhibition of the decomposition of erythromycin has been observed Oral anticoagulants: there have been reports of increased anticoagulant effects when erythromycin and oral anticoagulants (e.g. warfarin, rivaroxaban) are used concomitantly. Triazolob</x:v>
      </x:c>
      <x:c r="J310" s="37" t="str">
        <x:v>https://drug.fda.moph.go.th/media.php?id=810076416409477120&amp;name=SMPC_Erythromycin_Gastro-resistant tablets.pdf</x:v>
      </x:c>
    </x:row>
    <x:row r="311">
      <x:c r="A311" s="31" t="str">
        <x:v>clindamycin</x:v>
      </x:c>
      <x:c r="B311" s="31" t="str">
        <x:v>erythromycin</x:v>
      </x:c>
      <x:c r="C311" s="31" t="str">
        <x:v>unclassified</x:v>
      </x:c>
      <x:c r="D311" s="31" t="str">
        <x:v>review</x:v>
      </x:c>
      <x:c r="E311" s="31" t="str">
        <x:v>r0127_smpc</x:v>
      </x:c>
      <x:c r="F311" s="31" t="str">
        <x:v>SMPC</x:v>
      </x:c>
      <x:c r="G311" s="31" t="n">
        <x:v>9</x:v>
      </x:c>
      <x:c r="H311" s="31" t="str">
        <x:v>clindamycin</x:v>
      </x:c>
      <x:c r="I311" s="37" t="str">
        <x:v>arrest, torsade de pointes and other ventricular arrhythmias have been observed (see sections 4.3 and 4.8). Anti -bacterial agents: an in vitro antagonism exists between erythromycin and the bactericidal beta -lactam antibiotics (e.g. penicillin, cephalosporin). Erythromycin antagonises the action of clindamycin, lincomycin and chloramphenicol. The same applies fo r streptomycin, tetracyclines and colistin. Protease inhibitors: in concomitant administration of erythromycin and protease inhibitors, an inhibition of the decomposition of erythromycin has been observed. Oral anticoagulants: there have been reports of increased anticoagulant effects when erythromycin and oral anticoagulants (e.g. warfarin, rivaroxaban) are used concomitantly. Triazol</x:v>
      </x:c>
      <x:c r="J311" s="37" t="str">
        <x:v>https://drug.fda.moph.go.th/media.php?id=810076760694726656&amp;name=SMPC_Erythromycin_film-coated tablets.pdf</x:v>
      </x:c>
    </x:row>
    <x:row r="312">
      <x:c r="A312" s="31" t="str">
        <x:v>clindamycin</x:v>
      </x:c>
      <x:c r="B312" s="31" t="str">
        <x:v>magnesium</x:v>
      </x:c>
      <x:c r="C312" s="31" t="str">
        <x:v>unclassified</x:v>
      </x:c>
      <x:c r="D312" s="31" t="str">
        <x:v>review</x:v>
      </x:c>
      <x:c r="E312" s="31" t="str">
        <x:v>r0076_smpc</x:v>
      </x:c>
      <x:c r="F312" s="31" t="str">
        <x:v>SMPC</x:v>
      </x:c>
      <x:c r="G312" s="31" t="n">
        <x:v>25</x:v>
      </x:c>
      <x:c r="H312" s="31" t="str">
        <x:v>magnesium</x:v>
      </x:c>
      <x:c r="I312" s="37" t="str">
        <x:v>only) and subcutaneously showed no evidence of fertility or foetal injury, except for doses that resulted in maternal toxicity. 6. PHARMACEUTICAL PARTICULARS 6.1. List of excipients &lt;Regarding the approval&gt; 6.2. Incompatibilities Clindamycin must not be administered together with ampicillin, phenytoin sodium, barbiturates, aminophylline, calcium gluconate, ceftriaxone sodium, ciprofloxacin, diphenylhydantoin, idarubicin hydrochloride, magnesium sulphate and ranitidine hydrochloride in a mixed injection. The application of this medicinal product must be conducted separately. Solutions of clindamycin salts have a low pH and incompatibility may reasonably be expected with alkaline preparations or with medicinal products unstable at low pH. This medicinal product must not be mixed with other medicinal products except those mentioned in section 6.6. 6.3. Shelf life &lt;Regarding the a</x:v>
      </x:c>
      <x:c r="J312" s="37" t="str">
        <x:v>https://drug.fda.moph.go.th/media.php?id=809679498764230656&amp;name=SMPC_clindamycin phosphate_solution for injection and infusion.pdf</x:v>
      </x:c>
    </x:row>
    <x:row r="313">
      <x:c r="A313" s="31" t="str">
        <x:v>clindamycin</x:v>
      </x:c>
      <x:c r="B313" s="31" t="str">
        <x:v>ranitidine</x:v>
      </x:c>
      <x:c r="C313" s="31" t="str">
        <x:v>unclassified</x:v>
      </x:c>
      <x:c r="D313" s="31" t="str">
        <x:v>review</x:v>
      </x:c>
      <x:c r="E313" s="31" t="str">
        <x:v>r0076_smpc</x:v>
      </x:c>
      <x:c r="F313" s="31" t="str">
        <x:v>SMPC</x:v>
      </x:c>
      <x:c r="G313" s="31" t="n">
        <x:v>25</x:v>
      </x:c>
      <x:c r="H313" s="31" t="str">
        <x:v>ranitidine</x:v>
      </x:c>
      <x:c r="I313" s="37" t="str">
        <x:v>ly showed no evidence of fertility or foetal injury, except for doses that resulted in maternal toxicity. 6. PHARMACEUTICAL PARTICULARS 6.1. List of excipients &lt;Regarding the approval&gt; 6.2. Incompatibilities Clindamycin must not be administered together with ampicillin, phenytoin sodium, barbiturates, aminophylline, calcium gluconate, ceftriaxone sodium, ciprofloxacin, diphenylhydantoin, idarubicin hydrochloride, magnesium sulphate and ranitidine hydrochloride in a mixed injection. The application of this medicinal product must be conducted separately. Solutions of clindamycin salts have a low pH and incompatibility may reasonably be expected with alkaline preparations or with medicinal products unstable at low pH. This medicinal product must not be mixed with other medicinal products except those mentioned in section 6.6. 6.3. Shelf life &lt;Regarding the approval&gt;</x:v>
      </x:c>
      <x:c r="J313" s="37" t="str">
        <x:v>https://drug.fda.moph.go.th/media.php?id=809679498764230656&amp;name=SMPC_clindamycin phosphate_solution for injection and infusion.pdf</x:v>
      </x:c>
    </x:row>
    <x:row r="314">
      <x:c r="A314" s="31" t="str">
        <x:v>clonidine</x:v>
      </x:c>
      <x:c r="B314" s="31" t="str">
        <x:v>haloperidol</x:v>
      </x:c>
      <x:c r="C314" s="31" t="str">
        <x:v>unclassified</x:v>
      </x:c>
      <x:c r="D314" s="31" t="str">
        <x:v>review</x:v>
      </x:c>
      <x:c r="E314" s="31" t="str">
        <x:v>r0080_smpc</x:v>
      </x:c>
      <x:c r="F314" s="31" t="str">
        <x:v>SMPC</x:v>
      </x:c>
      <x:c r="G314" s="31" t="n">
        <x:v>6</x:v>
      </x:c>
      <x:c r="H314" s="31" t="str">
        <x:v>haloperidol</x:v>
      </x:c>
      <x:c r="I314" s="37" t="str">
        <x:v>1 Ref: Catapres, MHRA, date 18/08/2023 6 It cannot be ruled out that concomitant administration of a beta-receptor blocker will cause or potentiate peripheral vascular disorders. Based on observations in patients in a state of alcoholic delirium it has been suggested that high intravenous doses of clonidine may increase the arrhythmogenic potential (QT -prolongation, ventricular fibrillation) of high intravenous doses of haloperidol. Causal relationship and relevance for antihypertensive treatment have not been established. The effects of centrally depressant substances or alcohol can be potentiated by clonidine. 4.6. Fertility, pregnancy and lactation Pregnancy There are limited amount of data from the use of clonidine in pregnant women. This product should only be used in pregnancy if considered essential by the physician. Careful monitoring of mother and</x:v>
      </x:c>
      <x:c r="J314" s="37" t="str">
        <x:v>https://drug.fda.moph.go.th/media.php?id=809689391965544448&amp;name=SMPC_Clonidine_tablets.pdf</x:v>
      </x:c>
    </x:row>
    <x:row r="315">
      <x:c r="A315" s="31" t="str">
        <x:v>clonidine</x:v>
      </x:c>
      <x:c r="B315" s="31" t="str">
        <x:v>indapamide</x:v>
      </x:c>
      <x:c r="C315" s="31" t="str">
        <x:v>unclassified</x:v>
      </x:c>
      <x:c r="D315" s="31" t="str">
        <x:v>review</x:v>
      </x:c>
      <x:c r="E315" s="31" t="str">
        <x:v>r0186_smpc</x:v>
      </x:c>
      <x:c r="F315" s="31" t="str">
        <x:v>SMPC</x:v>
      </x:c>
      <x:c r="G315" s="31" t="n">
        <x:v>2</x:v>
      </x:c>
      <x:c r="H315" s="31" t="str">
        <x:v>clonidine</x:v>
      </x:c>
      <x:c r="I315" s="37" t="str">
        <x:v>1 Ref:Indapamide 2.5 mg Tablets, MHRA, 16/05/2022 2 indapamide daily is not recommended, as there is no appreciable additional anti -hypertensive effect but a diuretic effect may become apparent. If a single daily tablet of indapamide does not achieve a sufficient reduction in blood pressure, another anti -hypertensive agent may be added such as beta -blockers, ACE inhibitors, methyldopa, clonidine and other adrenergic blocking agents. The co-administration of indapamide with diuretics which may cause hypokalaemia is not recommended. There is no evidence of rebound hypertension on withdrawal of indapamide Renal impairment (see sections 4.3 and 4.4): In severe renal failure (creatinine clearance below 30 ml/min), treatment is contraindicated. Thiazide and related diuretics are fully effective only when renal function is normal or o</x:v>
      </x:c>
      <x:c r="J315" s="37" t="str">
        <x:v>https://drug.fda.moph.go.th/media.php?id=810384338393899008&amp;name=SMPC_Indapamide_Tablets.pdf</x:v>
      </x:c>
    </x:row>
    <x:row r="316">
      <x:c r="A316" s="31" t="str">
        <x:v>clonidine</x:v>
      </x:c>
      <x:c r="B316" s="31" t="str">
        <x:v>metoclopramide</x:v>
      </x:c>
      <x:c r="C316" s="31" t="str">
        <x:v>unclassified</x:v>
      </x:c>
      <x:c r="D316" s="31" t="str">
        <x:v>review</x:v>
      </x:c>
      <x:c r="E316" s="31" t="str">
        <x:v>r0237_smpc</x:v>
      </x:c>
      <x:c r="F316" s="31" t="str">
        <x:v>SMPC</x:v>
      </x:c>
      <x:c r="G316" s="31" t="n">
        <x:v>11</x:v>
      </x:c>
      <x:c r="H316" s="31" t="str">
        <x:v>clonidine</x:v>
      </x:c>
      <x:c r="I316" s="37" t="str">
        <x:v>ic motility. Concomitant use of anticholinergic drugs may inhibit the favourable effects on gastrointestinal motility. Since extrapyramidal reactions may occur with this medicine, Phenothiazines and Tetrabenazine, care should be exercised in the event of co-administration of these drugs. Central nervous system depressants (morphine derivatives, anxiolytics, sedative H1 antihistamines, sedative antidepressants, barbiturates, clonidine and related): Sedative effects of Central Nervous System depressants and metoclopramide are potentiated. Neuroleptics: Metoclopramide may have an additive effect with other neuroleptics on the occurrence of extrapyramidal disorders. Monoamine oxidase inhibitors: The effects of certain other drugs with potential central stimulant effects, e.g. monoamine oxidase inhibitors and sympathomimetics, may be modified when prescribed</x:v>
      </x:c>
      <x:c r="J316" s="37" t="str">
        <x:v>https://drug.fda.moph.go.th/media.php?id=810415338977107968&amp;name=SMPC_Metoclopramide_solution for infusion.pdf</x:v>
      </x:c>
    </x:row>
    <x:row r="317">
      <x:c r="A317" s="31" t="str">
        <x:v>clonidine</x:v>
      </x:c>
      <x:c r="B317" s="31" t="str">
        <x:v>mianserin</x:v>
      </x:c>
      <x:c r="C317" s="31" t="str">
        <x:v>unclassified</x:v>
      </x:c>
      <x:c r="D317" s="31" t="str">
        <x:v>review</x:v>
      </x:c>
      <x:c r="E317" s="31" t="str">
        <x:v>r0241_smpc</x:v>
      </x:c>
      <x:c r="F317" s="31" t="str">
        <x:v>SMPC</x:v>
      </x:c>
      <x:c r="G317" s="31" t="n">
        <x:v>6</x:v>
      </x:c>
      <x:c r="H317" s="31" t="str">
        <x:v>clonidine</x:v>
      </x:c>
      <x:c r="I317" s="37" t="str">
        <x:v>4.4). Caution is advised in patients with epilepsy and other predisposing factors such as brain damage, conco mitant use of neuroleptics, withdrawal from alcohol. There may be increased risk of convulsions when antidepressants are given with atomoxetine. Interactions with sympathomimetic agents have not been reported, and are unlikely. Clinical experience has shown that mianserin does not interact with the anti-hypertensives bethanidine, clonidine, guanethidine or propranolol. Nevertheless, the monitoring of blood pressure is recommended for those patients receiving concurrent anti-hypertensive therapy. There may be an enhanced hypotensive effect if mianserin is taken with diazoxide, hydralazine or nitroprusside. Concurrent anticoagulant therapy of the coumarin type (eg warfarin) is permissible, but close additional monitoring procedures should be carried out. Antihistamines and a</x:v>
      </x:c>
      <x:c r="J317" s="37" t="str">
        <x:v>https://drug.fda.moph.go.th/media.php?id=810417450431684608&amp;name=SMPC_Mianserin_Tablets.pdf</x:v>
      </x:c>
    </x:row>
    <x:row r="318">
      <x:c r="A318" s="31" t="str">
        <x:v>clonidine</x:v>
      </x:c>
      <x:c r="B318" s="31" t="str">
        <x:v>timolol</x:v>
      </x:c>
      <x:c r="C318" s="31" t="str">
        <x:v>unclassified</x:v>
      </x:c>
      <x:c r="D318" s="31" t="str">
        <x:v>review</x:v>
      </x:c>
      <x:c r="E318" s="31" t="str">
        <x:v>r0345_smpc</x:v>
      </x:c>
      <x:c r="F318" s="31" t="str">
        <x:v>SMPC</x:v>
      </x:c>
      <x:c r="G318" s="31" t="n">
        <x:v>7</x:v>
      </x:c>
      <x:c r="H318" s="31" t="str">
        <x:v>clonidine</x:v>
      </x:c>
      <x:c r="I318" s="37" t="str">
        <x:v>mydriasis resulting from concomitant use of ophthalmic beta -blockers and epinephrine (adrenaline) has been reported occasionally. Potentiated systemic beta -blockade (e.g., decreased heart rate, depression) has been reported during combined treatment with CYP2D6 inhibitors (e.g. quinidine, fluoxetine, paroxetine) and timolol. Oral beta -adrenergic blocking agents may exacerbate the rebound hypertension which can follow the withdrawal of clonidine.</x:v>
      </x:c>
      <x:c r="J318" s="37" t="str">
        <x:v>https://drug.fda.moph.go.th/media.php?id=810482237991690240&amp;name=SMPC_Timolol_Eye Drops Solution.pdf</x:v>
      </x:c>
    </x:row>
    <x:row r="319">
      <x:c r="A319" s="31" t="str">
        <x:v>clonidine</x:v>
      </x:c>
      <x:c r="B319" s="31" t="str">
        <x:v>trazodone</x:v>
      </x:c>
      <x:c r="C319" s="31" t="str">
        <x:v>unclassified</x:v>
      </x:c>
      <x:c r="D319" s="31" t="str">
        <x:v>review</x:v>
      </x:c>
      <x:c r="E319" s="31" t="str">
        <x:v>r0352_smpc</x:v>
      </x:c>
      <x:c r="F319" s="31" t="str">
        <x:v>SMPC</x:v>
      </x:c>
      <x:c r="G319" s="31" t="n">
        <x:v>12</x:v>
      </x:c>
      <x:c r="H319" s="31" t="str">
        <x:v>clonidine</x:v>
      </x:c>
      <x:c r="I319" s="37" t="str">
        <x:v>including torsade de pointes. Caution should be used when these drugs are co-administered with &lt;GENERIC NAME&gt;. Since &lt;GENERIC NAME&gt; is only a very weak inhibitor of noradrenaline reuptake and does not modify the blood pressure response to tyramine, interference with the hypotensive action of guanethidine - like compounds is unlikely. However, studies in laboratory animals suggest that &lt;GENERIC NAME&gt; may inhibit most of the acute actions of clonidine. In the case of other types of antihypertensive drug, although</x:v>
      </x:c>
      <x:c r="J319" s="37" t="str">
        <x:v>https://drug.fda.moph.go.th/media.php?id=810484413367459840&amp;name=SMPC_Trazodone_Tablets.pdf</x:v>
      </x:c>
    </x:row>
    <x:row r="320">
      <x:c r="A320" s="31" t="str">
        <x:v>colchicine</x:v>
      </x:c>
      <x:c r="B320" s="31" t="str">
        <x:v>erythromycin</x:v>
      </x:c>
      <x:c r="C320" s="31" t="str">
        <x:v>moderate</x:v>
      </x:c>
      <x:c r="D320" s="31" t="str">
        <x:v>eligible</x:v>
      </x:c>
      <x:c r="E320" s="31" t="str">
        <x:v>r0087_smpc</x:v>
      </x:c>
      <x:c r="F320" s="31" t="str">
        <x:v>SMPC</x:v>
      </x:c>
      <x:c r="G320" s="31" t="n">
        <x:v>5</x:v>
      </x:c>
      <x:c r="H320" s="31" t="str">
        <x:v>erythromycin</x:v>
      </x:c>
      <x:c r="I320" s="37" t="str">
        <x:v>ition, substances such as cimetidine and tolbutamide may reduce metabolism of colchicine and thus increase plasma levels of colchicine. Colchicine is a substrate for both CYP3A4 and the transport protein P - gp. In the presence of CYP3A4 or P-gp inhibitors, the concentrations of colchicine in the blood may increase. Toxicity, including fatal cases, have been reported during concurrent use of inhibitors such as macrolides (clarithromycin and erythromycin), ciclosporin, ketoconazole, itraconazole, voriconazole, HIV protease inhibitors, calcium channel antagonists such as verapamil and diltiazem (see section 4.4).</x:v>
      </x:c>
      <x:c r="J320" s="37" t="str">
        <x:v>https://drug.fda.moph.go.th/media.php?id=809692129914920960&amp;name=SMPC_Colchicine_Tablets.pdf</x:v>
      </x:c>
    </x:row>
    <x:row r="321">
      <x:c r="A321" s="31" t="str">
        <x:v>colchicine</x:v>
      </x:c>
      <x:c r="B321" s="31" t="str">
        <x:v>erythromycin</x:v>
      </x:c>
      <x:c r="C321" s="31" t="str">
        <x:v>unclassified</x:v>
      </x:c>
      <x:c r="D321" s="31" t="str">
        <x:v>review</x:v>
      </x:c>
      <x:c r="E321" s="31" t="str">
        <x:v>r0126_smpc</x:v>
      </x:c>
      <x:c r="F321" s="31" t="str">
        <x:v>SMPC</x:v>
      </x:c>
      <x:c r="G321" s="31" t="n">
        <x:v>11</x:v>
      </x:c>
      <x:c r="H321" s="31" t="str">
        <x:v>colchicine</x:v>
      </x:c>
      <x:c r="I321" s="37" t="str">
        <x:v>elevated serum theophylline levels, the dose of theophylline should be reduced while the patient is receiving concomitant erythromycin therapy. There have been published reports suggesting when oral erythromycin is given concurrently with theophylline; there is a significant decrease in erythromy cin serum concentrations. The decrease could result in sub therapeutic concentrations of erythromycin. There have been post-marketing reports of colchicine toxicity with concomitant use of erythromycin and colchicine. Observational data have shown that co -administration of azithromycin with hydroxychloroquine in patients with rheumatoid</x:v>
      </x:c>
      <x:c r="J321" s="37" t="str">
        <x:v>https://drug.fda.moph.go.th/media.php?id=810076416409477120&amp;name=SMPC_Erythromycin_Gastro-resistant tablets.pdf</x:v>
      </x:c>
    </x:row>
    <x:row r="322">
      <x:c r="A322" s="31" t="str">
        <x:v>colchicine</x:v>
      </x:c>
      <x:c r="B322" s="31" t="str">
        <x:v>erythromycin</x:v>
      </x:c>
      <x:c r="C322" s="31" t="str">
        <x:v>unclassified</x:v>
      </x:c>
      <x:c r="D322" s="31" t="str">
        <x:v>review</x:v>
      </x:c>
      <x:c r="E322" s="31" t="str">
        <x:v>r0127_smpc</x:v>
      </x:c>
      <x:c r="F322" s="31" t="str">
        <x:v>SMPC</x:v>
      </x:c>
      <x:c r="G322" s="31" t="n">
        <x:v>11</x:v>
      </x:c>
      <x:c r="H322" s="31" t="str">
        <x:v>colchicine</x:v>
      </x:c>
      <x:c r="I322" s="37" t="str">
        <x:v>There have been post -marketing reports of colchicine toxicity with concomitant use of erythromycin and colchicine. Hypotension, bradyarrhythmias and lactic acidosis have been observed in patients receiving concurrent verapamil, a calcium channel blocker. Cimetidine may inhibit the metabolism of erythromycin which may lead to an increased plasma concentration. Erythromycin has been reported to decrease the clearance of zopiclone and thus may increase the pharmacodynamic effects of this drug.</x:v>
      </x:c>
      <x:c r="J322" s="37" t="str">
        <x:v>https://drug.fda.moph.go.th/media.php?id=810076760694726656&amp;name=SMPC_Erythromycin_film-coated tablets.pdf</x:v>
      </x:c>
    </x:row>
    <x:row r="323">
      <x:c r="A323" s="31" t="str">
        <x:v>colchicine</x:v>
      </x:c>
      <x:c r="B323" s="31" t="str">
        <x:v>gemfibrozil</x:v>
      </x:c>
      <x:c r="C323" s="31" t="str">
        <x:v>unclassified</x:v>
      </x:c>
      <x:c r="D323" s="31" t="str">
        <x:v>review</x:v>
      </x:c>
      <x:c r="E323" s="31" t="str">
        <x:v>r0153_smpc</x:v>
      </x:c>
      <x:c r="F323" s="31" t="str">
        <x:v>SMPC</x:v>
      </x:c>
      <x:c r="G323" s="31" t="n">
        <x:v>12</x:v>
      </x:c>
      <x:c r="H323" s="31" t="str">
        <x:v>colchicine</x:v>
      </x:c>
      <x:c r="I323" s="37" t="str">
        <x:v>sis of plasma bexarotene concentrations in patients with cutaneous T -cell lymphoma (CTCL) indicated that concomitant administration of gemfibrozil resulted in substantial increases in plasma concentrations of bexarotene. Bile acid – binding resins Reduced bioavailability of gemfibrozil may result when given simultaneously with resin -granule drugs such as colestipol. Administration of the products two hours or more apart is recommended. Colchicine Risk of myopathy and rhabdomyolysis may be increased with concomitant administration of colchicine and gemfibrozil. This risk may be increased in the elderly and in patients with hepatic or renal dysfunction. Clinical and biological monitoring are recommen ded, especially at the start of combined treatment. Gemfibrozil is highly bound to plasma proteins and there is potential for displacement interactions with other drugs.</x:v>
      </x:c>
      <x:c r="J323" s="37" t="str">
        <x:v>https://drug.fda.moph.go.th/media.php?id=810174072020410368&amp;name=SMPC_Gemfibrozil_hard capsule.pdf</x:v>
      </x:c>
    </x:row>
    <x:row r="324">
      <x:c r="A324" s="31" t="str">
        <x:v>colchicine</x:v>
      </x:c>
      <x:c r="B324" s="31" t="str">
        <x:v>itraconazole</x:v>
      </x:c>
      <x:c r="C324" s="31" t="str">
        <x:v>moderate</x:v>
      </x:c>
      <x:c r="D324" s="31" t="str">
        <x:v>eligible</x:v>
      </x:c>
      <x:c r="E324" s="31" t="str">
        <x:v>r0087_smpc</x:v>
      </x:c>
      <x:c r="F324" s="31" t="str">
        <x:v>SMPC</x:v>
      </x:c>
      <x:c r="G324" s="31" t="n">
        <x:v>5</x:v>
      </x:c>
      <x:c r="H324" s="31" t="str">
        <x:v>itraconazole</x:v>
      </x:c>
      <x:c r="I324" s="37" t="str">
        <x:v>lbutamide may reduce metabolism of colchicine and thus increase plasma levels of colchicine. Colchicine is a substrate for both CYP3A4 and the transport protein P - gp. In the presence of CYP3A4 or P-gp inhibitors, the concentrations of colchicine in the blood may increase. Toxicity, including fatal cases, have been reported during concurrent use of inhibitors such as macrolides (clarithromycin and erythromycin), ciclosporin, ketoconazole, itraconazole, voriconazole, HIV protease inhibitors, calcium channel antagonists such as verapamil and diltiazem (see section 4.4).</x:v>
      </x:c>
      <x:c r="J324" s="37" t="str">
        <x:v>https://drug.fda.moph.go.th/media.php?id=809692129914920960&amp;name=SMPC_Colchicine_Tablets.pdf</x:v>
      </x:c>
    </x:row>
    <x:row r="325">
      <x:c r="A325" s="31" t="str">
        <x:v>colchicine</x:v>
      </x:c>
      <x:c r="B325" s="31" t="str">
        <x:v>ketoconazole</x:v>
      </x:c>
      <x:c r="C325" s="31" t="str">
        <x:v>moderate</x:v>
      </x:c>
      <x:c r="D325" s="31" t="str">
        <x:v>eligible</x:v>
      </x:c>
      <x:c r="E325" s="31" t="str">
        <x:v>r0087_smpc</x:v>
      </x:c>
      <x:c r="F325" s="31" t="str">
        <x:v>SMPC</x:v>
      </x:c>
      <x:c r="G325" s="31" t="n">
        <x:v>5</x:v>
      </x:c>
      <x:c r="H325" s="31" t="str">
        <x:v>ketoconazole</x:v>
      </x:c>
      <x:c r="I325" s="37" t="str">
        <x:v>etidine and tolbutamide may reduce metabolism of colchicine and thus increase plasma levels of colchicine. Colchicine is a substrate for both CYP3A4 and the transport protein P - gp. In the presence of CYP3A4 or P-gp inhibitors, the concentrations of colchicine in the blood may increase. Toxicity, including fatal cases, have been reported during concurrent use of inhibitors such as macrolides (clarithromycin and erythromycin), ciclosporin, ketoconazole, itraconazole, voriconazole, HIV protease inhibitors, calcium channel antagonists such as verapamil and diltiazem (see section 4.4).</x:v>
      </x:c>
      <x:c r="J325" s="37" t="str">
        <x:v>https://drug.fda.moph.go.th/media.php?id=809692129914920960&amp;name=SMPC_Colchicine_Tablets.pdf</x:v>
      </x:c>
    </x:row>
    <x:row r="326">
      <x:c r="A326" s="31" t="str">
        <x:v>colchicine</x:v>
      </x:c>
      <x:c r="B326" s="31" t="str">
        <x:v>prazosin</x:v>
      </x:c>
      <x:c r="C326" s="31" t="str">
        <x:v>unclassified</x:v>
      </x:c>
      <x:c r="D326" s="31" t="str">
        <x:v>review</x:v>
      </x:c>
      <x:c r="E326" s="31" t="str">
        <x:v>r0289_smpc</x:v>
      </x:c>
      <x:c r="F326" s="31" t="str">
        <x:v>SMPC</x:v>
      </x:c>
      <x:c r="G326" s="31" t="n">
        <x:v>8</x:v>
      </x:c>
      <x:c r="H326" s="31" t="str">
        <x:v>colchicine</x:v>
      </x:c>
      <x:c r="I326" s="37" t="str">
        <x:v>al products and other forms of interaction Prazosin hydrochloride has been administered without any adverse drug interaction in clinical experience to date with the following: Cardiac glycosides: digitalis and digoxin. Hypoglycaemic agents: insulin, chlorpropamide, phenformin, tolazamide and tolbutamide. Tranquillizers and sedatives: chlordiazapoxide, diazepam and phenobarbital. Agents for treatment of gout: allopurinol, colchicine and probenecid. Anti-arrhythmic agents: procainamide and quinidine. Analgesic, antipyretic and anti-inflammatory agents: dextropropoxyphene, aspirin, indomethacin and phenylbutazone. There is evidence that adding prazosin hydrochloride to beta-adrenergic antagonist or calcium antagonist therapy may produce a substantial reduction in blood pressure. Therefore the low initial dosage regimen is recommended. PDE-5 Inhibitors:</x:v>
      </x:c>
      <x:c r="J326" s="37" t="str">
        <x:v>https://drug.fda.moph.go.th/media.php?id=810438580303437824&amp;name=SMPC_Prazosin_Tablets.pdf</x:v>
      </x:c>
    </x:row>
    <x:row r="327">
      <x:c r="A327" s="31" t="str">
        <x:v>cyanocobalamin</x:v>
      </x:c>
      <x:c r="B327" s="31" t="str">
        <x:v>methyldopa</x:v>
      </x:c>
      <x:c r="C327" s="31" t="str">
        <x:v>unclassified</x:v>
      </x:c>
      <x:c r="D327" s="31" t="str">
        <x:v>review</x:v>
      </x:c>
      <x:c r="E327" s="31" t="str">
        <x:v>r0090_smpc</x:v>
      </x:c>
      <x:c r="F327" s="31" t="str">
        <x:v>SMPC</x:v>
      </x:c>
      <x:c r="G327" s="31" t="n">
        <x:v>3</x:v>
      </x:c>
      <x:c r="H327" s="31" t="str">
        <x:v>methyldopa</x:v>
      </x:c>
      <x:c r="I327" s="37" t="str">
        <x:v>1 Ref: Cytacon, MHRA, date 21/07/2021 3 4.5. Interaction with other medicinal products and other forms of interaction Absorption may be reduced by Para -aminosalicylic acid, colchinine, biguanides, neomycin, cholestyramine, potassium chloride, methyldopa, and cimetidine. Patients treated with chloramphenicol may respond poorly to this medicine. Serum levels of this medicine may be lowered by oral contraceptives. These interactions are unlikely to have clinical significance. Anti-metabolities and most antibiotics invalidate vitamins B12 assays by microbiological techniques. 4.6. Fertility, pregnancy and lactation Pregnancy This medicine should not be used to treat megalob</x:v>
      </x:c>
      <x:c r="J327" s="37" t="str">
        <x:v>https://drug.fda.moph.go.th/media.php?id=809692799212593152&amp;name=SMPC_Cyanocobalamin_Tablets.pdf</x:v>
      </x:c>
    </x:row>
    <x:row r="328">
      <x:c r="A328" s="31" t="str">
        <x:v>cyanocobalamin</x:v>
      </x:c>
      <x:c r="B328" s="31" t="str">
        <x:v>omeprazole</x:v>
      </x:c>
      <x:c r="C328" s="31" t="str">
        <x:v>unclassified</x:v>
      </x:c>
      <x:c r="D328" s="31" t="str">
        <x:v>review</x:v>
      </x:c>
      <x:c r="E328" s="31" t="str">
        <x:v>r0262_smpc</x:v>
      </x:c>
      <x:c r="F328" s="31" t="str">
        <x:v>SMPC</x:v>
      </x:c>
      <x:c r="G328" s="31" t="n">
        <x:v>8</x:v>
      </x:c>
      <x:c r="H328" s="31" t="str">
        <x:v>cyanocobalamin</x:v>
      </x:c>
      <x:c r="I328" s="37" t="str">
        <x:v>1 Ref:Losec 20 mg, MHRA, 10/04/2024 8 proton pump inhibitor is judged unavoidable, close clinical monitoring (e.g virus load) is recommended in combination with an increase in the dose of atazanavir to 400 mg with 100 mg of ritonavir; omeprazole 20 mg should not be exceeded. Omeprazole, as all acid-blocking medicines, may reduce the absorption of vitamin B12 (cyanocobalamin) due to hypo - or achlorhydria. This should be considered in patients with reduced body stores or risk factors for reduced vitamin B12 absorption on long-term therapy. Omeprazole is a CYP2C19 inhibitor. When starting or ending treatment with omeprazole, the potential for interactions with drugs metabolised through CYP2C19 should be considered. An interaction is observed between clopidogrel and omeprazole (see section 4.5 ). The clinical r</x:v>
      </x:c>
      <x:c r="J328" s="37" t="str">
        <x:v>https://drug.fda.moph.go.th/media.php?id=810426319253938176&amp;name=SMPC_Omeprazole_Hard Gastro-resistant Capsule.pdf</x:v>
      </x:c>
    </x:row>
    <x:row r="329">
      <x:c r="A329" s="31" t="str">
        <x:v>cyanocobalamin</x:v>
      </x:c>
      <x:c r="B329" s="31" t="str">
        <x:v>omeprazole</x:v>
      </x:c>
      <x:c r="C329" s="31" t="str">
        <x:v>moderate</x:v>
      </x:c>
      <x:c r="D329" s="31" t="str">
        <x:v>eligible</x:v>
      </x:c>
      <x:c r="E329" s="31" t="str">
        <x:v>r0435_smpc</x:v>
      </x:c>
      <x:c r="F329" s="31" t="str">
        <x:v>SMPC</x:v>
      </x:c>
      <x:c r="G329" s="31" t="n">
        <x:v>3</x:v>
      </x:c>
      <x:c r="H329" s="31" t="str">
        <x:v>cyanocobalamin</x:v>
      </x:c>
      <x:c r="I329" s="37" t="str">
        <x:v>atazanavir with proton pump inhibitors is not recommended (see section 4.5). If the combination of atazanavir with a proton pump inhibitor is judged unavoidable, close clinical monitoring (e.g virus load) is recommended in combination with an increase in the dose of atazanavir to 400 mg with 100 mg of ritonavir; omeprazole 20 mg should not be exceeded. Omeprazole, as all acid-blocking medicines, may reduce the absorption of vitamin B12 (cyanocobalamin) due to hypo- or achlorhydria. This should be considered in patients with reduced body stores or risk factors for reduced vitamin B12absorption on long-term therapy.</x:v>
      </x:c>
      <x:c r="J329" s="37" t="str">
        <x:v>https://drug.fda.moph.go.th/media.php?id=904966130538520576&amp;name=3. Ref SmPC_Omeprazole.pdf</x:v>
      </x:c>
    </x:row>
    <x:row r="330">
      <x:c r="A330" s="31" t="str">
        <x:v>cyanocobalamin</x:v>
      </x:c>
      <x:c r="B330" s="31" t="str">
        <x:v>potassium_chloride</x:v>
      </x:c>
      <x:c r="C330" s="31" t="str">
        <x:v>unclassified</x:v>
      </x:c>
      <x:c r="D330" s="31" t="str">
        <x:v>review</x:v>
      </x:c>
      <x:c r="E330" s="31" t="str">
        <x:v>r0090_smpc</x:v>
      </x:c>
      <x:c r="F330" s="31" t="str">
        <x:v>SMPC</x:v>
      </x:c>
      <x:c r="G330" s="31" t="n">
        <x:v>3</x:v>
      </x:c>
      <x:c r="H330" s="31" t="str">
        <x:v>potassium chloride</x:v>
      </x:c>
      <x:c r="I330" s="37" t="str">
        <x:v>1 Ref: Cytacon, MHRA, date 21/07/2021 3 4.5. Interaction with other medicinal products and other forms of interaction Absorption may be reduced by Para -aminosalicylic acid, colchinine, biguanides, neomycin, cholestyramine, potassium chloride, methyldopa, and cimetidine. Patients treated with chloramphenicol may respond poorly to this medicine. Serum levels of this medicine may be lowered by oral contraceptives. These interactions are unlikely to have clinical significance. Anti-metabolities and most antibiotics invalidate vitamins B12 assays by microbiological techniques. 4.6. Fertility, pregnancy and lactation Pregnancy This medicine should not be used to t</x:v>
      </x:c>
      <x:c r="J330" s="37" t="str">
        <x:v>https://drug.fda.moph.go.th/media.php?id=809692799212593152&amp;name=SMPC_Cyanocobalamin_Tablets.pdf</x:v>
      </x:c>
    </x:row>
    <x:row r="331">
      <x:c r="A331" s="31" t="str">
        <x:v>cyclophosphamide</x:v>
      </x:c>
      <x:c r="B331" s="31" t="str">
        <x:v>digoxin</x:v>
      </x:c>
      <x:c r="C331" s="31" t="str">
        <x:v>unclassified</x:v>
      </x:c>
      <x:c r="D331" s="31" t="str">
        <x:v>review</x:v>
      </x:c>
      <x:c r="E331" s="31" t="str">
        <x:v>r0091_smpc</x:v>
      </x:c>
      <x:c r="F331" s="31" t="str">
        <x:v>SMPC</x:v>
      </x:c>
      <x:c r="G331" s="31" t="n">
        <x:v>18</x:v>
      </x:c>
      <x:c r="H331" s="31" t="str">
        <x:v>digoxin</x:v>
      </x:c>
      <x:c r="I331" s="37" t="str">
        <x:v>ease (GVHD). • Depolarising muscle relaxants Cyclophosphamide treatment causes a marked and persistent inhibition of cholinesterase activity. Prolonged apnoea may occur with concurrent depolarizing muscle relaxants (e.g. succinylcholine, suxamethonium) as a result of a decreased pseudocholinesterase level. If a patient has been treated with cyclophosphamide within 10 days of general anaesthesia, the anaesthesiologist should be alerted. • Digoxin, β - acetyldigoxin</x:v>
      </x:c>
      <x:c r="J331" s="37" t="str">
        <x:v>https://drug.fda.moph.go.th/media.php?id=809693226402455552&amp;name=SMPC_Cyclophosphamide_Powders for solutions for injections or infusions.pdf</x:v>
      </x:c>
    </x:row>
    <x:row r="332">
      <x:c r="A332" s="31" t="str">
        <x:v>cyclophosphamide</x:v>
      </x:c>
      <x:c r="B332" s="31" t="str">
        <x:v>digoxin</x:v>
      </x:c>
      <x:c r="C332" s="31" t="str">
        <x:v>unclassified</x:v>
      </x:c>
      <x:c r="D332" s="31" t="str">
        <x:v>review</x:v>
      </x:c>
      <x:c r="E332" s="31" t="str">
        <x:v>r0091_smpc</x:v>
      </x:c>
      <x:c r="F332" s="31" t="str">
        <x:v>SMPC</x:v>
      </x:c>
      <x:c r="G332" s="31" t="n">
        <x:v>19</x:v>
      </x:c>
      <x:c r="H332" s="31" t="str">
        <x:v>digoxin</x:v>
      </x:c>
      <x:c r="I332" s="37" t="str">
        <x:v>1 Ref: Cyclophosphamide, MHRA, 19/03/2021 19 Impaired absorption of digoxin and β -acetyldigoxin tablets have been reported during a concomitant cytotoxic treatment • Vaccines The immunosuppressive effects of cyclophosphamide can be expected to reduce the response to vaccination. Use of live vaccines may lead to vaccine-induced infection. • Verapamil Impaired intestinal absorption of orally administered verapamil has been reported. • Sulfonylurea derivatives Blood sugar levels may drop, if cyclophosphamide and</x:v>
      </x:c>
      <x:c r="J332" s="37" t="str">
        <x:v>https://drug.fda.moph.go.th/media.php?id=809693226402455552&amp;name=SMPC_Cyclophosphamide_Powders for solutions for injections or infusions.pdf</x:v>
      </x:c>
    </x:row>
    <x:row r="333">
      <x:c r="A333" s="31" t="str">
        <x:v>cyclophosphamide</x:v>
      </x:c>
      <x:c r="B333" s="31" t="str">
        <x:v>disulfiram</x:v>
      </x:c>
      <x:c r="C333" s="31" t="str">
        <x:v>unclassified</x:v>
      </x:c>
      <x:c r="D333" s="31" t="str">
        <x:v>review</x:v>
      </x:c>
      <x:c r="E333" s="31" t="str">
        <x:v>r0091_smpc</x:v>
      </x:c>
      <x:c r="F333" s="31" t="str">
        <x:v>SMPC</x:v>
      </x:c>
      <x:c r="G333" s="31" t="n">
        <x:v>15</x:v>
      </x:c>
      <x:c r="H333" s="31" t="str">
        <x:v>disulfiram</x:v>
      </x:c>
      <x:c r="I333" s="37" t="str">
        <x:v>phamide AUC. - Grapefruit (fruit or juice), Rifampicin, St. Johns worth: Co - administration with CYP3A4 Inhibitors or Inducers can reduce the efficacy or increase the toxicity of cyclophosphamide. • An increase of the concentration of cytotoxic metabolites may occur with: - Allopurinol: an increase of bone marrow suppression was reported. - Azathioprine: increased risk of hepatotoxicity (liver necrosis) - Chloral hydrate - Cimetidine - Disulfiram - Glyceraldehyde - Protease inhibitors: concomitant use of protease inhibitors may increase the concentration of cytotoxic metabolites. Use of protease inhibitor-based regimens was found to be associated with a higher incidence of infections and neutropenia in patients rec eiving</x:v>
      </x:c>
      <x:c r="J333" s="37" t="str">
        <x:v>https://drug.fda.moph.go.th/media.php?id=809693226402455552&amp;name=SMPC_Cyclophosphamide_Powders for solutions for injections or infusions.pdf</x:v>
      </x:c>
    </x:row>
    <x:row r="334">
      <x:c r="A334" s="31" t="str">
        <x:v>cyclophosphamide</x:v>
      </x:c>
      <x:c r="B334" s="31" t="str">
        <x:v>doxorubicin</x:v>
      </x:c>
      <x:c r="C334" s="31" t="str">
        <x:v>unclassified</x:v>
      </x:c>
      <x:c r="D334" s="31" t="str">
        <x:v>review</x:v>
      </x:c>
      <x:c r="E334" s="31" t="str">
        <x:v>r0091_smpc</x:v>
      </x:c>
      <x:c r="F334" s="31" t="str">
        <x:v>SMPC</x:v>
      </x:c>
      <x:c r="G334" s="31" t="n">
        <x:v>16</x:v>
      </x:c>
      <x:c r="H334" s="31" t="str">
        <x:v>doxorubicin</x:v>
      </x:c>
      <x:c r="I334" s="37" t="str">
        <x:v>1 Ref: Cyclophosphamide, MHRA, 19/03/2021 16 cyclophosphamide, doxorubicin, and etoposide (CDE) than use of an NNRTI-based regimen. Increased incidence of mucositis is reported in combined therapy of cyclophosphamide (CDE) and saquinavir - Inducers of human hepatic and extrahepatic microsomal enzymes (e.g., cytochrome P450 enzymes): The potential for hepatic and extrahepatic microsomal enzyme induction must be considered in case of prior or concomitant treatment with substances known to in duce an increased acti</x:v>
      </x:c>
      <x:c r="J334" s="37" t="str">
        <x:v>https://drug.fda.moph.go.th/media.php?id=809693226402455552&amp;name=SMPC_Cyclophosphamide_Powders for solutions for injections or infusions.pdf</x:v>
      </x:c>
    </x:row>
    <x:row r="335">
      <x:c r="A335" s="31" t="str">
        <x:v>cyclophosphamide</x:v>
      </x:c>
      <x:c r="B335" s="31" t="str">
        <x:v>glucose</x:v>
      </x:c>
      <x:c r="C335" s="31" t="str">
        <x:v>unclassified</x:v>
      </x:c>
      <x:c r="D335" s="31" t="str">
        <x:v>review</x:v>
      </x:c>
      <x:c r="E335" s="31" t="str">
        <x:v>r0163_smpc</x:v>
      </x:c>
      <x:c r="F335" s="31" t="str">
        <x:v>SMPC</x:v>
      </x:c>
      <x:c r="G335" s="31" t="n">
        <x:v>4</x:v>
      </x:c>
      <x:c r="H335" s="31" t="str">
        <x:v>cyclophosphamide</x:v>
      </x:c>
      <x:c r="I335" s="37" t="str">
        <x:v>d increase the risk of hospital acquired hyponatraemia following inappropriately balanced treatment with i.v. fluids (see sections 4.2, 4.4 and 4.8). • Drugs stimulating vasopressin release, e.g.: Chlorpropamide, clofibrate, carbamazepine, vincristine, selective serotonin reuptake inhibitors, 3.4 -methylenedioxy-N-methamphetamine, ifosfamide, antipsychotics, narcotics • Drugs potentiating vasopressin action, e.g.: Chlorpropamide, NSAIDs, cyclophosphamide • Vasopressin analogues, e.g.: Desmopressin, oxytocin, vasopressin, terlipressin Other medicinal products increasing the risk of hyponatraemia also include diuretics in general and antiepileptics such as oxcarbazepine. Confirm additive compatibility before use. See section 6.2 Incompatibilities. 4.6. Fertility, pregnancy and lactation It is particularly important to avoid maternal hyperglycaemia during intravenous glucose infusion in th</x:v>
      </x:c>
      <x:c r="J335" s="37" t="str">
        <x:v>https://drug.fda.moph.go.th/media.php?id=810178343201808384&amp;name=SMPC_Glucose_10_Solution for Infusion.pdf</x:v>
      </x:c>
    </x:row>
    <x:row r="336">
      <x:c r="A336" s="31" t="str">
        <x:v>cyclophosphamide</x:v>
      </x:c>
      <x:c r="B336" s="31" t="str">
        <x:v>indomethacin</x:v>
      </x:c>
      <x:c r="C336" s="31" t="str">
        <x:v>unclassified</x:v>
      </x:c>
      <x:c r="D336" s="31" t="str">
        <x:v>review</x:v>
      </x:c>
      <x:c r="E336" s="31" t="str">
        <x:v>r0091_smpc</x:v>
      </x:c>
      <x:c r="F336" s="31" t="str">
        <x:v>SMPC</x:v>
      </x:c>
      <x:c r="G336" s="31" t="n">
        <x:v>17</x:v>
      </x:c>
      <x:c r="H336" s="31" t="str">
        <x:v>indomethacin</x:v>
      </x:c>
      <x:c r="I336" s="37" t="str">
        <x:v>ed effect of cyclophosphamide and, for example - Amiodarone - G-CSF, GM-CSF (granulocyte colony-stimulating factor, granulocyte macrophage colony -stimulating factor): reports suggest an increased risk of pulmonary toxicity in patients treated with cytotoxic chemotherapy that includes cyclophosphamide and G-CSF or GMCSF. • Increased nephrotoxicity may result from a combined effect of cyclophosphamide and, for example - Amphotericin B - Indomethacin: acute water intoxication has been reported with concomitant use of indomethacin. Other interactions • Alcohol A reduced antitumor activity was observed in tumour -bearing animals during ethanol (alcohol) consumption and concomitant oral low -dose cyclophosphamide medication. In some patients, alcohol may increase cyclophosphamide-induced vomiting and nausea. • Etanercept In patients with Wegener's granulomatosis, the addition of etaner</x:v>
      </x:c>
      <x:c r="J336" s="37" t="str">
        <x:v>https://drug.fda.moph.go.th/media.php?id=809693226402455552&amp;name=SMPC_Cyclophosphamide_Powders for solutions for injections or infusions.pdf</x:v>
      </x:c>
    </x:row>
    <x:row r="337">
      <x:c r="A337" s="31" t="str">
        <x:v>cyclophosphamide</x:v>
      </x:c>
      <x:c r="B337" s="31" t="str">
        <x:v>itraconazole</x:v>
      </x:c>
      <x:c r="C337" s="31" t="str">
        <x:v>unclassified</x:v>
      </x:c>
      <x:c r="D337" s="31" t="str">
        <x:v>review</x:v>
      </x:c>
      <x:c r="E337" s="31" t="str">
        <x:v>r0091_smpc</x:v>
      </x:c>
      <x:c r="F337" s="31" t="str">
        <x:v>SMPC</x:v>
      </x:c>
      <x:c r="G337" s="31" t="n">
        <x:v>15</x:v>
      </x:c>
      <x:c r="H337" s="31" t="str">
        <x:v>itraconazole</x:v>
      </x:c>
      <x:c r="I337" s="37" t="str">
        <x:v>1 Ref: Cyclophosphamide, MHRA, 19/03/2021 15 - Azole-antimycotics (Fluconazole, Itraconazole): Azole -antimycotics are known to inhibit cytochrome P450 enzymes. Increased amounts of toxic degradation products of cyclophosphamide have been reported in combination with Itraconazole. - CYP2B6 and CYP3A4 inhibitors (Nevirapin, Ritonavir): co - administration may reduce the efficacy of cyclophosphamide - Prasugrel - Sulfonamides, e.g. sulfadiazine, sulfamethoxazoel and sulfapyridine - Thiotepa: a strong inhibition of cyclophosphamide bioactivation by thiotepa in high -dose chemotherapy regimens has been reported when thiotepa was administered 1 hour prior to cyclophosphamide. - Ondansetron: There have been reports of a</x:v>
      </x:c>
      <x:c r="J337" s="37" t="str">
        <x:v>https://drug.fda.moph.go.th/media.php?id=809693226402455552&amp;name=SMPC_Cyclophosphamide_Powders for solutions for injections or infusions.pdf</x:v>
      </x:c>
    </x:row>
    <x:row r="338">
      <x:c r="A338" s="31" t="str">
        <x:v>cyclophosphamide</x:v>
      </x:c>
      <x:c r="B338" s="31" t="str">
        <x:v>metronidazole</x:v>
      </x:c>
      <x:c r="C338" s="31" t="str">
        <x:v>unclassified</x:v>
      </x:c>
      <x:c r="D338" s="31" t="str">
        <x:v>review</x:v>
      </x:c>
      <x:c r="E338" s="31" t="str">
        <x:v>r0091_smpc</x:v>
      </x:c>
      <x:c r="F338" s="31" t="str">
        <x:v>SMPC</x:v>
      </x:c>
      <x:c r="G338" s="31" t="n">
        <x:v>17</x:v>
      </x:c>
      <x:c r="H338" s="31" t="str">
        <x:v>metronidazole</x:v>
      </x:c>
      <x:c r="I338" s="37" t="str">
        <x:v>ctivity was observed in tumour -bearing animals during ethanol (alcohol) consumption and concomitant oral low -dose cyclophosphamide medication. In some patients, alcohol may increase cyclophosphamide-induced vomiting and nausea. • Etanercept In patients with Wegener's granulomatosis, the addition of etanercept to standard treatment, including cyclophosphamide, was associated with a higher incidence of non-cutaneous solid malignancies. • Metronidazole</x:v>
      </x:c>
      <x:c r="J338" s="37" t="str">
        <x:v>https://drug.fda.moph.go.th/media.php?id=809693226402455552&amp;name=SMPC_Cyclophosphamide_Powders for solutions for injections or infusions.pdf</x:v>
      </x:c>
    </x:row>
    <x:row r="339">
      <x:c r="A339" s="31" t="str">
        <x:v>cyclophosphamide</x:v>
      </x:c>
      <x:c r="B339" s="31" t="str">
        <x:v>metronidazole</x:v>
      </x:c>
      <x:c r="C339" s="31" t="str">
        <x:v>unclassified</x:v>
      </x:c>
      <x:c r="D339" s="31" t="str">
        <x:v>review</x:v>
      </x:c>
      <x:c r="E339" s="31" t="str">
        <x:v>r0091_smpc</x:v>
      </x:c>
      <x:c r="F339" s="31" t="str">
        <x:v>SMPC</x:v>
      </x:c>
      <x:c r="G339" s="31" t="n">
        <x:v>18</x:v>
      </x:c>
      <x:c r="H339" s="31" t="str">
        <x:v>metronidazole</x:v>
      </x:c>
      <x:c r="I339" s="37" t="str">
        <x:v>1 Ref: Cyclophosphamide, MHRA, 19/03/2021 18 Acute encephalopathy has been reported in a patient receiving cyclophosphamide and metronidazole. Causal association is unclear. In an animal study, the combination of cyclophosphamide with metronidazole was associated with increased cyclophosphamide toxicity. • Tamoxifen Concomitant use of tamoxifen and chemotherapy may increase the risk of thromboembolic complications. Interactions Affecting the Pharmacokinetics and/or Actions of Other Drugs • Bupropion Cyclophosphamide metabolism by CYP2B6 may inhibit bupropion metabolism. •</x:v>
      </x:c>
      <x:c r="J339" s="37" t="str">
        <x:v>https://drug.fda.moph.go.th/media.php?id=809693226402455552&amp;name=SMPC_Cyclophosphamide_Powders for solutions for injections or infusions.pdf</x:v>
      </x:c>
    </x:row>
    <x:row r="340">
      <x:c r="A340" s="31" t="str">
        <x:v>cyclophosphamide</x:v>
      </x:c>
      <x:c r="B340" s="31" t="str">
        <x:v>rifampicin</x:v>
      </x:c>
      <x:c r="C340" s="31" t="str">
        <x:v>unclassified</x:v>
      </x:c>
      <x:c r="D340" s="31" t="str">
        <x:v>review</x:v>
      </x:c>
      <x:c r="E340" s="31" t="str">
        <x:v>r0091_smpc</x:v>
      </x:c>
      <x:c r="F340" s="31" t="str">
        <x:v>SMPC</x:v>
      </x:c>
      <x:c r="G340" s="31" t="n">
        <x:v>15</x:v>
      </x:c>
      <x:c r="H340" s="31" t="str">
        <x:v>rifampicin</x:v>
      </x:c>
      <x:c r="I340" s="37" t="str">
        <x:v>fadiazine, sulfamethoxazoel and sulfapyridine - Thiotepa: a strong inhibition of cyclophosphamide bioactivation by thiotepa in high -dose chemotherapy regimens has been reported when thiotepa was administered 1 hour prior to cyclophosphamide. - Ondansetron: There have been reports of a pharmacokinetic interaction between ondansetron and high -dose cyclophosphamide resulting in decreased cyclophosphamide AUC. - Grapefruit (fruit or juice), Rifampicin, St. Johns worth: Co - administration with CYP3A4 Inhibitors or Inducers can reduce the efficacy or increase the toxicity of cyclophosphamide. • An increase of the concentration of cytotoxic metabolites may occur with: - Allopurinol: an increase of bone marrow suppression was reported. - Azathioprine: increased risk of hepatotoxicity (liver necrosis) - Chloral hydrate - Cimetidine - Disulfiram - Glyceraldehyde - Protease inhibitors: co</x:v>
      </x:c>
      <x:c r="J340" s="37" t="str">
        <x:v>https://drug.fda.moph.go.th/media.php?id=809693226402455552&amp;name=SMPC_Cyclophosphamide_Powders for solutions for injections or infusions.pdf</x:v>
      </x:c>
    </x:row>
    <x:row r="341">
      <x:c r="A341" s="31" t="str">
        <x:v>cyclophosphamide</x:v>
      </x:c>
      <x:c r="B341" s="31" t="str">
        <x:v>tamoxifen</x:v>
      </x:c>
      <x:c r="C341" s="31" t="str">
        <x:v>unclassified</x:v>
      </x:c>
      <x:c r="D341" s="31" t="str">
        <x:v>review</x:v>
      </x:c>
      <x:c r="E341" s="31" t="str">
        <x:v>r0091_smpc</x:v>
      </x:c>
      <x:c r="F341" s="31" t="str">
        <x:v>SMPC</x:v>
      </x:c>
      <x:c r="G341" s="31" t="n">
        <x:v>18</x:v>
      </x:c>
      <x:c r="H341" s="31" t="str">
        <x:v>tamoxifen</x:v>
      </x:c>
      <x:c r="I341" s="37" t="str">
        <x:v>1 Ref: Cyclophosphamide, MHRA, 19/03/2021 18 Acute encephalopathy has been reported in a patient receiving cyclophosphamide and metronidazole. Causal association is unclear. In an animal study, the combination of cyclophosphamide with metronidazole was associated with increased cyclophosphamide toxicity. • Tamoxifen Concomitant use of tamoxifen and chemotherapy may increase the risk of thromboembolic complications. Interactions Affecting the Pharmacokinetics and/or Actions of Other Drugs • Bupropion Cyclophosphamide metabolism by CYP2B6 may inhibit bupropion metabolism. • Coumarins Both increased and decreased warfarin effects have been reported in patients receiving warfarin and cyclophosphamide. • Cyclosporine Lower serum concentrations of cyc</x:v>
      </x:c>
      <x:c r="J341" s="37" t="str">
        <x:v>https://drug.fda.moph.go.th/media.php?id=809693226402455552&amp;name=SMPC_Cyclophosphamide_Powders for solutions for injections or infusions.pdf</x:v>
      </x:c>
    </x:row>
    <x:row r="342">
      <x:c r="A342" s="31" t="str">
        <x:v>cyclophosphamide</x:v>
      </x:c>
      <x:c r="B342" s="31" t="str">
        <x:v>verapamil</x:v>
      </x:c>
      <x:c r="C342" s="31" t="str">
        <x:v>unclassified</x:v>
      </x:c>
      <x:c r="D342" s="31" t="str">
        <x:v>review</x:v>
      </x:c>
      <x:c r="E342" s="31" t="str">
        <x:v>r0091_smpc</x:v>
      </x:c>
      <x:c r="F342" s="31" t="str">
        <x:v>SMPC</x:v>
      </x:c>
      <x:c r="G342" s="31" t="n">
        <x:v>19</x:v>
      </x:c>
      <x:c r="H342" s="31" t="str">
        <x:v>verapamil</x:v>
      </x:c>
      <x:c r="I342" s="37" t="str">
        <x:v>1 Ref: Cyclophosphamide, MHRA, 19/03/2021 19 Impaired absorption of digoxin and β -acetyldigoxin tablets have been reported during a concomitant cytotoxic treatment • Vaccines The immunosuppressive effects of cyclophosphamide can be expected to reduce the response to vaccination. Use of live vaccines may lead to vaccine-induced infection. • Verapamil Impaired intestinal absorption of orally administered verapamil has been reported. • Sulfonylurea derivatives Blood sugar levels may drop, if cyclophosphamide and sulfonylurea derivatives are used concomitantly. 4.6. Fertility, pregnancy and lactation Women of childbearing potential Girls treated with cyclophosphamide during pre -pubescence generally develop secondary sexual characteristics normally and have regular menses. Girls trea</x:v>
      </x:c>
      <x:c r="J342" s="37" t="str">
        <x:v>https://drug.fda.moph.go.th/media.php?id=809693226402455552&amp;name=SMPC_Cyclophosphamide_Powders for solutions for injections or infusions.pdf</x:v>
      </x:c>
    </x:row>
    <x:row r="343">
      <x:c r="A343" s="31" t="str">
        <x:v>cyclophosphamide</x:v>
      </x:c>
      <x:c r="B343" s="31" t="str">
        <x:v>zidovudine</x:v>
      </x:c>
      <x:c r="C343" s="31" t="str">
        <x:v>unclassified</x:v>
      </x:c>
      <x:c r="D343" s="31" t="str">
        <x:v>review</x:v>
      </x:c>
      <x:c r="E343" s="31" t="str">
        <x:v>r0091_smpc</x:v>
      </x:c>
      <x:c r="F343" s="31" t="str">
        <x:v>SMPC</x:v>
      </x:c>
      <x:c r="G343" s="31" t="n">
        <x:v>16</x:v>
      </x:c>
      <x:c r="H343" s="31" t="str">
        <x:v>zidovudine</x:v>
      </x:c>
      <x:c r="I343" s="37" t="str">
        <x:v>creased) toxic effects. • Increased hematotoxicity and/or immunosuppression may result from a combined effect of cyclophosphamideand, for example - ACE inhibitors: ACE inhibitors can cause leukopenia. - Natalizumab - Paclitaxel: Increased hematotoxicity has been reported when cyclophosphamide was administered after paclitaxel infusion. - Thiazide diuretics (e.g. hydrochlorthiazide): An increase of bone marrow suppression was reported. - Zidovudine - Clozapine • Increased cardiotoxicity may result from a combined effect of cyclophosphamide and, for example - Anthracyclines - Mitomycin</x:v>
      </x:c>
      <x:c r="J343" s="37" t="str">
        <x:v>https://drug.fda.moph.go.th/media.php?id=809693226402455552&amp;name=SMPC_Cyclophosphamide_Powders for solutions for injections or infusions.pdf</x:v>
      </x:c>
    </x:row>
    <x:row r="344">
      <x:c r="A344" s="31" t="str">
        <x:v>cyproheptadine</x:v>
      </x:c>
      <x:c r="B344" s="31" t="str">
        <x:v>fluoxetine</x:v>
      </x:c>
      <x:c r="C344" s="31" t="str">
        <x:v>unclassified</x:v>
      </x:c>
      <x:c r="D344" s="31" t="str">
        <x:v>review</x:v>
      </x:c>
      <x:c r="E344" s="31" t="str">
        <x:v>r0149_smpc</x:v>
      </x:c>
      <x:c r="F344" s="31" t="str">
        <x:v>SMPC</x:v>
      </x:c>
      <x:c r="G344" s="31" t="n">
        <x:v>7</x:v>
      </x:c>
      <x:c r="H344" s="31" t="str">
        <x:v>cyproheptadine</x:v>
      </x:c>
      <x:c r="I344" s="37" t="str">
        <x:v>1 Ref: Fluoxetine, MHRA, 21/06/2023 7 Cyproheptadine or dantrolene may benefit patients experiencing such reactions. Symptoms of a drug interaction with a MAOI include: hyperthermia, rigidity, myoclonus, autonomic instability with possible rapid fluctuations of vital signs, mental status chang es that include confusion, irritability and extreme agitation progressing to delirium and coma. Therefore, fluoxetine is contra-indicated in combination with an irreversible, nonselective MAOI (see sec</x:v>
      </x:c>
      <x:c r="J344" s="37" t="str">
        <x:v>https://drug.fda.moph.go.th/media.php?id=810173242932338688&amp;name=SMPC_Fluoxetine_Capsules.pdf</x:v>
      </x:c>
    </x:row>
    <x:row r="345">
      <x:c r="A345" s="31" t="str">
        <x:v>cyproheptadine</x:v>
      </x:c>
      <x:c r="B345" s="31" t="str">
        <x:v>fluoxetine</x:v>
      </x:c>
      <x:c r="C345" s="31" t="str">
        <x:v>unclassified</x:v>
      </x:c>
      <x:c r="D345" s="31" t="str">
        <x:v>review</x:v>
      </x:c>
      <x:c r="E345" s="31" t="str">
        <x:v>r0149_smpc</x:v>
      </x:c>
      <x:c r="F345" s="31" t="str">
        <x:v>SMPC</x:v>
      </x:c>
      <x:c r="G345" s="31" t="n">
        <x:v>11</x:v>
      </x:c>
      <x:c r="H345" s="31" t="str">
        <x:v>cyproheptadine</x:v>
      </x:c>
      <x:c r="I345" s="37" t="str">
        <x:v>Contra-indicated combinations Irreversible, Non -selective Monoamine Oxidase Inhibitors (e.g. iproniazid): Some cases of serious and sometimes fatal reactions have been reported in patients receiving an SSRI in combination with an irreversible, non-selective monoamine oxidase inhibitor (MAOI). These cases presented with features resembling serotonin syndrome (which may be confounded with [or diagnosed as] neuroleptic malignant syndrome). Cyproheptadine or dantrolene may benefit patients experiencing such reactions. Symptoms of a drug interaction with a MAOI include: hyperthermia, rigidity, myoclonus, autonomic instability with possible rapid fluctuations of vital signs, mental status changes that include confusion, irritability and extreme agitation progressing to delirium and coma. Therefore, fluoxetine is contra -indicated in combination with an irreversible, non-selective MAOI (see S</x:v>
      </x:c>
      <x:c r="J345" s="37" t="str">
        <x:v>https://drug.fda.moph.go.th/media.php?id=810173242932338688&amp;name=SMPC_Fluoxetine_Capsules.pdf</x:v>
      </x:c>
    </x:row>
    <x:row r="346">
      <x:c r="A346" s="31" t="str">
        <x:v>dexamethasone</x:v>
      </x:c>
      <x:c r="B346" s="31" t="str">
        <x:v>erythromycin</x:v>
      </x:c>
      <x:c r="C346" s="31" t="str">
        <x:v>unclassified</x:v>
      </x:c>
      <x:c r="D346" s="31" t="str">
        <x:v>review</x:v>
      </x:c>
      <x:c r="E346" s="31" t="str">
        <x:v>r0097_smpc</x:v>
      </x:c>
      <x:c r="F346" s="31" t="str">
        <x:v>SMPC</x:v>
      </x:c>
      <x:c r="G346" s="31" t="n">
        <x:v>16</x:v>
      </x:c>
      <x:c r="H346" s="31" t="str">
        <x:v>erythromycin</x:v>
      </x:c>
      <x:c r="I346" s="37" t="str">
        <x:v>as ketoconazole, ritonavir and erythromycin may lead to increased plasma concentrations of dexamethasone. Co-treatment with CYP3A inhibitors, including cobicistat -containing products, is expected to increase the risk of systemic side -effects. The combination should be avoided unless the benefit outweighs the increased risk of systemic corticosteroid side -effects, in which case patients should be monitored for systemic corticosteroid side -effects. These interactions may also int</x:v>
      </x:c>
      <x:c r="J346" s="37" t="str">
        <x:v>https://drug.fda.moph.go.th/media.php?id=810062372298432512&amp;name=SMPC_Dexamethasone_Oral solution.pdf</x:v>
      </x:c>
    </x:row>
    <x:row r="347">
      <x:c r="A347" s="31" t="str">
        <x:v>dexamethasone</x:v>
      </x:c>
      <x:c r="B347" s="31" t="str">
        <x:v>erythromycin</x:v>
      </x:c>
      <x:c r="C347" s="31" t="str">
        <x:v>unclassified</x:v>
      </x:c>
      <x:c r="D347" s="31" t="str">
        <x:v>review</x:v>
      </x:c>
      <x:c r="E347" s="31" t="str">
        <x:v>r0098_smpc</x:v>
      </x:c>
      <x:c r="F347" s="31" t="str">
        <x:v>SMPC</x:v>
      </x:c>
      <x:c r="G347" s="31" t="n">
        <x:v>11</x:v>
      </x:c>
      <x:c r="H347" s="31" t="str">
        <x:v>erythromycin</x:v>
      </x:c>
      <x:c r="I347" s="37" t="str">
        <x:v>er medicinal products on Dexamethasone: Dexamethasone is metabolized via cytochrome P450 3A4 (CYP3A4). Concomitant administration of dexamethasone with inducers of CYP3A4, such as phenytoin, barbiturates, ephedrine, rifabutin, carbamazepine and rifampicin may lead to decreased plasma concentrations of dexamethasone and the dose may need to be increased. Concomitant administration of inhibitors of CYP3A4 such as ketoconazole, ritonavir and erythromycin may lead to increased plasma concentrations of dexamethasone. Co-treatment with CYP3A inhibitors, including cobicistat -containing products, is expected to increase the risk of systemic side -effects. The combination should be avoided unless the benefit outweighs the increased risk of systemic corticosteroid side -effects, in which case patients should be monitored for systemic corticosteroid side-effects. These interactions may also inte</x:v>
      </x:c>
      <x:c r="J347" s="37" t="str">
        <x:v>https://drug.fda.moph.go.th/media.php?id=810066436012777472&amp;name=SMPC_Dexamethasone_syrup.pdf</x:v>
      </x:c>
    </x:row>
    <x:row r="348">
      <x:c r="A348" s="31" t="str">
        <x:v>dexamethasone</x:v>
      </x:c>
      <x:c r="B348" s="31" t="str">
        <x:v>hydrocortisone</x:v>
      </x:c>
      <x:c r="C348" s="31" t="str">
        <x:v>unclassified</x:v>
      </x:c>
      <x:c r="D348" s="31" t="str">
        <x:v>review</x:v>
      </x:c>
      <x:c r="E348" s="31" t="str">
        <x:v>r0098_smpc</x:v>
      </x:c>
      <x:c r="F348" s="31" t="str">
        <x:v>SMPC</x:v>
      </x:c>
      <x:c r="G348" s="31" t="n">
        <x:v>13</x:v>
      </x:c>
      <x:c r="H348" s="31" t="str">
        <x:v>hydrocortisone</x:v>
      </x:c>
      <x:c r="I348" s="37" t="str">
        <x:v>diuretics, amphotericin B injection, potassium depleting agents, corticosteroids (gluco-mineralo), tetracosactide and carbenoxolone are enhanced. Hypokalaemia predisposes to cardiac arrhythmia especially “ torsade de pointes” and increase the toxicity of cardiac glycosides. Hypokalemia should be corrected before corticosteroid treatment initiation. In addition, there have been cases reported in which concomitant use of amphotericin B and hydrocortisone was followed by cardiac enlargement and congestive heart failure. Sultopride has been linked to ventricular arrhythmias, especially torsade de pointes. This combination is not recommended. Patients taking NSAIDs should be monitored since the incidence and/or severity of gastro-ulceration may increase. Aspirin should also be used cautiously in conjunction with corticosteroids in hypoprothrombinemia. Antitubercular drugs: Serum concentratio</x:v>
      </x:c>
      <x:c r="J348" s="37" t="str">
        <x:v>https://drug.fda.moph.go.th/media.php?id=810066436012777472&amp;name=SMPC_Dexamethasone_syrup.pdf</x:v>
      </x:c>
    </x:row>
    <x:row r="349">
      <x:c r="A349" s="31" t="str">
        <x:v>dexamethasone</x:v>
      </x:c>
      <x:c r="B349" s="31" t="str">
        <x:v>indomethacin</x:v>
      </x:c>
      <x:c r="C349" s="31" t="str">
        <x:v>unclassified</x:v>
      </x:c>
      <x:c r="D349" s="31" t="str">
        <x:v>review</x:v>
      </x:c>
      <x:c r="E349" s="31" t="str">
        <x:v>r0187_smpc</x:v>
      </x:c>
      <x:c r="F349" s="31" t="str">
        <x:v>SMPC</x:v>
      </x:c>
      <x:c r="G349" s="31" t="n">
        <x:v>12</x:v>
      </x:c>
      <x:c r="H349" s="31" t="str">
        <x:v>dexamethasone</x:v>
      </x:c>
      <x:c r="I349" s="37" t="str">
        <x:v>1 Ref: Indometacin, MHRA, 15/03/2024 12 • Laboratory tests: false -negative results in the dexamethasone suppression test (DST) in patients being treated with indometacin have been reported. Thus, results of this test should be used with caution in these patients. • Vancomycin: Studies in premature neonates being treated for patent ductus arteriosus have shown that concomitant administration of indometacin and vancomycin may have additive nephrotoxic effects. As such, caution is advised during concurrent or subseque nt use of indometacin an</x:v>
      </x:c>
      <x:c r="J349" s="37" t="str">
        <x:v>https://drug.fda.moph.go.th/media.php?id=810384768385556480&amp;name=SMPC_Indometacin_Capsules.pdf</x:v>
      </x:c>
    </x:row>
    <x:row r="350">
      <x:c r="A350" s="31" t="str">
        <x:v>dexamethasone</x:v>
      </x:c>
      <x:c r="B350" s="31" t="str">
        <x:v>insulin</x:v>
      </x:c>
      <x:c r="C350" s="31" t="str">
        <x:v>unclassified</x:v>
      </x:c>
      <x:c r="D350" s="31" t="str">
        <x:v>review</x:v>
      </x:c>
      <x:c r="E350" s="31" t="str">
        <x:v>r0097_smpc</x:v>
      </x:c>
      <x:c r="F350" s="31" t="str">
        <x:v>SMPC</x:v>
      </x:c>
      <x:c r="G350" s="31" t="n">
        <x:v>18</x:v>
      </x:c>
      <x:c r="H350" s="31" t="str">
        <x:v>insulin</x:v>
      </x:c>
      <x:c r="I350" s="37" t="str">
        <x:v>The renal clearance of salicylates is increased by corticosteroids and therefore, salicylate dosage should be reduced along with steroidal withdrawal. The desired effects of hypoglycaemic a g e n t s (including insulin), antihypertensives and diuretics are antagonised by corticosteroids. The hypokalaemic effects of acetazolamide, loop diuretics, thiazide diuretics , amphotericin B injection, potassium depleting agents, corticosteroids (glucomineralo), tetracosactide and carbenoxolone are enhanced. Hypokalaemia predisposes to cardiac arrhythmia especially “torsade de pointes” and increase the toxicity of cardiac glycos ides. Hypokalemia should be correct</x:v>
      </x:c>
      <x:c r="J350" s="37" t="str">
        <x:v>https://drug.fda.moph.go.th/media.php?id=810062372298432512&amp;name=SMPC_Dexamethasone_Oral solution.pdf</x:v>
      </x:c>
    </x:row>
    <x:row r="351">
      <x:c r="A351" s="31" t="str">
        <x:v>dexamethasone</x:v>
      </x:c>
      <x:c r="B351" s="31" t="str">
        <x:v>insulin</x:v>
      </x:c>
      <x:c r="C351" s="31" t="str">
        <x:v>unclassified</x:v>
      </x:c>
      <x:c r="D351" s="31" t="str">
        <x:v>review</x:v>
      </x:c>
      <x:c r="E351" s="31" t="str">
        <x:v>r0098_smpc</x:v>
      </x:c>
      <x:c r="F351" s="31" t="str">
        <x:v>SMPC</x:v>
      </x:c>
      <x:c r="G351" s="31" t="n">
        <x:v>12</x:v>
      </x:c>
      <x:c r="H351" s="31" t="str">
        <x:v>insulin</x:v>
      </x:c>
      <x:c r="I351" s="37" t="str">
        <x:v>ducts Dexamethasone is a moderate inducer of CYP3A4. Concomitant administration of dexamethasone with substances that are metabolised via CYP3A4 could lead to increased clearance and decreased plasma concentrations of these substances. The renal clearance of salicylates is increased by corticosteroids and therefore, salicylate dosage should be reduced along with steroidal withdrawal. The desired effects of hypoglycaemic agents (including insulin), anti - hypertensives and diuretics are antagonised by corticosteroids.</x:v>
      </x:c>
      <x:c r="J351" s="37" t="str">
        <x:v>https://drug.fda.moph.go.th/media.php?id=810066436012777472&amp;name=SMPC_Dexamethasone_syrup.pdf</x:v>
      </x:c>
    </x:row>
    <x:row r="352">
      <x:c r="A352" s="31" t="str">
        <x:v>dexamethasone</x:v>
      </x:c>
      <x:c r="B352" s="31" t="str">
        <x:v>isoniazid</x:v>
      </x:c>
      <x:c r="C352" s="31" t="str">
        <x:v>unclassified</x:v>
      </x:c>
      <x:c r="D352" s="31" t="str">
        <x:v>review</x:v>
      </x:c>
      <x:c r="E352" s="31" t="str">
        <x:v>r0097_smpc</x:v>
      </x:c>
      <x:c r="F352" s="31" t="str">
        <x:v>SMPC</x:v>
      </x:c>
      <x:c r="G352" s="31" t="n">
        <x:v>18</x:v>
      </x:c>
      <x:c r="H352" s="31" t="str">
        <x:v>isoniazid</x:v>
      </x:c>
      <x:c r="I352" s="37" t="str">
        <x:v>lowed by cardiac enlargement and congestive heart failure. Sultopride has been linked to ventricular arrhythmias, especially torsade de pointes. This combination is not recommended. Patients taking NSAIDs should be monitored since the incidence and/or severity of gastro -ulceration may increase. Aspirin should also be used cautiously in conjunction with corticosteroids in hypoprothrombinemia. Antitubercular drugs: Serum concentrations of isoniazid may be decreased.</x:v>
      </x:c>
      <x:c r="J352" s="37" t="str">
        <x:v>https://drug.fda.moph.go.th/media.php?id=810062372298432512&amp;name=SMPC_Dexamethasone_Oral solution.pdf</x:v>
      </x:c>
    </x:row>
    <x:row r="353">
      <x:c r="A353" s="31" t="str">
        <x:v>dexamethasone</x:v>
      </x:c>
      <x:c r="B353" s="31" t="str">
        <x:v>isoniazid</x:v>
      </x:c>
      <x:c r="C353" s="31" t="str">
        <x:v>unclassified</x:v>
      </x:c>
      <x:c r="D353" s="31" t="str">
        <x:v>review</x:v>
      </x:c>
      <x:c r="E353" s="31" t="str">
        <x:v>r0098_smpc</x:v>
      </x:c>
      <x:c r="F353" s="31" t="str">
        <x:v>SMPC</x:v>
      </x:c>
      <x:c r="G353" s="31" t="n">
        <x:v>13</x:v>
      </x:c>
      <x:c r="H353" s="31" t="str">
        <x:v>isoniazid</x:v>
      </x:c>
      <x:c r="I353" s="37" t="str">
        <x:v>ollowed by cardiac enlargement and congestive heart failure. Sultopride has been linked to ventricular arrhythmias, especially torsade de pointes. This combination is not recommended. Patients taking NSAIDs should be monitored since the incidence and/or severity of gastro-ulceration may increase. Aspirin should also be used cautiously in conjunction with corticosteroids in hypoprothrombinemia. Antitubercular drugs: Serum concentrations of isoniazid may be decreased. Ciclosporin: Increased activity of both ciclosporin and corticosteroids may occur when the two are used concurrently. Convulsions have been reported with this concurrent use. Thalidomide: Co-administration with thalidomide should be employed cautiously, as toxic epidermal necrolysis has been reported with concomitant use. Corticosteroids may affect the nitroblue tetrazolium test for bacterial infection and produce fals</x:v>
      </x:c>
      <x:c r="J353" s="37" t="str">
        <x:v>https://drug.fda.moph.go.th/media.php?id=810066436012777472&amp;name=SMPC_Dexamethasone_syrup.pdf</x:v>
      </x:c>
    </x:row>
    <x:row r="354">
      <x:c r="A354" s="31" t="str">
        <x:v>dexamethasone</x:v>
      </x:c>
      <x:c r="B354" s="31" t="str">
        <x:v>ketoconazole</x:v>
      </x:c>
      <x:c r="C354" s="31" t="str">
        <x:v>unclassified</x:v>
      </x:c>
      <x:c r="D354" s="31" t="str">
        <x:v>review</x:v>
      </x:c>
      <x:c r="E354" s="31" t="str">
        <x:v>r0097_smpc</x:v>
      </x:c>
      <x:c r="F354" s="31" t="str">
        <x:v>SMPC</x:v>
      </x:c>
      <x:c r="G354" s="31" t="n">
        <x:v>16</x:v>
      </x:c>
      <x:c r="H354" s="31" t="str">
        <x:v>ketoconazole</x:v>
      </x:c>
      <x:c r="I354" s="37" t="str">
        <x:v>as ketoconazole, ritonavir and erythromycin may lead to increased plasma concentrations of dexamethasone. Co-treatment with CYP3A inhibitors, including cobicistat -containing products, is expected to increase the risk of systemic side -effects. The combination should be avoided unless the benefit outweighs the increased risk of systemic corticosteroid side -effects, in which case patients should be monitored for systemic corticosteroid side -effects. The</x:v>
      </x:c>
      <x:c r="J354" s="37" t="str">
        <x:v>https://drug.fda.moph.go.th/media.php?id=810062372298432512&amp;name=SMPC_Dexamethasone_Oral solution.pdf</x:v>
      </x:c>
    </x:row>
    <x:row r="355">
      <x:c r="A355" s="31" t="str">
        <x:v>dexamethasone</x:v>
      </x:c>
      <x:c r="B355" s="31" t="str">
        <x:v>ketoconazole</x:v>
      </x:c>
      <x:c r="C355" s="31" t="str">
        <x:v>moderate</x:v>
      </x:c>
      <x:c r="D355" s="31" t="str">
        <x:v>eligible</x:v>
      </x:c>
      <x:c r="E355" s="31" t="str">
        <x:v>r0098_smpc</x:v>
      </x:c>
      <x:c r="F355" s="31" t="str">
        <x:v>SMPC</x:v>
      </x:c>
      <x:c r="G355" s="31" t="n">
        <x:v>11</x:v>
      </x:c>
      <x:c r="H355" s="31" t="str">
        <x:v>ketoconazole</x:v>
      </x:c>
      <x:c r="I355" s="37" t="str">
        <x:v>systemic side -effects. The combination should be avoided unless the benefit outweighs the increased risk of systemic corticosteroid side -effects, in which case patients should be monitored for systemic corticosteroid side-effects. These interactions may also interfere with dexamethasone suppression tests which, therefore, should be interpreted with caution during administration of substances that affect the metabolism of dexamethasone. Ketoconazole may increase plasma concentrations of dexamethasone by inhibition of CYP3A4, but may also suppress corticosteroid synthesis in the adrenal and thereby cause adrenal insufficiency at withdrawal of corticosteroid treatment. Ephedrine may increase the metabolic clearance of corticosteroids, resulting in decreased plasma levels. An increase of the corticosteroid dose might be necessary.</x:v>
      </x:c>
      <x:c r="J355" s="37" t="str">
        <x:v>https://drug.fda.moph.go.th/media.php?id=810066436012777472&amp;name=SMPC_Dexamethasone_syrup.pdf</x:v>
      </x:c>
    </x:row>
    <x:row r="356">
      <x:c r="A356" s="31" t="str">
        <x:v>dexamethasone</x:v>
      </x:c>
      <x:c r="B356" s="31" t="str">
        <x:v>prednisolone</x:v>
      </x:c>
      <x:c r="C356" s="31" t="str">
        <x:v>unclassified</x:v>
      </x:c>
      <x:c r="D356" s="31" t="str">
        <x:v>review</x:v>
      </x:c>
      <x:c r="E356" s="31" t="str">
        <x:v>r0097_smpc</x:v>
      </x:c>
      <x:c r="F356" s="31" t="str">
        <x:v>SMPC</x:v>
      </x:c>
      <x:c r="G356" s="31" t="n">
        <x:v>17</x:v>
      </x:c>
      <x:c r="H356" s="31" t="str">
        <x:v>prednisolone</x:v>
      </x:c>
      <x:c r="I356" s="37" t="str">
        <x:v>rption of dexamethasone. Estrogens, including oral contraceptives: Estrogens may decrease the hepatic metabolism of certain corticosteroids, thereby increasing their effect. Aminoglutethimide: Decrease of dexamethasone efficacy, due to its metabolism increase. An adjustment of dexamethasone dosage may be required. Gastrointestinal topicals, antacids, charcoal: A decrease in digestive absorption of glucocorticoids have been reported with prednisolone and dexamethasone. Therefore, glucocorticoids should be taken separately from gastrointestinal topicals, antacids or c harcoal, with an interval between treatment of at least two hours. Effects of Dexamethasone on other medicinal products Dexamethasone is a moderate inducer of CYP3A4. Concomitant administration of dexamethasone with substances that are metabolised via CYP3A4 could lead to increased clearance and decreased plasma concentr</x:v>
      </x:c>
      <x:c r="J356" s="37" t="str">
        <x:v>https://drug.fda.moph.go.th/media.php?id=810062372298432512&amp;name=SMPC_Dexamethasone_Oral solution.pdf</x:v>
      </x:c>
    </x:row>
    <x:row r="357">
      <x:c r="A357" s="31" t="str">
        <x:v>dexamethasone</x:v>
      </x:c>
      <x:c r="B357" s="31" t="str">
        <x:v>prednisolone</x:v>
      </x:c>
      <x:c r="C357" s="31" t="str">
        <x:v>unclassified</x:v>
      </x:c>
      <x:c r="D357" s="31" t="str">
        <x:v>review</x:v>
      </x:c>
      <x:c r="E357" s="31" t="str">
        <x:v>r0098_smpc</x:v>
      </x:c>
      <x:c r="F357" s="31" t="str">
        <x:v>SMPC</x:v>
      </x:c>
      <x:c r="G357" s="31" t="n">
        <x:v>12</x:v>
      </x:c>
      <x:c r="H357" s="31" t="str">
        <x:v>prednisolone</x:v>
      </x:c>
      <x:c r="I357" s="37" t="str">
        <x:v>rption of dexamethasone. Estrogens, including oral contraceptives: Estrogens may decrease the hepatic metabolism of certain corticosteroids, thereby increasing their effect. Aminoglutethimide: Decrease of dexamethasone efficacy, due to its metabolism increase. An adjustment of dexamethasone dosage may be required. Gastrointestinal topicals, antacids, charcoal: A decrease in digestive absorption of glucocorticoids have been reported with prednisolone and dexamethasone. Therefore, glucocorticoids should be taken separately from gastrointestinal topicals, antacids or c harcoal, with an interval between treatment of at least two hours. Effects of Dexamethasone on other medicinal products Dexamethasone is a moderate inducer of CYP3A4. Concomitant administration of dexamethasone with substances that are metabolised via CYP3A4 could lead to increased clearance and decreased plasma concentr</x:v>
      </x:c>
      <x:c r="J357" s="37" t="str">
        <x:v>https://drug.fda.moph.go.th/media.php?id=810066436012777472&amp;name=SMPC_Dexamethasone_syrup.pdf</x:v>
      </x:c>
    </x:row>
    <x:row r="358">
      <x:c r="A358" s="31" t="str">
        <x:v>dexamethasone</x:v>
      </x:c>
      <x:c r="B358" s="31" t="str">
        <x:v>rifampicin</x:v>
      </x:c>
      <x:c r="C358" s="31" t="str">
        <x:v>unclassified</x:v>
      </x:c>
      <x:c r="D358" s="31" t="str">
        <x:v>review</x:v>
      </x:c>
      <x:c r="E358" s="31" t="str">
        <x:v>r0097_smpc</x:v>
      </x:c>
      <x:c r="F358" s="31" t="str">
        <x:v>SMPC</x:v>
      </x:c>
      <x:c r="G358" s="31" t="n">
        <x:v>15</x:v>
      </x:c>
      <x:c r="H358" s="31" t="str">
        <x:v>rifampicin</x:v>
      </x:c>
      <x:c r="I358" s="37" t="str">
        <x:v>positive results. Excipient Warnings &lt;REGARDING THE APPROV AL&gt; 4.5. Interaction with other medicinal products and other forms of interaction Effects of other drugs on Dexamethasone Effects of other medicinal products on Dexamethasone: Dexamethasone is metabolized via cytochrome P450 3A4 (CYP3A4). Concomitant administration of dexamethasone with inducers of CYP3A4, such as phenytoin, barbiturates, ephedrine, rifabutin, carbamazepine and rifampicin may lead to decreased plasma concentrati ons of dexamethasone and the dose may need to be increased. Concomitant administration of inhibitors of CYP3A4 such</x:v>
      </x:c>
      <x:c r="J358" s="37" t="str">
        <x:v>https://drug.fda.moph.go.th/media.php?id=810062372298432512&amp;name=SMPC_Dexamethasone_Oral solution.pdf</x:v>
      </x:c>
    </x:row>
    <x:row r="359">
      <x:c r="A359" s="31" t="str">
        <x:v>dexamethasone</x:v>
      </x:c>
      <x:c r="B359" s="31" t="str">
        <x:v>rifampicin</x:v>
      </x:c>
      <x:c r="C359" s="31" t="str">
        <x:v>unclassified</x:v>
      </x:c>
      <x:c r="D359" s="31" t="str">
        <x:v>review</x:v>
      </x:c>
      <x:c r="E359" s="31" t="str">
        <x:v>r0098_smpc</x:v>
      </x:c>
      <x:c r="F359" s="31" t="str">
        <x:v>SMPC</x:v>
      </x:c>
      <x:c r="G359" s="31" t="n">
        <x:v>11</x:v>
      </x:c>
      <x:c r="H359" s="31" t="str">
        <x:v>rifampicin</x:v>
      </x:c>
      <x:c r="I359" s="37" t="str">
        <x:v>positive results. Excipient Warnings &lt;REGARDING THE APPROVAL&gt; 4.5. Interaction with other medicinal products and other forms of interaction Effects of other drugs on Dexamethasone Effects of other medicinal products on Dexamethasone: Dexamethasone is metabolized via cytochrome P450 3A4 (CYP3A4). Concomitant administration of dexamethasone with inducers of CYP3A4, such as phenytoin, barbiturates, ephedrine, rifabutin, carbamazepine and rifampicin may lead to decreased plasma concentrations of dexamethasone and the dose may need to be increased. Concomitant administration of inhibitors of CYP3A4 such as ketoconazole, ritonavir and erythromycin may lead to increased plasma concentrations of dexamethasone. Co-treatment with CYP3A inhibitors, including cobicistat -containing products, is expected to increase the risk of systemic side -effects. The combination should be avoided unless</x:v>
      </x:c>
      <x:c r="J359" s="37" t="str">
        <x:v>https://drug.fda.moph.go.th/media.php?id=810066436012777472&amp;name=SMPC_Dexamethasone_syrup.pdf</x:v>
      </x:c>
    </x:row>
    <x:row r="360">
      <x:c r="A360" s="31" t="str">
        <x:v>dextromethorphan_hydrobromide</x:v>
      </x:c>
      <x:c r="B360" s="31" t="str">
        <x:v>fluoxetine</x:v>
      </x:c>
      <x:c r="C360" s="31" t="str">
        <x:v>unclassified</x:v>
      </x:c>
      <x:c r="D360" s="31" t="str">
        <x:v>review</x:v>
      </x:c>
      <x:c r="E360" s="31" t="str">
        <x:v>r0100_smpc</x:v>
      </x:c>
      <x:c r="F360" s="31" t="str">
        <x:v>SMPC</x:v>
      </x:c>
      <x:c r="G360" s="31" t="n">
        <x:v>6</x:v>
      </x:c>
      <x:c r="H360" s="31" t="str">
        <x:v>fluoxetine</x:v>
      </x:c>
      <x:c r="I360" s="37" t="str">
        <x:v>tabolized by CYP2D6 and has an extensive first -pass metabolism. Concomitant use of potent CYP2D6 enzyme inhibitors can increase the &lt;GENERIC NAME&gt; concentrations in the body to levels multifold higher than normal. This increases the patient’s risk for toxic effects of &lt;GENERIC NAME&gt; (agitation, confusion, tremor, insomnia, diarrhoea and respiratory depression) and development of serotonin syndrome. Potent CYP2D6 enzyme inhibitors include fluoxetine, paroxetine, quinidine and terbinafine. In concomitant use with quinidine, plasma concentrations of &lt;GENERIC NAME&gt; have increased up to 20-fold, which has increased the CNS adverse effects of the agent. Amiodarone, flecaninde and propafenone, sertraline, bupropion, methadone, cinacalcet, haloperidol, perphenazine and thioridazine also have similar effects on the metabo lism of &lt;GENERIC NAME&gt;. If concomitant use of CYP2D6 inhibitors and &lt;GE</x:v>
      </x:c>
      <x:c r="J360" s="37" t="str">
        <x:v>https://drug.fda.moph.go.th/media.php?id=810067905235525632&amp;name=SMPC_Dextromethorphan_Lozenge.pdf</x:v>
      </x:c>
    </x:row>
    <x:row r="361">
      <x:c r="A361" s="31" t="str">
        <x:v>dextromethorphan_hydrobromide</x:v>
      </x:c>
      <x:c r="B361" s="31" t="str">
        <x:v>fluoxetine</x:v>
      </x:c>
      <x:c r="C361" s="31" t="str">
        <x:v>unclassified</x:v>
      </x:c>
      <x:c r="D361" s="31" t="str">
        <x:v>review</x:v>
      </x:c>
      <x:c r="E361" s="31" t="str">
        <x:v>r0101_smpc</x:v>
      </x:c>
      <x:c r="F361" s="31" t="str">
        <x:v>SMPC</x:v>
      </x:c>
      <x:c r="G361" s="31" t="n">
        <x:v>4</x:v>
      </x:c>
      <x:c r="H361" s="31" t="str">
        <x:v>fluoxetine</x:v>
      </x:c>
      <x:c r="I361" s="37" t="str">
        <x:v>D6 and has an extensive first-pass metabolism. Concomitant use of potent CYP2D6 enzyme inhibitors can increase the dextromethorphan concentrations in the body to levels multifold higher than normal. This increases the patient's risk for toxic effects of dextromethorphan (agitation, confusion, tremor, insomnia, diarrhoea and respiratory depression) and development of serotonin syndrome. Potent CYP2D6 enzyme inhibitors include SSRIs such as fluoxetine and paroxetine, qui nidine and terbinafine. In concomitant use with quinidine, plasma concentrations of dextromethorphan have increased up to 20-fold, which has increased the CNS adverse effects of the agent. Amiodarone, flecainide and</x:v>
      </x:c>
      <x:c r="J361" s="37" t="str">
        <x:v>https://drug.fda.moph.go.th/media.php?id=810068299789508608&amp;name=SMPC_Dextromethorphan_Syrup.pdf</x:v>
      </x:c>
    </x:row>
    <x:row r="362">
      <x:c r="A362" s="31" t="str">
        <x:v>dextromethorphan_hydrobromide</x:v>
      </x:c>
      <x:c r="B362" s="31" t="str">
        <x:v>haloperidol</x:v>
      </x:c>
      <x:c r="C362" s="31" t="str">
        <x:v>unclassified</x:v>
      </x:c>
      <x:c r="D362" s="31" t="str">
        <x:v>review</x:v>
      </x:c>
      <x:c r="E362" s="31" t="str">
        <x:v>r0100_smpc</x:v>
      </x:c>
      <x:c r="F362" s="31" t="str">
        <x:v>SMPC</x:v>
      </x:c>
      <x:c r="G362" s="31" t="n">
        <x:v>6</x:v>
      </x:c>
      <x:c r="H362" s="31" t="str">
        <x:v>haloperidol</x:v>
      </x:c>
      <x:c r="I362" s="37" t="str">
        <x:v>fusion, tremor, insomnia, diarrhoea and respiratory depression) and development of serotonin syndrome. Potent CYP2D6 enzyme inhibitors include fluoxetine, paroxetine, quinidine and terbinafine. In concomitant use with quinidine, plasma concentrations of &lt;GENERIC NAME&gt; have increased up to 20-fold, which has increased the CNS adverse effects of the agent. Amiodarone, flecaninde and propafenone, sertraline, bupropion, methadone, cinacalcet, haloperidol, perphenazine and thioridazine also have similar effects on the metabo lism of &lt;GENERIC NAME&gt;. If concomitant use of CYP2D6 inhibitors and &lt;GENERIC NAME&gt; is necessary, the patient should be monitored and the &lt;GENERIC NAME&gt; dose may need to be reduced.</x:v>
      </x:c>
      <x:c r="J362" s="37" t="str">
        <x:v>https://drug.fda.moph.go.th/media.php?id=810067905235525632&amp;name=SMPC_Dextromethorphan_Lozenge.pdf</x:v>
      </x:c>
    </x:row>
    <x:row r="363">
      <x:c r="A363" s="31" t="str">
        <x:v>dextromethorphan_hydrobromide</x:v>
      </x:c>
      <x:c r="B363" s="31" t="str">
        <x:v>haloperidol</x:v>
      </x:c>
      <x:c r="C363" s="31" t="str">
        <x:v>unclassified</x:v>
      </x:c>
      <x:c r="D363" s="31" t="str">
        <x:v>review</x:v>
      </x:c>
      <x:c r="E363" s="31" t="str">
        <x:v>r0101_smpc</x:v>
      </x:c>
      <x:c r="F363" s="31" t="str">
        <x:v>SMPC</x:v>
      </x:c>
      <x:c r="G363" s="31" t="n">
        <x:v>5</x:v>
      </x:c>
      <x:c r="H363" s="31" t="str">
        <x:v>haloperidol</x:v>
      </x:c>
      <x:c r="I363" s="37" t="str">
        <x:v>1 Ref: Dextromethorphan syrup, MHRA, 04/05/2022 5 propafenone, sertraline, bupropion, methadone, cinacalcet, haloperidol, perphenazine and thioridazine also have similar effects on the metabolism of dextromethorphan. If concomitant use of CYP2D6 inhibitors and dextromethorphan is necessary, the patient sh ould be monitored and the dextromethorphan dose may need to be reduced. CNS depressants Dextromethorphan might exhibit additive CNS depressant effects when co-administered with alcohol, antihistamines, psychotropics, and other CNS depressant drugs. 4.6.</x:v>
      </x:c>
      <x:c r="J363" s="37" t="str">
        <x:v>https://drug.fda.moph.go.th/media.php?id=810068299789508608&amp;name=SMPC_Dextromethorphan_Syrup.pdf</x:v>
      </x:c>
    </x:row>
    <x:row r="364">
      <x:c r="A364" s="31" t="str">
        <x:v>dextromethorphan_hydrobromide</x:v>
      </x:c>
      <x:c r="B364" s="31" t="str">
        <x:v>perphenazine</x:v>
      </x:c>
      <x:c r="C364" s="31" t="str">
        <x:v>unclassified</x:v>
      </x:c>
      <x:c r="D364" s="31" t="str">
        <x:v>review</x:v>
      </x:c>
      <x:c r="E364" s="31" t="str">
        <x:v>r0100_smpc</x:v>
      </x:c>
      <x:c r="F364" s="31" t="str">
        <x:v>SMPC</x:v>
      </x:c>
      <x:c r="G364" s="31" t="n">
        <x:v>6</x:v>
      </x:c>
      <x:c r="H364" s="31" t="str">
        <x:v>perphenazine</x:v>
      </x:c>
      <x:c r="I364" s="37" t="str">
        <x:v>or, insomnia, diarrhoea and respiratory depression) and development of serotonin syndrome. Potent CYP2D6 enzyme inhibitors include fluoxetine, paroxetine, quinidine and terbinafine. In concomitant use with quinidine, plasma concentrations of &lt;GENERIC NAME&gt; have increased up to 20-fold, which has increased the CNS adverse effects of the agent. Amiodarone, flecaninde and propafenone, sertraline, bupropion, methadone, cinacalcet, haloperidol, perphenazine and thioridazine also have similar effects on the metabo lism of &lt;GENERIC NAME&gt;. If concomitant use of CYP2D6 inhibitors and &lt;GENERIC NAME&gt; is necessary, the patient should be monitored and the &lt;GENERIC NAME&gt; dose may need to be reduced.</x:v>
      </x:c>
      <x:c r="J364" s="37" t="str">
        <x:v>https://drug.fda.moph.go.th/media.php?id=810067905235525632&amp;name=SMPC_Dextromethorphan_Lozenge.pdf</x:v>
      </x:c>
    </x:row>
    <x:row r="365">
      <x:c r="A365" s="31" t="str">
        <x:v>dextromethorphan_hydrobromide</x:v>
      </x:c>
      <x:c r="B365" s="31" t="str">
        <x:v>perphenazine</x:v>
      </x:c>
      <x:c r="C365" s="31" t="str">
        <x:v>unclassified</x:v>
      </x:c>
      <x:c r="D365" s="31" t="str">
        <x:v>review</x:v>
      </x:c>
      <x:c r="E365" s="31" t="str">
        <x:v>r0101_smpc</x:v>
      </x:c>
      <x:c r="F365" s="31" t="str">
        <x:v>SMPC</x:v>
      </x:c>
      <x:c r="G365" s="31" t="n">
        <x:v>5</x:v>
      </x:c>
      <x:c r="H365" s="31" t="str">
        <x:v>perphenazine</x:v>
      </x:c>
      <x:c r="I365" s="37" t="str">
        <x:v>1 Ref: Dextromethorphan syrup, MHRA, 04/05/2022 5 propafenone, sertraline, bupropion, methadone, cinacalcet, haloperidol, perphenazine and thioridazine also have similar effects on the metabolism of dextromethorphan. If concomitant use of CYP2D6 inhibitors and dextromethorphan is necessary, the patient sh ould be monitored and the dextromethorphan dose may need to be reduced. CNS depressants Dextromethorphan might exhibit additive CNS depressant effects when co-administered with alcohol, antihistamines, psychotropics, and other CNS depressant drugs. 4.6. Fertility, preg</x:v>
      </x:c>
      <x:c r="J365" s="37" t="str">
        <x:v>https://drug.fda.moph.go.th/media.php?id=810068299789508608&amp;name=SMPC_Dextromethorphan_Syrup.pdf</x:v>
      </x:c>
    </x:row>
    <x:row r="366">
      <x:c r="A366" s="31" t="str">
        <x:v>dextromethorphan_hydrobromide</x:v>
      </x:c>
      <x:c r="B366" s="31" t="str">
        <x:v>thioridazine</x:v>
      </x:c>
      <x:c r="C366" s="31" t="str">
        <x:v>unclassified</x:v>
      </x:c>
      <x:c r="D366" s="31" t="str">
        <x:v>review</x:v>
      </x:c>
      <x:c r="E366" s="31" t="str">
        <x:v>r0100_smpc</x:v>
      </x:c>
      <x:c r="F366" s="31" t="str">
        <x:v>SMPC</x:v>
      </x:c>
      <x:c r="G366" s="31" t="n">
        <x:v>6</x:v>
      </x:c>
      <x:c r="H366" s="31" t="str">
        <x:v>thioridazine</x:v>
      </x:c>
      <x:c r="I366" s="37" t="str">
        <x:v>rhoea and respiratory depression) and development of serotonin syndrome. Potent CYP2D6 enzyme inhibitors include fluoxetine, paroxetine, quinidine and terbinafine. In concomitant use with quinidine, plasma concentrations of &lt;GENERIC NAME&gt; have increased up to 20-fold, which has increased the CNS adverse effects of the agent. Amiodarone, flecaninde and propafenone, sertraline, bupropion, methadone, cinacalcet, haloperidol, perphenazine and thioridazine also have similar effects on the metabo lism of &lt;GENERIC NAME&gt;. If concomitant use of CYP2D6 inhibitors and &lt;GENERIC NAME&gt; is necessary, the patient should be monitored and the &lt;GENERIC NAME&gt; dose may need to be reduced.</x:v>
      </x:c>
      <x:c r="J366" s="37" t="str">
        <x:v>https://drug.fda.moph.go.th/media.php?id=810067905235525632&amp;name=SMPC_Dextromethorphan_Lozenge.pdf</x:v>
      </x:c>
    </x:row>
    <x:row r="367">
      <x:c r="A367" s="31" t="str">
        <x:v>dextromethorphan_hydrobromide</x:v>
      </x:c>
      <x:c r="B367" s="31" t="str">
        <x:v>thioridazine</x:v>
      </x:c>
      <x:c r="C367" s="31" t="str">
        <x:v>unclassified</x:v>
      </x:c>
      <x:c r="D367" s="31" t="str">
        <x:v>review</x:v>
      </x:c>
      <x:c r="E367" s="31" t="str">
        <x:v>r0101_smpc</x:v>
      </x:c>
      <x:c r="F367" s="31" t="str">
        <x:v>SMPC</x:v>
      </x:c>
      <x:c r="G367" s="31" t="n">
        <x:v>5</x:v>
      </x:c>
      <x:c r="H367" s="31" t="str">
        <x:v>thioridazine</x:v>
      </x:c>
      <x:c r="I367" s="37" t="str">
        <x:v>1 Ref: Dextromethorphan syrup, MHRA, 04/05/2022 5 propafenone, sertraline, bupropion, methadone, cinacalcet, haloperidol, perphenazine and thioridazine also have similar effects on the metabolism of dextromethorphan. If concomitant use of CYP2D6 inhibitors and dextromethorphan is necessary, the patient sh ould be monitored and the dextromethorphan dose may need to be reduced. CNS depressants Dextromethorphan might exhibit additive CNS depressant effects when co-administered with alcohol, antihistamines, psychotropics, and other CNS depressant drugs. 4.6. Fertility, pregnancy and lactati</x:v>
      </x:c>
      <x:c r="J367" s="37" t="str">
        <x:v>https://drug.fda.moph.go.th/media.php?id=810068299789508608&amp;name=SMPC_Dextromethorphan_Syrup.pdf</x:v>
      </x:c>
    </x:row>
    <x:row r="368">
      <x:c r="A368" s="31" t="str">
        <x:v>diclofenac</x:v>
      </x:c>
      <x:c r="B368" s="31" t="str">
        <x:v>lithium</x:v>
      </x:c>
      <x:c r="C368" s="31" t="str">
        <x:v>moderate</x:v>
      </x:c>
      <x:c r="D368" s="31" t="str">
        <x:v>eligible</x:v>
      </x:c>
      <x:c r="E368" s="31" t="str">
        <x:v>r0103_smpc</x:v>
      </x:c>
      <x:c r="F368" s="31" t="str">
        <x:v>SMPC</x:v>
      </x:c>
      <x:c r="G368" s="31" t="n">
        <x:v>8</x:v>
      </x:c>
      <x:c r="H368" s="31" t="str">
        <x:v>lithium</x:v>
      </x:c>
      <x:c r="I368" s="37" t="str">
        <x:v>her signs of hypersensitivity. Female fertility: The use of diclofenac sodium may impair female fertility and is not recommended in women attempting to conceive. In women who may have difficulties conceiving or who are undergoing investigation of infertility, withdrawal of diclofenac so dium should be considered. Excipient information &lt;REGARDING THE APPROVAL&gt; 4.5. Interaction with other medicinal products and other forms of interaction Lithium: Diclofenac sodium may increase plasma concentrations of lithium. Anticoagulants and anti-platelet agents: Caution is recommended since concomitant administration could increase the risk of bleeding. Although clinical investigations do not appear to indicate that diclofenac affects the action of anticoagulants, there are reports of an increased risk of haemorrhage in patients receiving diclofenac and anticoagulants concomitantly. Close mo</x:v>
      </x:c>
      <x:c r="J368" s="37" t="str">
        <x:v>https://drug.fda.moph.go.th/media.php?id=810068711242342400&amp;name=SMPC_Diclofenac_enteric-coated tables.pdf</x:v>
      </x:c>
    </x:row>
    <x:row r="369">
      <x:c r="A369" s="31" t="str">
        <x:v>diclofenac</x:v>
      </x:c>
      <x:c r="B369" s="31" t="str">
        <x:v>lithium</x:v>
      </x:c>
      <x:c r="C369" s="31" t="str">
        <x:v>moderate</x:v>
      </x:c>
      <x:c r="D369" s="31" t="str">
        <x:v>eligible</x:v>
      </x:c>
      <x:c r="E369" s="31" t="str">
        <x:v>r0104_smpc</x:v>
      </x:c>
      <x:c r="F369" s="31" t="str">
        <x:v>SMPC</x:v>
      </x:c>
      <x:c r="G369" s="31" t="n">
        <x:v>8</x:v>
      </x:c>
      <x:c r="H369" s="31" t="str">
        <x:v>lithium</x:v>
      </x:c>
      <x:c r="I369" s="37" t="str">
        <x:v>1 Ref: Diclofenac Modified Release Capsules , MHRA, 18/04/2023 8 Excipient information &lt;REGARDING THE APPROVAL&gt; 4.5. Interaction with other medicinal products and other forms of interaction Lithium: Diclofenac sodium may increase plasma concentrations of lithium. Anticoagulants and anti-platelet agents: Caution is recommended since concomitant administration could increase the risk of bleeding. Although clinical investigations do not appear to indicate that diclofenac affects the action of anticoagulants, there are reports of an increased risk of haemorrhage in patients receiving diclofenac and anticoagulants concomitantly. Close mo</x:v>
      </x:c>
      <x:c r="J369" s="37" t="str">
        <x:v>https://drug.fda.moph.go.th/media.php?id=810069032811241472&amp;name=SMPC_Diclofenac_Prolonged-Release capsules.pdf</x:v>
      </x:c>
    </x:row>
    <x:row r="370">
      <x:c r="A370" s="31" t="str">
        <x:v>diclofenac</x:v>
      </x:c>
      <x:c r="B370" s="31" t="str">
        <x:v>lithium</x:v>
      </x:c>
      <x:c r="C370" s="31" t="str">
        <x:v>moderate</x:v>
      </x:c>
      <x:c r="D370" s="31" t="str">
        <x:v>eligible</x:v>
      </x:c>
      <x:c r="E370" s="31" t="str">
        <x:v>r0105_smpc</x:v>
      </x:c>
      <x:c r="F370" s="31" t="str">
        <x:v>SMPC</x:v>
      </x:c>
      <x:c r="G370" s="31" t="n">
        <x:v>8</x:v>
      </x:c>
      <x:c r="H370" s="31" t="str">
        <x:v>lithium</x:v>
      </x:c>
      <x:c r="I370" s="37" t="str">
        <x:v>1 Ref: Diclofenac prolonged-release tablets, MHRA, 24/02/2024 8 Excipient information &lt;REGARDING THE APPROVAL&gt; 4.5. Interaction with other medicinal products and other forms of interaction Lithium: Diclofenac sodium may increase plasma concentrations of lithium. Anticoagulants and anti-platelet agents: Caution is recommended since concomitant administration could increase the risk of bleeding. Although clinical investigations do not appear to indicate that diclofenac affects the action of anticoagulants, there are reports of an increased risk of haemorrhage in patients receiving diclofenac and anticoagulants concomitantly. Close mo</x:v>
      </x:c>
      <x:c r="J370" s="37" t="str">
        <x:v>https://drug.fda.moph.go.th/media.php?id=810069388655992832&amp;name=SMPC_Diclofenac_Prolonged-Release tablets.pdf</x:v>
      </x:c>
    </x:row>
    <x:row r="371">
      <x:c r="A371" s="31" t="str">
        <x:v>diclofenac</x:v>
      </x:c>
      <x:c r="B371" s="31" t="str">
        <x:v>methotrexate</x:v>
      </x:c>
      <x:c r="C371" s="31" t="str">
        <x:v>unclassified</x:v>
      </x:c>
      <x:c r="D371" s="31" t="str">
        <x:v>review</x:v>
      </x:c>
      <x:c r="E371" s="31" t="str">
        <x:v>r0103_smpc</x:v>
      </x:c>
      <x:c r="F371" s="31" t="str">
        <x:v>SMPC</x:v>
      </x:c>
      <x:c r="G371" s="31" t="n">
        <x:v>9</x:v>
      </x:c>
      <x:c r="H371" s="31" t="str">
        <x:v>methotrexate</x:v>
      </x:c>
      <x:c r="I371" s="37" t="str">
        <x:v>1 Ref: Diclofenac, MHRA, 24/07/2023 9 combined renal anti -prostaglandin effects of both the NSAID and calcineurin inhibitor. Methotrexate: Cases of serious toxicity have been reported when methotrexate and NSAIDs including diclofenac are given within 24 hours of each other. This interaction is mediated through accumulation of methotrexate resulting from impairment of renal excre tion in the presence of the NSAID. Quinolone antimicrobials: Convulsions may occur due to an interaction between quinolones and NSAIDs. This may occur in patients with or without a previous history</x:v>
      </x:c>
      <x:c r="J371" s="37" t="str">
        <x:v>https://drug.fda.moph.go.th/media.php?id=810068711242342400&amp;name=SMPC_Diclofenac_enteric-coated tables.pdf</x:v>
      </x:c>
    </x:row>
    <x:row r="372">
      <x:c r="A372" s="31" t="str">
        <x:v>diclofenac</x:v>
      </x:c>
      <x:c r="B372" s="31" t="str">
        <x:v>methotrexate</x:v>
      </x:c>
      <x:c r="C372" s="31" t="str">
        <x:v>unclassified</x:v>
      </x:c>
      <x:c r="D372" s="31" t="str">
        <x:v>review</x:v>
      </x:c>
      <x:c r="E372" s="31" t="str">
        <x:v>r0104_smpc</x:v>
      </x:c>
      <x:c r="F372" s="31" t="str">
        <x:v>SMPC</x:v>
      </x:c>
      <x:c r="G372" s="31" t="n">
        <x:v>8</x:v>
      </x:c>
      <x:c r="H372" s="31" t="str">
        <x:v>methotrexate</x:v>
      </x:c>
      <x:c r="I372" s="37" t="str">
        <x:v>mic effects whic h have required adjustment to the dosage of hypoglycaemic agents. Ciclosporin and tacrolimus: Cases of nephrotoxicity have been reported in patients receiving concomitant ciclosporin and NSAIDs, including diclofenac sodium. Possible increased risk of nephrotoxicity when NSAIDs are given with tacrolimus. This might be med iated through combined renal anti -prostaglandin effects of both the NSAID and calcineurin inhibitor. Methotrexate: Cases of serious toxicity have been reported when methotrexate and NSAIDs including diclofenac are given within 24 hours of each other. This interaction is mediated through accumulation of methotrexate resulting from impairment of renal excre tion in the presence of the NSAID. Quinolone antimicrobials: Convulsions may occur due to an interaction between quinolones and NSAIDs. This may occur in patients with or without a previous history</x:v>
      </x:c>
      <x:c r="J372" s="37" t="str">
        <x:v>https://drug.fda.moph.go.th/media.php?id=810069032811241472&amp;name=SMPC_Diclofenac_Prolonged-Release capsules.pdf</x:v>
      </x:c>
    </x:row>
    <x:row r="373">
      <x:c r="A373" s="31" t="str">
        <x:v>diclofenac</x:v>
      </x:c>
      <x:c r="B373" s="31" t="str">
        <x:v>methotrexate</x:v>
      </x:c>
      <x:c r="C373" s="31" t="str">
        <x:v>unclassified</x:v>
      </x:c>
      <x:c r="D373" s="31" t="str">
        <x:v>review</x:v>
      </x:c>
      <x:c r="E373" s="31" t="str">
        <x:v>r0105_smpc</x:v>
      </x:c>
      <x:c r="F373" s="31" t="str">
        <x:v>SMPC</x:v>
      </x:c>
      <x:c r="G373" s="31" t="n">
        <x:v>8</x:v>
      </x:c>
      <x:c r="H373" s="31" t="str">
        <x:v>methotrexate</x:v>
      </x:c>
      <x:c r="I373" s="37" t="str">
        <x:v>mic effects whic h have required adjustment to the dosage of hypoglycaemic agents. Ciclosporin and tacrolimus: Cases of nephrotoxicity have been reported in patients receiving concomitant ciclosporin and NSAIDs, including diclofenac sodium. Possible increased risk of nephrotoxicity when NSAIDs are given with tacrolimus. This might be med iated through combined renal anti -prostaglandin effects of both the NSAID and calcineurin inhibitor. Methotrexate: Cases of serious toxicity have been reported when methotrexate and NSAIDs including diclofenac are given within 24 hours of each other. This interaction is mediated through accumulation of methotrexate resulting from impairment of renal excre tion in the presence of the NSAID. Quinolone antimicrobials: Convulsions may occur due to an interaction between quinolones and NSAIDs. This may occur in patients with or without a previous history</x:v>
      </x:c>
      <x:c r="J373" s="37" t="str">
        <x:v>https://drug.fda.moph.go.th/media.php?id=810069388655992832&amp;name=SMPC_Diclofenac_Prolonged-Release tablets.pdf</x:v>
      </x:c>
    </x:row>
    <x:row r="374">
      <x:c r="A374" s="31" t="str">
        <x:v>diclofenac</x:v>
      </x:c>
      <x:c r="B374" s="31" t="str">
        <x:v>tenoxicam</x:v>
      </x:c>
      <x:c r="C374" s="31" t="str">
        <x:v>unclassified</x:v>
      </x:c>
      <x:c r="D374" s="31" t="str">
        <x:v>review</x:v>
      </x:c>
      <x:c r="E374" s="31" t="str">
        <x:v>r0333_smpc</x:v>
      </x:c>
      <x:c r="F374" s="31" t="str">
        <x:v>SMPC</x:v>
      </x:c>
      <x:c r="G374" s="31" t="n">
        <x:v>19</x:v>
      </x:c>
      <x:c r="H374" s="31" t="str">
        <x:v>diclofenac</x:v>
      </x:c>
      <x:c r="I374" s="37" t="str">
        <x:v>proven in clinical studies for: Rheumatoid arthritis: It was shown that a dose of 20 or 40 mg once daily was effective and the effect was maintained for up to two years. Osteoarthritis: Tenoxicam is effective in the treatment of osteoarthritis. Anti-inflammatory and analgesic effects have been maintained for up to three years. Extra-articular disorders: Tenoxicam (20 mg once daily) was at least as effective as piroxicam (20 mg daily) and diclofenac (75 mg daily). Tenoxicam was better tolerated than diclofenac. 5.2. Pharmacokinetic properties Absorption Tenoxicam is long-acting; a single daily dose is effective. After oral administration, Tenoxicam is rapidly and completely absorbed as unchanged drug. Concomitant food reduces the rate, but not the extent, of absorption of Tenoxicam. Tenoxicam penetrates well into synovial fluid to give concentrations approximately half those in pla</x:v>
      </x:c>
      <x:c r="J374" s="37" t="str">
        <x:v>https://drug.fda.moph.go.th/media.php?id=810466026549551104&amp;name=SMPC_Tenoxicam_Tablets.pdf</x:v>
      </x:c>
    </x:row>
    <x:row r="375">
      <x:c r="A375" s="31" t="str">
        <x:v>diclofenac</x:v>
      </x:c>
      <x:c r="B375" s="31" t="str">
        <x:v>tramadol</x:v>
      </x:c>
      <x:c r="C375" s="31" t="str">
        <x:v>unclassified</x:v>
      </x:c>
      <x:c r="D375" s="31" t="str">
        <x:v>review</x:v>
      </x:c>
      <x:c r="E375" s="31" t="str">
        <x:v>r0351_smpc</x:v>
      </x:c>
      <x:c r="F375" s="31" t="str">
        <x:v>SMPC</x:v>
      </x:c>
      <x:c r="G375" s="31" t="n">
        <x:v>19</x:v>
      </x:c>
      <x:c r="H375" s="31" t="str">
        <x:v>diclofenac</x:v>
      </x:c>
      <x:c r="I375" s="37" t="str">
        <x:v>) and an increase in pulmonary tumours in females of all dosage groups (significant, but not dose-dependent). 6. PHARMACEUTICAL PARTICULARS 6.1. List of excipients &lt;REGARDING THE APPROVAL&gt; 6.2. Incompatibilities This medicinal product must not be mixed with other medicinal products except those mentioned in section 6.6. Precipitation will occur if tramadol hydrochloride injection is mixed in the same syringe with injections of diazepam, diclofenac sodium, indomethacin, midazolam and piroxicam. 6.3. Shelf life &lt;REGARDING THE APPROVAL&gt; 6.4. Special precautions for storage &lt;REGARDING THE APPROVAL&gt;</x:v>
      </x:c>
      <x:c r="J375" s="37" t="str">
        <x:v>https://drug.fda.moph.go.th/media.php?id=810484035766853632&amp;name=SMPC_Tramadol_solution for injection or infusion.pdf</x:v>
      </x:c>
    </x:row>
    <x:row r="376">
      <x:c r="A376" s="31" t="str">
        <x:v>digoxin</x:v>
      </x:c>
      <x:c r="B376" s="31" t="str">
        <x:v>dobutamine</x:v>
      </x:c>
      <x:c r="C376" s="31" t="str">
        <x:v>unclassified</x:v>
      </x:c>
      <x:c r="D376" s="31" t="str">
        <x:v>review</x:v>
      </x:c>
      <x:c r="E376" s="31" t="str">
        <x:v>r0434_smpc</x:v>
      </x:c>
      <x:c r="F376" s="31" t="str">
        <x:v>SMPC</x:v>
      </x:c>
      <x:c r="G376" s="31" t="n">
        <x:v>13</x:v>
      </x:c>
      <x:c r="H376" s="31" t="str">
        <x:v>digoxin</x:v>
      </x:c>
      <x:c r="I376" s="37" t="str">
        <x:v>lity was seen in rats. 6. PHARMACEUTICAL PARTICULARS 6.1 List of excipients &lt;ปรับตามทะเบียน&gt; 6.2 Incompatibilities Dobutamine solutions have proven to be incompatible with: Alkaline solutions (e. g. sodium hydrogen carbonate), solutions containing both sodium metabisulfite and ethanol, aciclovir, alteplase, aminophylline, bretylium, calcium chloride, calcium gluconate, cefamandol formiate, cephalotine sodium, cephazolin sodium, diazepam, digoxin, etacrynic acid (sodium salt), furosemide, heparin sodium, hydrogen cortisone sodium succinate, insulin, potassium chloride, magnesium sulfate, penicillin, phenytoin, streptokinase, verapamil. Furthermore known incompatibilities for sodium metabisulfite are: - chloramphenicol, - cisplatin. This medicinal product must not be mixed with other medicinal products except those mentioned in section 6.6. 6.3 Shelf life &lt;ปรับตามทะเบียน&gt; 6.4 Sp</x:v>
      </x:c>
      <x:c r="J376" s="37" t="str">
        <x:v>https://drug.fda.moph.go.th/media.php?id=904966129582219264&amp;name=2. Ref SmPC_Dobutamine.pdf</x:v>
      </x:c>
    </x:row>
    <x:row r="377">
      <x:c r="A377" s="31" t="str">
        <x:v>digoxin</x:v>
      </x:c>
      <x:c r="B377" s="31" t="str">
        <x:v>erythromycin</x:v>
      </x:c>
      <x:c r="C377" s="31" t="str">
        <x:v>unclassified</x:v>
      </x:c>
      <x:c r="D377" s="31" t="str">
        <x:v>review</x:v>
      </x:c>
      <x:c r="E377" s="31" t="str">
        <x:v>r0127_smpc</x:v>
      </x:c>
      <x:c r="F377" s="31" t="str">
        <x:v>SMPC</x:v>
      </x:c>
      <x:c r="G377" s="31" t="n">
        <x:v>7</x:v>
      </x:c>
      <x:c r="H377" s="31" t="str">
        <x:v>digoxin</x:v>
      </x:c>
      <x:c r="I377" s="37" t="str">
        <x:v>HPS. Parents should be informed to contact their physician if vomiting or irritability with feeding occurs. 4.5. Interaction with other medicinal products and other forms of interaction Increases in serum concentrations of the following drugs metabolised by the cytochrome P450 system may occur : when administered concurrently with erythromycin: acenocoumarol, alfentanil, astemizole, bromocriptine, carbamazepine, cilostazol, cyclosporin, digoxin, dihydroergotamine, disopyramide, ergotamine, hexobarbitone, methylprednisolone, midazolam, omeprazole, phenytoin, quinidine, rifabutin , sildenafil, tacrolimus, terfenadine, domperidone, theophylline, triazolam, valproate, vinblastine, and antifung als e.g fluconazole, ketoconazole and itraconazole. Appropriate monitoring should be undertaken and dosage should be adjusted as necessary. Particular care should be taken with m e d i c a t i</x:v>
      </x:c>
      <x:c r="J377" s="37" t="str">
        <x:v>https://drug.fda.moph.go.th/media.php?id=810076760694726656&amp;name=SMPC_Erythromycin_film-coated tablets.pdf</x:v>
      </x:c>
    </x:row>
    <x:row r="378">
      <x:c r="A378" s="31" t="str">
        <x:v>digoxin</x:v>
      </x:c>
      <x:c r="B378" s="31" t="str">
        <x:v>gentamicin</x:v>
      </x:c>
      <x:c r="C378" s="31" t="str">
        <x:v>unclassified</x:v>
      </x:c>
      <x:c r="D378" s="31" t="str">
        <x:v>review</x:v>
      </x:c>
      <x:c r="E378" s="31" t="str">
        <x:v>r0109_smpc</x:v>
      </x:c>
      <x:c r="F378" s="31" t="str">
        <x:v>SMPC</x:v>
      </x:c>
      <x:c r="G378" s="31" t="n">
        <x:v>13</x:v>
      </x:c>
      <x:c r="H378" s="31" t="str">
        <x:v>gentamicin</x:v>
      </x:c>
      <x:c r="I378" s="37" t="str">
        <x:v>1 Ref: Digoxin , MHRA, date 23/05/2022 13 Combinations requiring caution Combinations which can increase the effects of digoxin when co - administered: amiodarone, canagliflozin, daclatasvir, flibanserin, flecainide, prazosin, propafenone, quinidine, spironolactone, macrolide antibiotics e.g. erythromycin and clarythromycin, tetracycline (and possibly other antibiotics), gentamicin, isavuconazole, itraconazole, ivacaftor, quinine, trimethoprim, alprazolam, indomethacin, propantheline, mirabegron, nefazodone, atorvastatin, ciclosporine, epoprostenol (transient), vasopressin receptor antagonists (tolvaptan and conivaptan), carvedilol, ritonavir/ritonavir containing regimens, taleprevir, dronedarone, ranolazine, simeprevir, telmisartan, lapatinib, ticagrelor, vandetanib, velpatasvir, venetoclax and vemurafenib. Ca</x:v>
      </x:c>
      <x:c r="J378" s="37" t="str">
        <x:v>https://drug.fda.moph.go.th/media.php?id=810070238065467392&amp;name=SMPC_Digoxin_Tablets.pdf</x:v>
      </x:c>
    </x:row>
    <x:row r="379">
      <x:c r="A379" s="31" t="str">
        <x:v>digoxin</x:v>
      </x:c>
      <x:c r="B379" s="31" t="str">
        <x:v>indomethacin</x:v>
      </x:c>
      <x:c r="C379" s="31" t="str">
        <x:v>unclassified</x:v>
      </x:c>
      <x:c r="D379" s="31" t="str">
        <x:v>review</x:v>
      </x:c>
      <x:c r="E379" s="31" t="str">
        <x:v>r0109_smpc</x:v>
      </x:c>
      <x:c r="F379" s="31" t="str">
        <x:v>SMPC</x:v>
      </x:c>
      <x:c r="G379" s="31" t="n">
        <x:v>13</x:v>
      </x:c>
      <x:c r="H379" s="31" t="str">
        <x:v>indomethacin</x:v>
      </x:c>
      <x:c r="I379" s="37" t="str">
        <x:v>e 23/05/2022 13 Combinations requiring caution Combinations which can increase the effects of digoxin when co - administered: amiodarone, canagliflozin, daclatasvir, flibanserin, flecainide, prazosin, propafenone, quinidine, spironolactone, macrolide antibiotics e.g. erythromycin and clarythromycin, tetracycline (and possibly other antibiotics), gentamicin, isavuconazole, itraconazole, ivacaftor, quinine, trimethoprim, alprazolam, indomethacin, propantheline, mirabegron, nefazodone, atorvastatin, ciclosporine, epoprostenol (transient), vasopressin receptor antagonists (tolvaptan and conivaptan), carvedilol, ritonavir/ritonavir containing regimens, taleprevir, dronedarone, ranolazine, simeprevir, telmisartan, lapatinib, ticagrelor, vandetanib, velpatasvir, venetoclax and vemurafenib. Care should be taken when any of the above medicinal products are used in combination with</x:v>
      </x:c>
      <x:c r="J379" s="37" t="str">
        <x:v>https://drug.fda.moph.go.th/media.php?id=810070238065467392&amp;name=SMPC_Digoxin_Tablets.pdf</x:v>
      </x:c>
    </x:row>
    <x:row r="380">
      <x:c r="A380" s="31" t="str">
        <x:v>digoxin</x:v>
      </x:c>
      <x:c r="B380" s="31" t="str">
        <x:v>itraconazole</x:v>
      </x:c>
      <x:c r="C380" s="31" t="str">
        <x:v>unclassified</x:v>
      </x:c>
      <x:c r="D380" s="31" t="str">
        <x:v>review</x:v>
      </x:c>
      <x:c r="E380" s="31" t="str">
        <x:v>r0109_smpc</x:v>
      </x:c>
      <x:c r="F380" s="31" t="str">
        <x:v>SMPC</x:v>
      </x:c>
      <x:c r="G380" s="31" t="n">
        <x:v>13</x:v>
      </x:c>
      <x:c r="H380" s="31" t="str">
        <x:v>itraconazole</x:v>
      </x:c>
      <x:c r="I380" s="37" t="str">
        <x:v>1 Ref: Digoxin , MHRA, date 23/05/2022 13 Combinations requiring caution Combinations which can increase the effects of digoxin when co - administered: amiodarone, canagliflozin, daclatasvir, flibanserin, flecainide, prazosin, propafenone, quinidine, spironolactone, macrolide antibiotics e.g. erythromycin and clarythromycin, tetracycline (and possibly other antibiotics), gentamicin, isavuconazole, itraconazole, ivacaftor, quinine, trimethoprim, alprazolam, indomethacin, propantheline, mirabegron, nefazodone, atorvastatin, ciclosporine, epoprostenol (transient), vasopressin receptor antagonists (tolvaptan and conivaptan), carvedilol, ritonavir/ritonavir containing regimens, taleprevir, dronedarone, ranolazine, simeprevir, telmisartan, lapatinib, ticagrelor, vandetanib, velpatasvir, venetoclax and vemurafenib. Care should be taken when any</x:v>
      </x:c>
      <x:c r="J380" s="37" t="str">
        <x:v>https://drug.fda.moph.go.th/media.php?id=810070238065467392&amp;name=SMPC_Digoxin_Tablets.pdf</x:v>
      </x:c>
    </x:row>
    <x:row r="381">
      <x:c r="A381" s="31" t="str">
        <x:v>digoxin</x:v>
      </x:c>
      <x:c r="B381" s="31" t="str">
        <x:v>itraconazole</x:v>
      </x:c>
      <x:c r="C381" s="31" t="str">
        <x:v>unclassified</x:v>
      </x:c>
      <x:c r="D381" s="31" t="str">
        <x:v>review</x:v>
      </x:c>
      <x:c r="E381" s="31" t="str">
        <x:v>r0201_smpc</x:v>
      </x:c>
      <x:c r="F381" s="31" t="str">
        <x:v>SMPC</x:v>
      </x:c>
      <x:c r="G381" s="31" t="n">
        <x:v>13</x:v>
      </x:c>
      <x:c r="H381" s="31" t="str">
        <x:v>digoxin</x:v>
      </x:c>
      <x:c r="I381" s="37" t="str">
        <x:v>es of drugs that may have their plasma concentrations increased by itraconazole presented by drug class with advice regarding coadministration with itraconazole: Drug class Contraindicated Not Recommended Use with caution Alpha blockers Tamsulosin Analgesics Levacetylmethadol (levomethadyl), methadone Fentanyl Alfentanil, buprenorphine IV and sublingual, oxycodone Antiarrhthmics Disopyramide, dofetilide, dronedarone, quinidine Digoxin Antibacterials Rifabutina Anticoagulants and antiplatelet drugs Rivaroxaban Coumarins, cilostazol, dabigatran Anticonvulsivants carbamazepinea Antidiabetics Repaglinide, saxagliptin Antihelmintics and antiprotozoals Halofantrine Praziquantel Antihistamines Astemizole, mizolastine, terfenadine Ebastine Antimigraine drugs Ergot alkaloids, such as dihydroergotamine, ergometrine (ergonovine), ergotamine, methylergometrine (</x:v>
      </x:c>
      <x:c r="J381" s="37" t="str">
        <x:v>https://drug.fda.moph.go.th/media.php?id=810398699489468416&amp;name=SMPC_Itraconazole_Hard capsules.pdf</x:v>
      </x:c>
    </x:row>
    <x:row r="382">
      <x:c r="A382" s="31" t="str">
        <x:v>digoxin</x:v>
      </x:c>
      <x:c r="B382" s="31" t="str">
        <x:v>lithium</x:v>
      </x:c>
      <x:c r="C382" s="31" t="str">
        <x:v>unclassified</x:v>
      </x:c>
      <x:c r="D382" s="31" t="str">
        <x:v>review</x:v>
      </x:c>
      <x:c r="E382" s="31" t="str">
        <x:v>r0109_smpc</x:v>
      </x:c>
      <x:c r="F382" s="31" t="str">
        <x:v>SMPC</x:v>
      </x:c>
      <x:c r="G382" s="31" t="n">
        <x:v>12</x:v>
      </x:c>
      <x:c r="H382" s="31" t="str">
        <x:v>lithium</x:v>
      </x:c>
      <x:c r="I382" s="37" t="str">
        <x:v>uction of P -glycoprotein can result in decreases in plasma concentrations of digoxin. Combinations that should be avoided Combinations which can increase effects of digoxin when co - administered: Digoxin, in association with beta -adrenoceptor blocking drugs, may increase atrio ventricular conduction time. Agents causing hypokalaemia or intracellular potassium deficiency may cause increased sensitivity to digoxin; they include lithium salts, corticosteroids, carbenoxolone and some diuretics. Co-administration with diuretics such as loop or hydrochlorothiazide should be under close monitoring of serum electrolytes and renal function. Calcium, particularly if administered rapidly by the I.V. route, may produce serious arrhythmias in digitalised patients. Sympathomimetic drugs have direct positive chronotropic effects that can promote cardiac arrhythmias and ma</x:v>
      </x:c>
      <x:c r="J382" s="37" t="str">
        <x:v>https://drug.fda.moph.go.th/media.php?id=810070238065467392&amp;name=SMPC_Digoxin_Tablets.pdf</x:v>
      </x:c>
    </x:row>
    <x:row r="383">
      <x:c r="A383" s="31" t="str">
        <x:v>digoxin</x:v>
      </x:c>
      <x:c r="B383" s="31" t="str">
        <x:v>magnesium_trisilicate</x:v>
      </x:c>
      <x:c r="C383" s="31" t="str">
        <x:v>unclassified</x:v>
      </x:c>
      <x:c r="D383" s="31" t="str">
        <x:v>review</x:v>
      </x:c>
      <x:c r="E383" s="31" t="str">
        <x:v>r0219_smpc</x:v>
      </x:c>
      <x:c r="F383" s="31" t="str">
        <x:v>SMPC</x:v>
      </x:c>
      <x:c r="G383" s="31" t="n">
        <x:v>2</x:v>
      </x:c>
      <x:c r="H383" s="31" t="str">
        <x:v>digoxin</x:v>
      </x:c>
      <x:c r="I383" s="37" t="str">
        <x:v>nteraction May reduce the absorption and effect of other medicines, therefore, should not be taken at the same time as other medicines. Examples of other medications which may be affected include, but are not limited to ACE inhibitors, salicylates e.g. aspirin, atazanavir, azithromycin, barbiturates, bile acids, bisphosphonates, cephalosporin antibiotics, fluoroquinolone antibiotics, chloroquine and hydroxychloroquine, deflazacort, digoxin, dipyridamole, eltrombopag, erlotinib, fexofenadine, gabapentin, iron p reparations, isoniazid, itraconazole, ketoconazole, lansoprazole, levothyroxine, lithium, methenamine, mycophenolate, nitrofurantoin, penicillamine, phenothiazines, phenytoin, proguanil, rifampicin, rosuvastatin, sulpiride, tetracyclines, tipranavir, ulipristal (avoid use with antacids). With quinidine plasma concentrations may be increased.</x:v>
      </x:c>
      <x:c r="J383" s="37" t="str">
        <x:v>https://drug.fda.moph.go.th/media.php?id=810408508334940160&amp;name=SMPC_Magnesium trisilicate_Chewable Tablets.pdf</x:v>
      </x:c>
    </x:row>
    <x:row r="384">
      <x:c r="A384" s="31" t="str">
        <x:v>digoxin</x:v>
      </x:c>
      <x:c r="B384" s="31" t="str">
        <x:v>mannitol</x:v>
      </x:c>
      <x:c r="C384" s="31" t="str">
        <x:v>moderate</x:v>
      </x:c>
      <x:c r="D384" s="31" t="str">
        <x:v>eligible</x:v>
      </x:c>
      <x:c r="E384" s="31" t="str">
        <x:v>r0220_smpc</x:v>
      </x:c>
      <x:c r="F384" s="31" t="str">
        <x:v>SMPC</x:v>
      </x:c>
      <x:c r="G384" s="31" t="n">
        <x:v>10</x:v>
      </x:c>
      <x:c r="H384" s="31" t="str">
        <x:v>digoxin</x:v>
      </x:c>
      <x:c r="I384" s="37" t="str">
        <x:v>ation may alter the effects of agents that are sensitive to such imbalances (e.g., digoxin, agents that may cause QT prolongation, neuromuscular blocking agents). Other potential interactions are with tubocurarine and depolarising neuromuscular blocking drugs (enhancement of their effects by mannitol), oral anticoagulants (mannitol may reduce their effects by increasing the concentration of clotting factors secondar y to dehydration) and digoxin (if hypokalaemia follows mannitol treatment</x:v>
      </x:c>
      <x:c r="J384" s="37" t="str">
        <x:v>https://drug.fda.moph.go.th/media.php?id=810409159391584256&amp;name=SMPC_Mannitol_Solution for Infusion.pdf</x:v>
      </x:c>
    </x:row>
    <x:row r="385">
      <x:c r="A385" s="31" t="str">
        <x:v>digoxin</x:v>
      </x:c>
      <x:c r="B385" s="31" t="str">
        <x:v>mannitol</x:v>
      </x:c>
      <x:c r="C385" s="31" t="str">
        <x:v>unclassified</x:v>
      </x:c>
      <x:c r="D385" s="31" t="str">
        <x:v>review</x:v>
      </x:c>
      <x:c r="E385" s="31" t="str">
        <x:v>r0220_smpc</x:v>
      </x:c>
      <x:c r="F385" s="31" t="str">
        <x:v>SMPC</x:v>
      </x:c>
      <x:c r="G385" s="31" t="n">
        <x:v>11</x:v>
      </x:c>
      <x:c r="H385" s="31" t="str">
        <x:v>digoxin</x:v>
      </x:c>
      <x:c r="I385" s="37" t="str">
        <x:v>1 Ref:Manitol 10% Solution for Infusion BP, MHRA, 19/01/2017 Manitol 15% w/v Solution for Infusion, MHRA, 09/12/2019 11 there is a risk of digoxin toxicity), although there is limited evidence of such interactions occurring in humans. 4.6. Fertility, pregnancy and lactation There are no adequate published data from the use of mannitol in pregnant women. There are no adequate published data, from animal studies, with respect to mannitol’s effect on pregnancy and/or embryo/foetal development and/or parturition and/or postnatal development. Mannitol should not be used during pregnancy</x:v>
      </x:c>
      <x:c r="J385" s="37" t="str">
        <x:v>https://drug.fda.moph.go.th/media.php?id=810409159391584256&amp;name=SMPC_Mannitol_Solution for Infusion.pdf</x:v>
      </x:c>
    </x:row>
    <x:row r="386">
      <x:c r="A386" s="31" t="str">
        <x:v>digoxin</x:v>
      </x:c>
      <x:c r="B386" s="31" t="str">
        <x:v>nimodipine</x:v>
      </x:c>
      <x:c r="C386" s="31" t="str">
        <x:v>unclassified</x:v>
      </x:c>
      <x:c r="D386" s="31" t="str">
        <x:v>review</x:v>
      </x:c>
      <x:c r="E386" s="31" t="str">
        <x:v>r0255_smpc</x:v>
      </x:c>
      <x:c r="F386" s="31" t="str">
        <x:v>SMPC</x:v>
      </x:c>
      <x:c r="G386" s="31" t="n">
        <x:v>7</x:v>
      </x:c>
      <x:c r="H386" s="31" t="str">
        <x:v>digoxin</x:v>
      </x:c>
      <x:c r="I386" s="37" t="str">
        <x:v>the inhibition of the oxidative metabolism of dihydropyridines. Interactions shown not to exist A study examining the effects of 90mg nimodipine (in divided doses) on elderly patients receiving haloperidol did not show evidence of potential interactions. It is unclear whether this study is relevant to use in subarachnoid haemorrhage because of the higher dose of nimodipine used. Concomitant administration of oral nimodipine and diazepam, digoxin, glibenclamide, indometacin, ranitidine and warfarin did not reveal any potential for mutual interaction. 4.6. Fertility, pregnancy and lactation Pregnancy There are no adequate and well controlled studies in pregnant women. No reproductive toxicology studies following parenteral administration are available. Reproductive toxicology studies in animals after oral administration showed no teratogenic effect, although studies in animals ha</x:v>
      </x:c>
      <x:c r="J386" s="37" t="str">
        <x:v>https://drug.fda.moph.go.th/media.php?id=810423093272125440&amp;name=SMPC_Nimodipine_Solution for Infusion.pdf</x:v>
      </x:c>
    </x:row>
    <x:row r="387">
      <x:c r="A387" s="31" t="str">
        <x:v>digoxin</x:v>
      </x:c>
      <x:c r="B387" s="31" t="str">
        <x:v>omeprazole</x:v>
      </x:c>
      <x:c r="C387" s="31" t="str">
        <x:v>unclassified</x:v>
      </x:c>
      <x:c r="D387" s="31" t="str">
        <x:v>review</x:v>
      </x:c>
      <x:c r="E387" s="31" t="str">
        <x:v>r0262_smpc</x:v>
      </x:c>
      <x:c r="F387" s="31" t="str">
        <x:v>SMPC</x:v>
      </x:c>
      <x:c r="G387" s="31" t="n">
        <x:v>8</x:v>
      </x:c>
      <x:c r="H387" s="31" t="str">
        <x:v>digoxin</x:v>
      </x:c>
      <x:c r="I387" s="37" t="str">
        <x:v>omeprazole for at least three months, and in most cases for a year. Serious manifestations of hypomagnesaemia such as fatigue, tetany, delirium, convulsion s, dizziness and ventricular arrhythmia can occur but they may begin insidiously and be overlooked. In most affected patients, hypomagnesaemia improved after magnesium replacement and discontinuation of the PPI. For patients expected to be on prolonged treatment or who take PPIs with digoxin or drugs that may cause hypomagnesaemia (e.g. diuretics), healthcare professionals should consider measuring magnesium levels before starting PPI treatment and periodically during treatment. Severe cutaneous adverse reactions (SCARs) including Stevens - Johnson syndrome (SJS), toxic epidermal necrolysis (TEN), drug reaction with eosinophilia and systemic symptoms (DRESS) and acute generalized exanthematous pustulosis (AGEP), which can be li</x:v>
      </x:c>
      <x:c r="J387" s="37" t="str">
        <x:v>https://drug.fda.moph.go.th/media.php?id=810426319253938176&amp;name=SMPC_Omeprazole_Hard Gastro-resistant Capsule.pdf</x:v>
      </x:c>
    </x:row>
    <x:row r="388">
      <x:c r="A388" s="31" t="str">
        <x:v>digoxin</x:v>
      </x:c>
      <x:c r="B388" s="31" t="str">
        <x:v>omeprazole</x:v>
      </x:c>
      <x:c r="C388" s="31" t="str">
        <x:v>unclassified</x:v>
      </x:c>
      <x:c r="D388" s="31" t="str">
        <x:v>review</x:v>
      </x:c>
      <x:c r="E388" s="31" t="str">
        <x:v>r0262_smpc</x:v>
      </x:c>
      <x:c r="F388" s="31" t="str">
        <x:v>SMPC</x:v>
      </x:c>
      <x:c r="G388" s="31" t="n">
        <x:v>11</x:v>
      </x:c>
      <x:c r="H388" s="31" t="str">
        <x:v>digoxin</x:v>
      </x:c>
      <x:c r="I388" s="37" t="str">
        <x:v>to healthy volunteers resulted in a 75% decrease of the atazanavir exposure. Increasing the atazanavir dose to 400 mg did not compensate for the impact of omeprazole on atazanavir exposur e. The co - administration of omeprazole (20 mg once daily) with atazanavir 400 mg/ritonavir 100 mg to healthy volunteers resulted in a decrease of approximately 30% in the atazanavir exposure as compared to atazanavir 300 mg/ritonavir 100 mg once daily. Digoxin Concomitant treatment with omeprazole (20 mg daily) and digoxin in healthy subjects increased the bioavailability of digoxin by 10%. Digoxin toxicity has been rarely reported. However caution should be exercised when omeprazole is given at high doses in el derly patients. Therapeutic drug monitoring of digoxin should be then be reinforced. Clopidogrel Results from studies in healthy subjects have shown a pharmacokinetic (PK)/pharmacodyna</x:v>
      </x:c>
      <x:c r="J388" s="37" t="str">
        <x:v>https://drug.fda.moph.go.th/media.php?id=810426319253938176&amp;name=SMPC_Omeprazole_Hard Gastro-resistant Capsule.pdf</x:v>
      </x:c>
    </x:row>
    <x:row r="389">
      <x:c r="A389" s="31" t="str">
        <x:v>digoxin</x:v>
      </x:c>
      <x:c r="B389" s="31" t="str">
        <x:v>omeprazole</x:v>
      </x:c>
      <x:c r="C389" s="31" t="str">
        <x:v>unclassified</x:v>
      </x:c>
      <x:c r="D389" s="31" t="str">
        <x:v>review</x:v>
      </x:c>
      <x:c r="E389" s="31" t="str">
        <x:v>r0435_smpc</x:v>
      </x:c>
      <x:c r="F389" s="31" t="str">
        <x:v>SMPC</x:v>
      </x:c>
      <x:c r="G389" s="31" t="n">
        <x:v>6</x:v>
      </x:c>
      <x:c r="H389" s="31" t="str">
        <x:v>digoxin</x:v>
      </x:c>
      <x:c r="I389" s="37" t="str">
        <x:v>g to healthy volunteers resulted in a 75% decrease of the atazanavir exposure. Increasing the atazanavir dose to 400 mg did not compensate for the impact of omeprazole on atazanavir exposure. The co-administration of omeprazole (20 mg once daily) with atazanavir 400 mg/ritonavir 100 mg to healthy volunteers resulted in a decrease of approximately 30% in the atazanavir exposure as compared to atazanavir 300 mg/ritonavir 100 mg once daily. Digoxin Concomitant treatment with omeprazole (20 mg daily) and digoxin in healthy subjects increased the bioavailability of digoxin by 10%. Digoxin toxicity has been rarely reported. However caution should be exercised when omeprazole is given at</x:v>
      </x:c>
      <x:c r="J389" s="37" t="str">
        <x:v>https://drug.fda.moph.go.th/media.php?id=904966130538520576&amp;name=3. Ref SmPC_Omeprazole.pdf</x:v>
      </x:c>
    </x:row>
    <x:row r="390">
      <x:c r="A390" s="31" t="str">
        <x:v>digoxin</x:v>
      </x:c>
      <x:c r="B390" s="31" t="str">
        <x:v>piroxicam</x:v>
      </x:c>
      <x:c r="C390" s="31" t="str">
        <x:v>unclassified</x:v>
      </x:c>
      <x:c r="D390" s="31" t="str">
        <x:v>review</x:v>
      </x:c>
      <x:c r="E390" s="31" t="str">
        <x:v>r0279_smpc</x:v>
      </x:c>
      <x:c r="F390" s="31" t="str">
        <x:v>SMPC</x:v>
      </x:c>
      <x:c r="G390" s="31" t="n">
        <x:v>8</x:v>
      </x:c>
      <x:c r="H390" s="31" t="str">
        <x:v>digoxin</x:v>
      </x:c>
      <x:c r="I390" s="37" t="str">
        <x:v>1 Ref: Feldene, EMC, 01/04/2024 8 Corticosteroids: increased risk of gastrointestinal ulceration or bleeding (see section 4.4). Digoxin, Digitoxin: Concurrent therapy with Piroxicam and digoxin, or Piroxicam and digitoxin, did not affect the plasma levels of either drug. Anti-hypertensives including diuretics, angiotensin -converting enzyme (ACE) inhibitors, angiotensin II antagonists (AIIA) and beta-blockers: NSAIDs can reduce the efficacy of diuretics and other anti-hypertensive drugs including ACE inhibitors, AIIA and beta - blockers. In patients with impaired renal func</x:v>
      </x:c>
      <x:c r="J390" s="37" t="str">
        <x:v>https://drug.fda.moph.go.th/media.php?id=810433390829510656&amp;name=SMPC_Piroxicam_Capsules.pdf</x:v>
      </x:c>
    </x:row>
    <x:row r="391">
      <x:c r="A391" s="31" t="str">
        <x:v>digoxin</x:v>
      </x:c>
      <x:c r="B391" s="31" t="str">
        <x:v>prazosin</x:v>
      </x:c>
      <x:c r="C391" s="31" t="str">
        <x:v>unclassified</x:v>
      </x:c>
      <x:c r="D391" s="31" t="str">
        <x:v>review</x:v>
      </x:c>
      <x:c r="E391" s="31" t="str">
        <x:v>r0289_smpc</x:v>
      </x:c>
      <x:c r="F391" s="31" t="str">
        <x:v>SMPC</x:v>
      </x:c>
      <x:c r="G391" s="31" t="n">
        <x:v>8</x:v>
      </x:c>
      <x:c r="H391" s="31" t="str">
        <x:v>digoxin</x:v>
      </x:c>
      <x:c r="I391" s="37" t="str">
        <x:v>Hypovase, MHRA, date 16/08/2023 8 Excipient information Prazosin hydrochloride 0.5 mg tablets contain less than 1 mmol sodium (23 mg) per tablet, that is to say essentially ‘sodium-free’. 4.5. Interaction with other medicinal products and other forms of interaction Prazosin hydrochloride has been administered without any adverse drug interaction in clinical experience to date with the following: Cardiac glycosides: digitalis and digoxin. Hypoglycaemic agents: insulin, chlorpropamide, phenformin, tolazamide and tolbutamide. Tranquillizers and sedatives: chlordiazapoxide, diazepam and phenobarbital. Agents for treatment of gout: allopurinol, colchicine and probenecid. Anti-arrhythmic agents: procainamide and quinidine. Analgesic, antipyretic and anti-inflammatory agents: dextropropoxyphene, aspirin, indomethacin and phenylbutazone. There is evidence</x:v>
      </x:c>
      <x:c r="J391" s="37" t="str">
        <x:v>https://drug.fda.moph.go.th/media.php?id=810438580303437824&amp;name=SMPC_Prazosin_Tablets.pdf</x:v>
      </x:c>
    </x:row>
    <x:row r="392">
      <x:c r="A392" s="31" t="str">
        <x:v>digoxin</x:v>
      </x:c>
      <x:c r="B392" s="31" t="str">
        <x:v>quinine</x:v>
      </x:c>
      <x:c r="C392" s="31" t="str">
        <x:v>unclassified</x:v>
      </x:c>
      <x:c r="D392" s="31" t="str">
        <x:v>review</x:v>
      </x:c>
      <x:c r="E392" s="31" t="str">
        <x:v>r0109_smpc</x:v>
      </x:c>
      <x:c r="F392" s="31" t="str">
        <x:v>SMPC</x:v>
      </x:c>
      <x:c r="G392" s="31" t="n">
        <x:v>13</x:v>
      </x:c>
      <x:c r="H392" s="31" t="str">
        <x:v>quinine</x:v>
      </x:c>
      <x:c r="I392" s="37" t="str">
        <x:v>1 Ref: Digoxin , MHRA, date 23/05/2022 13 Combinations requiring caution Combinations which can increase the effects of digoxin when co - administered: amiodarone, canagliflozin, daclatasvir, flibanserin, flecainide, prazosin, propafenone, quinidine, spironolactone, macrolide antibiotics e.g. erythromycin and clarythromycin, tetracycline (and possibly other antibiotics), gentamicin, isavuconazole, itraconazole, ivacaftor, quinine, trimethoprim, alprazolam, indomethacin, propantheline, mirabegron, nefazodone, atorvastatin, ciclosporine, epoprostenol (transient), vasopressin receptor antagonists (tolvaptan and conivaptan), carvedilol, ritonavir/ritonavir containing regimens, taleprevir, dronedarone, ranolazine, simeprevir, telmisartan, lapatinib, ticagrelor, vandetanib, velpatasvir, venetoclax and vemurafenib. Care should be taken when any of the above medici</x:v>
      </x:c>
      <x:c r="J392" s="37" t="str">
        <x:v>https://drug.fda.moph.go.th/media.php?id=810070238065467392&amp;name=SMPC_Digoxin_Tablets.pdf</x:v>
      </x:c>
    </x:row>
    <x:row r="393">
      <x:c r="A393" s="31" t="str">
        <x:v>digoxin</x:v>
      </x:c>
      <x:c r="B393" s="31" t="str">
        <x:v>sodium_bicarbonate</x:v>
      </x:c>
      <x:c r="C393" s="31" t="str">
        <x:v>unclassified</x:v>
      </x:c>
      <x:c r="D393" s="31" t="str">
        <x:v>review</x:v>
      </x:c>
      <x:c r="E393" s="31" t="str">
        <x:v>r0314_smpc</x:v>
      </x:c>
      <x:c r="F393" s="31" t="str">
        <x:v>SMPC</x:v>
      </x:c>
      <x:c r="G393" s="31" t="n">
        <x:v>3</x:v>
      </x:c>
      <x:c r="H393" s="31" t="str">
        <x:v>digoxin</x:v>
      </x:c>
      <x:c r="I393" s="37" t="str">
        <x:v>ces the absorption of a number of other drugs taken concomitantly. These include ACE inhibitors (captopril, enalapril, and fosinopril), antibacterials and antifungals (azithromycin, cefaclor, cefpodoxime, isoniazid, itraconazole, rif ampicin, tetracyclines, ketoconazole and the quinolone group of antibacterials); antivirals(atazanivir, fosamprenavir, tipranavir); antihistamines (fexofenadine); bisphosponates, corticosteroids (deflazacort); digoxin, dipyridamole, antiepileptics (gabapen tin and phenytoin), ulcer healing drugs (lansoprazole); levothyroxine, mycophenolate, lipid regulating drugs (rosuvastatin); antipsychotics (sulpiride, phenothiazines), chloroquine, hydrochloroquine, and penicillamine. Antacids should be avoided with nilotinib. Antacids possibly reduce absorption of bile acids. 4.6. Fertility, pregnancy and lactation Pregnancy Animal studies are insufficient with r</x:v>
      </x:c>
      <x:c r="J393" s="37" t="str">
        <x:v>https://drug.fda.moph.go.th/media.php?id=810453894575562752&amp;name=SMPC_Sodium Bicarbonate_powder.pdf</x:v>
      </x:c>
    </x:row>
    <x:row r="394">
      <x:c r="A394" s="31" t="str">
        <x:v>digoxin</x:v>
      </x:c>
      <x:c r="B394" s="31" t="str">
        <x:v>sucralfate</x:v>
      </x:c>
      <x:c r="C394" s="31" t="str">
        <x:v>unclassified</x:v>
      </x:c>
      <x:c r="D394" s="31" t="str">
        <x:v>review</x:v>
      </x:c>
      <x:c r="E394" s="31" t="str">
        <x:v>r0329_smpc</x:v>
      </x:c>
      <x:c r="F394" s="31" t="str">
        <x:v>SMPC</x:v>
      </x:c>
      <x:c r="G394" s="31" t="n">
        <x:v>4</x:v>
      </x:c>
      <x:c r="H394" s="31" t="str">
        <x:v>digoxin</x:v>
      </x:c>
      <x:c r="I394" s="37" t="str">
        <x:v>1 Ref:Antepsin, HPRA, 03/2019 4 Concomitant administration of sucralfate may reduce the bioavailability of certain drugs including fluoroquinolones such as ciprofloxacin and norfloxacin, tetracycline, ketoconazole, sulpiride, digoxin, warfarin, phenytoin, theophylline, levothyroxine, qui nidine and H2 antagonists.The bioavailability of these agents may be restored by separating the administration of these agents from sucralfate by two hours.This interaction appears to be non systemic in origin presumably resulting from these agents being b ound by sucralfate in the gastrointestinal tract. Because of the potential of sucralfate to alter the absorption of some drugs fro</x:v>
      </x:c>
      <x:c r="J394" s="37" t="str">
        <x:v>https://drug.fda.moph.go.th/media.php?id=810463510696960000&amp;name=SMPC_Sucralfate_suspension.pdf</x:v>
      </x:c>
    </x:row>
    <x:row r="395">
      <x:c r="A395" s="31" t="str">
        <x:v>digoxin</x:v>
      </x:c>
      <x:c r="B395" s="31" t="str">
        <x:v>tenoxicam</x:v>
      </x:c>
      <x:c r="C395" s="31" t="str">
        <x:v>moderate</x:v>
      </x:c>
      <x:c r="D395" s="31" t="str">
        <x:v>eligible</x:v>
      </x:c>
      <x:c r="E395" s="31" t="str">
        <x:v>r0333_smpc</x:v>
      </x:c>
      <x:c r="F395" s="31" t="str">
        <x:v>SMPC</x:v>
      </x:c>
      <x:c r="G395" s="31" t="n">
        <x:v>8</x:v>
      </x:c>
      <x:c r="H395" s="31" t="str">
        <x:v>digoxin</x:v>
      </x:c>
      <x:c r="I395" s="37" t="str">
        <x:v>to be of clinical significance. No interaction has been found with concomitantly administered cimetidine. Anticoagulants Tenoxicam is highly bound to serum albumin, and can, as with all NSAIDs, enhance the effects of anticoagulants such as warfarin (see section 4.4). Close monitoring of the effects of anticoagulants and oral glycaemic agents is advised, especially during the initial stages of treatment with Tenoxicam. No interaction with digoxin has been observed. In healthy subjects no clinically relevant interaction between Tenoxicam and low molecular weight heparin has been observed. Cardiac glycosides NSAIDs may exacerbate cardiac failure, reduce GFR and increase plasma cardiac glycoside levels when co -administered with cardiac glycosides. During clinical trials no interaction was reported for patients</x:v>
      </x:c>
      <x:c r="J395" s="37" t="str">
        <x:v>https://drug.fda.moph.go.th/media.php?id=810466026549551104&amp;name=SMPC_Tenoxicam_Tablets.pdf</x:v>
      </x:c>
    </x:row>
    <x:row r="396">
      <x:c r="A396" s="31" t="str">
        <x:v>digoxin</x:v>
      </x:c>
      <x:c r="B396" s="31" t="str">
        <x:v>tetracycline</x:v>
      </x:c>
      <x:c r="C396" s="31" t="str">
        <x:v>unclassified</x:v>
      </x:c>
      <x:c r="D396" s="31" t="str">
        <x:v>review</x:v>
      </x:c>
      <x:c r="E396" s="31" t="str">
        <x:v>r0338_smpc</x:v>
      </x:c>
      <x:c r="F396" s="31" t="str">
        <x:v>SMPC</x:v>
      </x:c>
      <x:c r="G396" s="31" t="n">
        <x:v>7</x:v>
      </x:c>
      <x:c r="H396" s="31" t="str">
        <x:v>digoxin</x:v>
      </x:c>
      <x:c r="I396" s="37" t="str">
        <x:v>some cases when tetracycline therapy has been combined with methoxyflurane. Tetracycline may increase the hypoglycaemic effects of insulin and sulphonylureas in patients with diabetes mellitus. The absorption of tetracycline may be reduced by the concomitant administration of sucralfate. Separating administration should be considered. Tetracycline may cause an increase in serum lithium levels. Tetracycline may cause an increase in serum digoxin levels. Tetracycline may cause an increase the risk of methotrexate toxicity. Regular monitoring of toxicity is necessary when taken concurrently. Absorption of tetracycline is impaired by strontium ranelate (manufacturer of strontium ranelate advises avoid concomitant use). Absorption of tetracycline is possibly reduced by colestipol and colestyramine. Increased risk of ergotism when tetracycline given with ergotamine and methysergide.</x:v>
      </x:c>
      <x:c r="J396" s="37" t="str">
        <x:v>https://drug.fda.moph.go.th/media.php?id=810476861875429376&amp;name=SMPC_Tetracycline_Tablets.pdf</x:v>
      </x:c>
    </x:row>
    <x:row r="397">
      <x:c r="A397" s="31" t="str">
        <x:v>digoxin</x:v>
      </x:c>
      <x:c r="B397" s="31" t="str">
        <x:v>trazodone</x:v>
      </x:c>
      <x:c r="C397" s="31" t="str">
        <x:v>unclassified</x:v>
      </x:c>
      <x:c r="D397" s="31" t="str">
        <x:v>review</x:v>
      </x:c>
      <x:c r="E397" s="31" t="str">
        <x:v>r0352_smpc</x:v>
      </x:c>
      <x:c r="F397" s="31" t="str">
        <x:v>SMPC</x:v>
      </x:c>
      <x:c r="G397" s="31" t="n">
        <x:v>13</x:v>
      </x:c>
      <x:c r="H397" s="31" t="str">
        <x:v>digoxin</x:v>
      </x:c>
      <x:c r="I397" s="37" t="str">
        <x:v>no clinical interactions have been reported, the possibility of potentiation should be considered. Undesirable effects may be more frequent when &lt;GENERIC NAME&gt; is administered together with preparations containing Hypericum perforatum (St John’s Wort). There have been reports of changes in prothrombin time in patients concomitantly receiving trazodone and warfarin. Concurrent use with &lt;GENERIC NAME&gt; may result in elevated serum levels of digoxin or phenytoin. Monitoring of serum levels should be considered in these patients. 4.6. Fertility, pregnancy and lactation Pregnancy Trazadone should only be administered during pregnancy if considered essential by the physician. Data on a limited number (&lt; 200) of exposed pregnancies indicate no adverse effects of Molipaxin/Trazodone on pregnancy or on the health of the foetus/newborn child. To date, no other relevant epidemiological dat</x:v>
      </x:c>
      <x:c r="J397" s="37" t="str">
        <x:v>https://drug.fda.moph.go.th/media.php?id=810484413367459840&amp;name=SMPC_Trazodone_Tablets.pdf</x:v>
      </x:c>
    </x:row>
    <x:row r="398">
      <x:c r="A398" s="31" t="str">
        <x:v>digoxin</x:v>
      </x:c>
      <x:c r="B398" s="31" t="str">
        <x:v>trimethoprim_sulfamethoxazole</x:v>
      </x:c>
      <x:c r="C398" s="31" t="str">
        <x:v>unclassified</x:v>
      </x:c>
      <x:c r="D398" s="31" t="str">
        <x:v>review</x:v>
      </x:c>
      <x:c r="E398" s="31" t="str">
        <x:v>r0358_smpc</x:v>
      </x:c>
      <x:c r="F398" s="31" t="str">
        <x:v>SMPC</x:v>
      </x:c>
      <x:c r="G398" s="31" t="n">
        <x:v>10</x:v>
      </x:c>
      <x:c r="H398" s="31" t="str">
        <x:v>digoxin</x:v>
      </x:c>
      <x:c r="I398" s="37" t="str">
        <x:v>f its metabolism. Sulfamethoxazole may displace warfarin from plasma - albumin protein -binding sites in vitro. Careful control of the anticoagulant therapy during treatment with Co -Trimoxazole is advisable. Phenytoin: co-trimoxazole prolongs the half-life of phenytoin and if co- administered the prescriber should be alert for excessive phenytoin effect. Close monitoring of the patient's condition and serum phenytoin levels is advisable. Digoxin: concomitant use of trimethoprim with digoxin has been shown to increase plasma digoxin levels in a proportion of elderly patients. Methotrexate: co-trimoxazole may increase the free plasma levels of methotrexate. If Co- Trimoxazole is considered appropriate therapy in patients receiving other anti-folate drugs such as methotrexate, a folate supplement should be considered (see section 4.4). Trimethoprim interferes with assays for serum me</x:v>
      </x:c>
      <x:c r="J398" s="37" t="str">
        <x:v>https://drug.fda.moph.go.th/media.php?id=810494133834752000&amp;name=SMPC_Trimethoprim + Sulfamethoxazole_Solution for Infusion.pdf</x:v>
      </x:c>
    </x:row>
    <x:row r="399">
      <x:c r="A399" s="31" t="str">
        <x:v>diltiazem</x:v>
      </x:c>
      <x:c r="B399" s="31" t="str">
        <x:v>domperidone</x:v>
      </x:c>
      <x:c r="C399" s="31" t="str">
        <x:v>unclassified</x:v>
      </x:c>
      <x:c r="D399" s="31" t="str">
        <x:v>review</x:v>
      </x:c>
      <x:c r="E399" s="31" t="str">
        <x:v>r0116_smpc</x:v>
      </x:c>
      <x:c r="F399" s="31" t="str">
        <x:v>SMPC</x:v>
      </x:c>
      <x:c r="G399" s="31" t="n">
        <x:v>7</x:v>
      </x:c>
      <x:c r="H399" s="31" t="str">
        <x:v>diltiazem</x:v>
      </x:c>
      <x:c r="I399" s="37" t="str">
        <x:v>the risks, and only if the recommended precautions for co-administration are strictly fulfilled. Please refer to the apomorphine SmPC. Potent CYP3A4 inhibitors (regardless of their QT prolonging effects) : - protease inhibitors - systemic azole antifungals - some macrolides (erythromycin, clarithromycin,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 -inducing drugs, as well as with the following macrolides involved in QT -interval prolongation: azithromycin and roxithromycin (clarithromycin is contra-indicated as it is a potent CYP3A4 inhibitor). The above list of substances is representative and not exhaustive.</x:v>
      </x:c>
      <x:c r="J399" s="37" t="str">
        <x:v>https://drug.fda.moph.go.th/media.php?id=810073662739849216&amp;name=SMPC_Domperidone_oral suspension.pdf</x:v>
      </x:c>
    </x:row>
    <x:row r="400">
      <x:c r="A400" s="31" t="str">
        <x:v>diltiazem</x:v>
      </x:c>
      <x:c r="B400" s="31" t="str">
        <x:v>domperidone</x:v>
      </x:c>
      <x:c r="C400" s="31" t="str">
        <x:v>unclassified</x:v>
      </x:c>
      <x:c r="D400" s="31" t="str">
        <x:v>review</x:v>
      </x:c>
      <x:c r="E400" s="31" t="str">
        <x:v>r0117_smpc</x:v>
      </x:c>
      <x:c r="F400" s="31" t="str">
        <x:v>SMPC</x:v>
      </x:c>
      <x:c r="G400" s="31" t="n">
        <x:v>6</x:v>
      </x:c>
      <x:c r="H400" s="31" t="str">
        <x:v>diltiazem</x:v>
      </x:c>
      <x:c r="I400" s="37" t="str">
        <x:v>1 Ref:Domperidone 10 mg film-coated tablets, MHRA, 03/04/2024 6 • protease inhibitors • systemic azole antifungals • some macrolides (erythromycin, clarithromycin,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hypokalaemia-inducing drugs, as well as with the following macrolides involved in QT -interval prolongation: azithromycin and roxithromycin (clarithromycin is contra -indicated as it is a potent CYP3A4 inhibitor). The above list of substances is representative and not exhaustive. Separate in v</x:v>
      </x:c>
      <x:c r="J400" s="37" t="str">
        <x:v>https://drug.fda.moph.go.th/media.php?id=810074048620011520&amp;name=SMPC_Domperidone_Film-coated Tablets.pdf</x:v>
      </x:c>
    </x:row>
    <x:row r="401">
      <x:c r="A401" s="31" t="str">
        <x:v>diltiazem</x:v>
      </x:c>
      <x:c r="B401" s="31" t="str">
        <x:v>domperidone</x:v>
      </x:c>
      <x:c r="C401" s="31" t="str">
        <x:v>unclassified</x:v>
      </x:c>
      <x:c r="D401" s="31" t="str">
        <x:v>review</x:v>
      </x:c>
      <x:c r="E401" s="31" t="str">
        <x:v>r0118_smpc</x:v>
      </x:c>
      <x:c r="F401" s="31" t="str">
        <x:v>SMPC</x:v>
      </x:c>
      <x:c r="G401" s="31" t="n">
        <x:v>6</x:v>
      </x:c>
      <x:c r="H401" s="31" t="str">
        <x:v>diltiazem</x:v>
      </x:c>
      <x:c r="I401" s="37" t="str">
        <x:v>risks, and only if the recommended precautions for co - administration are strictly fulfilled. Please refer to the apomorphine SmPC. Potent CYP3A4 inhibitors (regardless of their QT prolonging effects), i.e: • protease inhibitors • systemic azole antifungals • some macrolides (erythromycin, clarithromycin and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hypokalaemia-inducing drugs, as well as with the following macrolides involved in QT -prolongation: azithromycin and roxithromycin (clarithromycin is contraindicated as it is a potent CYP3A4 inhibitor). The above list of substances is representative and not exhaustive. There is a theoretical</x:v>
      </x:c>
      <x:c r="J401" s="37" t="str">
        <x:v>https://drug.fda.moph.go.th/media.php?id=810074487256129536&amp;name=SMPC_Domperidone_Tablets.pdf</x:v>
      </x:c>
    </x:row>
    <x:row r="402">
      <x:c r="A402" s="31" t="str">
        <x:v>diltiazem</x:v>
      </x:c>
      <x:c r="B402" s="31" t="str">
        <x:v>methylprednisolone</x:v>
      </x:c>
      <x:c r="C402" s="31" t="str">
        <x:v>unclassified</x:v>
      </x:c>
      <x:c r="D402" s="31" t="str">
        <x:v>review</x:v>
      </x:c>
      <x:c r="E402" s="31" t="str">
        <x:v>r0233_smpc</x:v>
      </x:c>
      <x:c r="F402" s="31" t="str">
        <x:v>SMPC</x:v>
      </x:c>
      <x:c r="G402" s="31" t="n">
        <x:v>18</x:v>
      </x:c>
      <x:c r="H402" s="31" t="str">
        <x:v>diltiazem</x:v>
      </x:c>
      <x:c r="I402" s="37" t="str">
        <x:v>vulsants - PHENOBARBITAL - PHENYTOIN CYP3A4 INDUCER CYP3A4 INDUCER A decrease in the plasma concentration of methylprednisolone may occur. Co-administration may require an increase in methylprednisolone dosage to achieve the desired result. Antiemetic - APREPITANT - FOSAPREPITANT Antifungal - ITRACONAZOLE - KETOCONAZOLE Antivirals - HIV-PROTEASE INHIBITORS Pharmacokinetic enhancers - COBICISTAT Calcium Channel Blocker - DILTIAZEM Contraceptives (oral) - ETHINYLESTRADIOL/ NORETHISTERONE Immunosuppressant - CICLOSPORIN Macrolide Antibacterial - CLARITHROMYCIN - ERYTHROMYCIN CYP3A4 INHIBITORS (and SUBSTRATES) CYP3A4 INHIBITORS (and SUBSTRATES) The hepatic clearance of methylprednisolone may be inhibited or induced, resulting in an increase or decrease in the plasma concentration of methylprednisolone. A corresponding dosage adjustment may be required</x:v>
      </x:c>
      <x:c r="J402" s="37" t="str">
        <x:v>https://drug.fda.moph.go.th/media.php?id=810412748335882240&amp;name=SMPC_Methylprednisolone_Powders for solutions for injections or infusions.pdf</x:v>
      </x:c>
    </x:row>
    <x:row r="403">
      <x:c r="A403" s="31" t="str">
        <x:v>diltiazem</x:v>
      </x:c>
      <x:c r="B403" s="31" t="str">
        <x:v>timolol</x:v>
      </x:c>
      <x:c r="C403" s="31" t="str">
        <x:v>unclassified</x:v>
      </x:c>
      <x:c r="D403" s="31" t="str">
        <x:v>review</x:v>
      </x:c>
      <x:c r="E403" s="31" t="str">
        <x:v>r0345_smpc</x:v>
      </x:c>
      <x:c r="F403" s="31" t="str">
        <x:v>SMPC</x:v>
      </x:c>
      <x:c r="G403" s="31" t="n">
        <x:v>8</x:v>
      </x:c>
      <x:c r="H403" s="31" t="str">
        <x:v>diltiazem</x:v>
      </x:c>
      <x:c r="I403" s="37" t="str">
        <x:v>diac function. The potential exists for hypotension, AV conduction disturbances and left ventricular failure to occur in patients receiving a beta -blocking agent when an oral calcium -channel blocker is added to the treatment regimen. The nature of any cardiovascular adve rse effects tends to depend on the type of calcium -channel blocker used. Dihydropyridine derivatives, such as nifedipine, may lead to hypotension, whereas verapamil or diltiazem have a greater propensity to lead to AV conduction disturbances or left ventri cular failure when used with a beta-blocker. Intravenous calcium channel blockers should be used with caution in patients receiving beta-adrenergic blocking agents. The concomitant use of beta -adrenergic blocking agents and digitalis with either diltiazem or verapamil may have additive effects in prolonging AV conduction time. 4.6. Fertility, pregnancy and la</x:v>
      </x:c>
      <x:c r="J403" s="37" t="str">
        <x:v>https://drug.fda.moph.go.th/media.php?id=810482237991690240&amp;name=SMPC_Timolol_Eye Drops Solution.pdf</x:v>
      </x:c>
    </x:row>
    <x:row r="404">
      <x:c r="A404" s="31" t="str">
        <x:v>dimenhydrinate</x:v>
      </x:c>
      <x:c r="B404" s="31" t="str">
        <x:v>diphenhydramine</x:v>
      </x:c>
      <x:c r="C404" s="31" t="str">
        <x:v>unclassified</x:v>
      </x:c>
      <x:c r="D404" s="31" t="str">
        <x:v>review</x:v>
      </x:c>
      <x:c r="E404" s="31" t="str">
        <x:v>r0111_smpc</x:v>
      </x:c>
      <x:c r="F404" s="31" t="str">
        <x:v>SMPC</x:v>
      </x:c>
      <x:c r="G404" s="31" t="n">
        <x:v>5</x:v>
      </x:c>
      <x:c r="H404" s="31" t="str">
        <x:v>diphenhydramine</x:v>
      </x:c>
      <x:c r="I404" s="37" t="str">
        <x:v>be kept quiet, particularly in the case of children, to minimise the excitation which occurs. Convulsions may be controlled with Diazepam preferably given intravenously. Since Dimenhydrinate is rapidly metabolised with only traces being recoverable in the urine, diuresis is of little, if any, value. 5. PHARMACOLOGICAL PROPERTIES 5.1. Pharmacodynamic properties Dimenhydrinate is the salt produced by interaction of the antihistimanic base diphenhydramine with the acidic compound 8-chiorotheophylline. Dimenhydrmnate markedly depresses labyrinthine function. Because of the receptors with which it interacts, Dimenhydrinate is described as an H1 -antagonist or the blocker of histamine and belongs to the Theanolamine group. The mode of action is a result of the binding with high affinity to ‘in the brain. It is not, however, clear whether the anti-motion sickness activity of Dimenhydrinate is</x:v>
      </x:c>
      <x:c r="J404" s="37" t="str">
        <x:v>https://drug.fda.moph.go.th/media.php?id=810072093092880384&amp;name=SMPC_Dimenhydrinate_Tablets.pdf</x:v>
      </x:c>
    </x:row>
    <x:row r="405">
      <x:c r="A405" s="31" t="str">
        <x:v>dimenhydrinate</x:v>
      </x:c>
      <x:c r="B405" s="31" t="str">
        <x:v>trihexyphenidyl</x:v>
      </x:c>
      <x:c r="C405" s="31" t="str">
        <x:v>unclassified</x:v>
      </x:c>
      <x:c r="D405" s="31" t="str">
        <x:v>review</x:v>
      </x:c>
      <x:c r="E405" s="31" t="str">
        <x:v>r0111_smpc</x:v>
      </x:c>
      <x:c r="F405" s="31" t="str">
        <x:v>SMPC</x:v>
      </x:c>
      <x:c r="G405" s="31" t="n">
        <x:v>3</x:v>
      </x:c>
      <x:c r="H405" s="31" t="str">
        <x:v>trihexyphenidyl</x:v>
      </x:c>
      <x:c r="I405" s="37" t="str">
        <x:v>re more susceptible to the side effects. It has been suggested that Dimenhydrinate could mask warning symptoms of damage caused by ototoxic drugs such as the amino - glycoside antibiotics. Excipient information &lt;REGARDING THE APPROVAL&gt; 4.5. Interaction with other medicinal products and other forms of interaction Dimenhydrinate will interact with anticholinergic, anti -depressant (tricyclic and MAOIs) and anti -parkinsonian drugs such as Trihexyphenidyl, increasing the anticholinergic side effects, dry mouth, urine retention, confusion, etc. The effects of Betahistine may be antagonized. Sedating antihistamines may enhance the sedative effects of CNS depressants including alcohol, other sedating antihistamines, barbiturates, hypnotics, opiods, anxiolytic sedatives and antipsychotics. It is important that the dose of Neperidine, Morphine or other narcotic analgesics and of barbiturates be</x:v>
      </x:c>
      <x:c r="J405" s="37" t="str">
        <x:v>https://drug.fda.moph.go.th/media.php?id=810072093092880384&amp;name=SMPC_Dimenhydrinate_Tablets.pdf</x:v>
      </x:c>
    </x:row>
    <x:row r="406">
      <x:c r="A406" s="31" t="str">
        <x:v>diphenhydramine</x:v>
      </x:c>
      <x:c r="B406" s="31" t="str">
        <x:v>trimethoprim_sulfamethoxazole</x:v>
      </x:c>
      <x:c r="C406" s="31" t="str">
        <x:v>unclassified</x:v>
      </x:c>
      <x:c r="D406" s="31" t="str">
        <x:v>review</x:v>
      </x:c>
      <x:c r="E406" s="31" t="str">
        <x:v>r0358_smpc</x:v>
      </x:c>
      <x:c r="F406" s="31" t="str">
        <x:v>SMPC</x:v>
      </x:c>
      <x:c r="G406" s="31" t="n">
        <x:v>16</x:v>
      </x:c>
      <x:c r="H406" s="31" t="str">
        <x:v>diphenhydramine</x:v>
      </x:c>
      <x:c r="I406" s="37" t="str">
        <x:v>y. Severe hypersensitivity reactions have been reported in PJP patients on re - exposure to trimethoprim -sulfamethoxazole, sometimes after a dosage interval of a few days. Rhabdomyolysis has been reported in HIV positive patients receiving trimethoprim -sulfamethoxazole for prophylaxis or treatment of PJP. For the management of the hypersensitivity reactions associated with Co-Trimoxazole therapy concomitant administration of intravenous diphenhydramine may permit continued infusion when Co-Trimoxazole is used for the treatment of PJP. Reporting of suspected adverse reactions Reporting suspected adverse reactions after authorisation of the medicinal product is important. It allows continued monitoring of the benefit/risk balance of the medicinal product. Healthcare professionals are asked to report any suspected adverse reactions via Health Product Vigilance Center; HPVC 4.9. Overdose</x:v>
      </x:c>
      <x:c r="J406" s="37" t="str">
        <x:v>https://drug.fda.moph.go.th/media.php?id=810494133834752000&amp;name=SMPC_Trimethoprim + Sulfamethoxazole_Solution for Infusion.pdf</x:v>
      </x:c>
    </x:row>
    <x:row r="407">
      <x:c r="A407" s="31" t="str">
        <x:v>disulfiram</x:v>
      </x:c>
      <x:c r="B407" s="31" t="str">
        <x:v>isoniazid</x:v>
      </x:c>
      <x:c r="C407" s="31" t="str">
        <x:v>unclassified</x:v>
      </x:c>
      <x:c r="D407" s="31" t="str">
        <x:v>review</x:v>
      </x:c>
      <x:c r="E407" s="31" t="str">
        <x:v>r0114_smpc</x:v>
      </x:c>
      <x:c r="F407" s="31" t="str">
        <x:v>SMPC</x:v>
      </x:c>
      <x:c r="G407" s="31" t="n">
        <x:v>4</x:v>
      </x:c>
      <x:c r="H407" s="31" t="str">
        <x:v>isoniazid</x:v>
      </x:c>
      <x:c r="I407" s="37" t="str">
        <x:v>ulfiram inhibits the metabolism of many drugs which are converted in the liver (such as phenytoin, theophylline and warfarin) and thereby enhances efficacy. Dose adjustment may be necessary. Animal studies have indicated similar inhibition of metabolism of pethidine, morphine and amphetamines. A few case reports of increase in confusion and changes in affective behaviour have been noted with the concurrent administration of metronidazole, isoniazid or paraldehyde. Potentiation of organic brain syndrome and choreoatphetosis following pimozide have occurred very rarely. Disulfiram inhibits the oxidation and renal excretion of rifampicin. 4.6. Fertility, pregnancy and lactation Pregnancy</x:v>
      </x:c>
      <x:c r="J407" s="37" t="str">
        <x:v>https://drug.fda.moph.go.th/media.php?id=810072772666597376&amp;name=SMPC_Disulfiram_Tablets.pdf</x:v>
      </x:c>
    </x:row>
    <x:row r="408">
      <x:c r="A408" s="31" t="str">
        <x:v>disulfiram</x:v>
      </x:c>
      <x:c r="B408" s="31" t="str">
        <x:v>isoniazid</x:v>
      </x:c>
      <x:c r="C408" s="31" t="str">
        <x:v>unclassified</x:v>
      </x:c>
      <x:c r="D408" s="31" t="str">
        <x:v>review</x:v>
      </x:c>
      <x:c r="E408" s="31" t="str">
        <x:v>r0195_smpc</x:v>
      </x:c>
      <x:c r="F408" s="31" t="str">
        <x:v>SMPC</x:v>
      </x:c>
      <x:c r="G408" s="31" t="n">
        <x:v>4</x:v>
      </x:c>
      <x:c r="H408" s="31" t="str">
        <x:v>disulfiram</x:v>
      </x:c>
      <x:c r="I408" s="37" t="str">
        <x:v>&lt;REGARDING THE APPROVAL&gt; 4.5. Interaction with other medicinal products and other forms of interaction Isoniazid is known to inhibit certain cytochrome P -450 enzymes and therefore can inhibit the hepatic metabolism of some drugs, in some cases leading to increased toxicity. These include the antiepileptics carbamazepine, ethosuximide, primidone, and phenyto in, the benzodiazepines diazepam and triazolam, chlorzoxazone, theophylline, and disulfiram. Plasma levels of these drugs should be monitored if concurrent therapy with Isoniazid is necessary. Isoniazid may induce abnormalities in liver function; this may be more likely when it is administered together with rifampicin (see section 4.4). The adverse CNS effects of cycloserine are increased by isoniazid. Isoniazid is an inhibitor of monoamine oxidase (MAO) and diamine oxidase (DAO), therefore can reduce tyramine and histamine meta</x:v>
      </x:c>
      <x:c r="J408" s="37" t="str">
        <x:v>https://drug.fda.moph.go.th/media.php?id=810387533576937472&amp;name=SMPC_Isoniazid_Solutions for injections or infusions.pdf</x:v>
      </x:c>
    </x:row>
    <x:row r="409">
      <x:c r="A409" s="31" t="str">
        <x:v>disulfiram</x:v>
      </x:c>
      <x:c r="B409" s="31" t="str">
        <x:v>metronidazole</x:v>
      </x:c>
      <x:c r="C409" s="31" t="str">
        <x:v>unclassified</x:v>
      </x:c>
      <x:c r="D409" s="31" t="str">
        <x:v>review</x:v>
      </x:c>
      <x:c r="E409" s="31" t="str">
        <x:v>r0114_smpc</x:v>
      </x:c>
      <x:c r="F409" s="31" t="str">
        <x:v>SMPC</x:v>
      </x:c>
      <x:c r="G409" s="31" t="n">
        <x:v>4</x:v>
      </x:c>
      <x:c r="H409" s="31" t="str">
        <x:v>metronidazole</x:v>
      </x:c>
      <x:c r="I409" s="37" t="str">
        <x:v>reaction. Disulfiram inhibits the metabolism of many drugs which are converted in the liver (such as phenytoin, theophylline and warfarin) and thereby enhances efficacy. Dose adjustment may be necessary. Animal studies have indicated similar inhibition of metabolism of pethidine, morphine and amphetamines. A few case reports of increase in confusion and changes in affective behaviour have been noted with the concurrent administration of metronidazole, isoniazid or paraldehyde. Potentiation of organic brain syndrome and choreoatphetosis following pimozide have occurred very rarely. Disulfiram inhibits the oxidation and renal excretion of rifampicin. 4.6. Fertility, pregnancy and lactation Pregnancy</x:v>
      </x:c>
      <x:c r="J409" s="37" t="str">
        <x:v>https://drug.fda.moph.go.th/media.php?id=810072772666597376&amp;name=SMPC_Disulfiram_Tablets.pdf</x:v>
      </x:c>
    </x:row>
    <x:row r="410">
      <x:c r="A410" s="31" t="str">
        <x:v>disulfiram</x:v>
      </x:c>
      <x:c r="B410" s="31" t="str">
        <x:v>metronidazole</x:v>
      </x:c>
      <x:c r="C410" s="31" t="str">
        <x:v>unclassified</x:v>
      </x:c>
      <x:c r="D410" s="31" t="str">
        <x:v>review</x:v>
      </x:c>
      <x:c r="E410" s="31" t="str">
        <x:v>r0239_smpc</x:v>
      </x:c>
      <x:c r="F410" s="31" t="str">
        <x:v>SMPC</x:v>
      </x:c>
      <x:c r="G410" s="31" t="n">
        <x:v>7</x:v>
      </x:c>
      <x:c r="H410" s="31" t="str">
        <x:v>disulfiram</x:v>
      </x:c>
      <x:c r="I410" s="37" t="str">
        <x:v>o nicotinamide adenine dinucleotide (NAD). The interference is due to the similarity in the absorption peaks of NADH (340 nm) and metronidazole (322 nm) at pH 7. Excipient information &lt;REGARDING THE APPROVAL&gt; 4.5. Interaction with other medicinal products and other forms of interaction Alcohol: Patients should be advised not to take alcohol during metronidazole therapy and for at least 48 hours afterwards because of the possibility of a disulfiram-like (antabuse effect) reaction. Disulfiram: Psychotic reactions have been reported in patients who were using metronidazole and disulfiram concurrently. Oral anticoagulant therapy (warfarin type) : Some potentiation of anticoagulant therapy has been reported when metronidazole has been used with the warfarin type oral anticoagulants. Dosage of the latter may require reducing. Prothrombin times should be monitored. There is no interaction</x:v>
      </x:c>
      <x:c r="J410" s="37" t="str">
        <x:v>https://drug.fda.moph.go.th/media.php?id=810416555195244544&amp;name=SMPC_Metronidazole_Tablets.pdf</x:v>
      </x:c>
    </x:row>
    <x:row r="411">
      <x:c r="A411" s="31" t="str">
        <x:v>disulfiram</x:v>
      </x:c>
      <x:c r="B411" s="31" t="str">
        <x:v>metronidazole</x:v>
      </x:c>
      <x:c r="C411" s="31" t="str">
        <x:v>moderate</x:v>
      </x:c>
      <x:c r="D411" s="31" t="str">
        <x:v>eligible</x:v>
      </x:c>
      <x:c r="E411" s="31" t="str">
        <x:v>r0240_smpc</x:v>
      </x:c>
      <x:c r="F411" s="31" t="str">
        <x:v>SMPC</x:v>
      </x:c>
      <x:c r="G411" s="31" t="n">
        <x:v>8</x:v>
      </x:c>
      <x:c r="H411" s="31" t="str">
        <x:v>disulfiram</x:v>
      </x:c>
      <x:c r="I411" s="37" t="str">
        <x:v>1 Ref: Metronidazole, EMC, 13/12/2023 8 Patients should be warned that Metronidazole may darken urine (due to Metronidazole metabolite). Excipient information &lt;REGARDING THE APPROVAL&gt; 4.5. Interaction with other medicinal products and other forms of interaction Not recommended concomitant therapy: Disulfiram: Concurrent use of metronidazole and disulfiram may result in psychotic reactions and confusion. Metronidazole should not be given to patients who have taken disulfiram within the last two weeks. Alcohol: Disulfiram -like effect (warmth, redness, vomiting, tachycardia). Alcohol beverage and drugs containing alcohol should be avoided. Patients should be advised not to take alcohol during Metronidazole therapy and at least 72 hours afterwar</x:v>
      </x:c>
      <x:c r="J411" s="37" t="str">
        <x:v>https://drug.fda.moph.go.th/media.php?id=810416973254107136&amp;name=SMPC_Metronidazole_Solutions for injections or infusions.pdf</x:v>
      </x:c>
    </x:row>
    <x:row r="412">
      <x:c r="A412" s="31" t="str">
        <x:v>disulfiram</x:v>
      </x:c>
      <x:c r="B412" s="31" t="str">
        <x:v>nortriptyline</x:v>
      </x:c>
      <x:c r="C412" s="31" t="str">
        <x:v>unclassified</x:v>
      </x:c>
      <x:c r="D412" s="31" t="str">
        <x:v>review</x:v>
      </x:c>
      <x:c r="E412" s="31" t="str">
        <x:v>r0257_smpc</x:v>
      </x:c>
      <x:c r="F412" s="31" t="str">
        <x:v>SMPC</x:v>
      </x:c>
      <x:c r="G412" s="31" t="n">
        <x:v>9</x:v>
      </x:c>
      <x:c r="H412" s="31" t="str">
        <x:v>disulfiram</x:v>
      </x:c>
      <x:c r="I412" s="37" t="str">
        <x:v>iated. Alcohol should be avoided. The dosages of these drugs should be lowered in these cases. Antidepressants in combination with thyreomimetics can lead to symptoms of hyperthyroidism. Moreover, thyreomimetics can potentiate the antidepressant effect. The metabolism of levodopa in the intestine is accelerated, possibly due to the slowing of peristalsis. Delirium has been reported with the concomitant administration of nortriptyline and disulfiram. Simultaneous administration of nortriptyline and electric shocks can increase the risk of the treatment. Such a treatment should be limited to patients who really need this. The “serotonin syndrome” (changes in cognition, behaviour, function of the autonomous nervous system and neuromuscular activity) has been reported with nortriptyline when this was administered at the same time as other serotonin- potentiating drugs. Pharmacokinetic</x:v>
      </x:c>
      <x:c r="J412" s="37" t="str">
        <x:v>https://drug.fda.moph.go.th/media.php?id=810424052261986304&amp;name=SMPC_Nortriptyline_Film-coated Tablet.pdf</x:v>
      </x:c>
    </x:row>
    <x:row r="413">
      <x:c r="A413" s="31" t="str">
        <x:v>disulfiram</x:v>
      </x:c>
      <x:c r="B413" s="31" t="str">
        <x:v>pimozide</x:v>
      </x:c>
      <x:c r="C413" s="31" t="str">
        <x:v>unclassified</x:v>
      </x:c>
      <x:c r="D413" s="31" t="str">
        <x:v>review</x:v>
      </x:c>
      <x:c r="E413" s="31" t="str">
        <x:v>r0114_smpc</x:v>
      </x:c>
      <x:c r="F413" s="31" t="str">
        <x:v>SMPC</x:v>
      </x:c>
      <x:c r="G413" s="31" t="n">
        <x:v>4</x:v>
      </x:c>
      <x:c r="H413" s="31" t="str">
        <x:v>pimozide</x:v>
      </x:c>
      <x:c r="I413" s="37" t="str">
        <x:v>, theophylline and warfarin) and thereby enhances efficacy. Dose adjustment may be necessary. Animal studies have indicated similar inhibition of metabolism of pethidine, morphine and amphetamines. A few case reports of increase in confusion and changes in affective behaviour have been noted with the concurrent administration of metronidazole, isoniazid or paraldehyde. Potentiation of organic brain syndrome and choreoatphetosis following pimozide have occurred very rarely. Disulfiram inhibits the oxidation and renal excretion of rifampicin. 4.6. Fertility, pregnancy and lactation Pregnancy</x:v>
      </x:c>
      <x:c r="J413" s="37" t="str">
        <x:v>https://drug.fda.moph.go.th/media.php?id=810072772666597376&amp;name=SMPC_Disulfiram_Tablets.pdf</x:v>
      </x:c>
    </x:row>
    <x:row r="414">
      <x:c r="A414" s="31" t="str">
        <x:v>disulfiram</x:v>
      </x:c>
      <x:c r="B414" s="31" t="str">
        <x:v>theophylline</x:v>
      </x:c>
      <x:c r="C414" s="31" t="str">
        <x:v>unclassified</x:v>
      </x:c>
      <x:c r="D414" s="31" t="str">
        <x:v>review</x:v>
      </x:c>
      <x:c r="E414" s="31" t="str">
        <x:v>r0114_smpc</x:v>
      </x:c>
      <x:c r="F414" s="31" t="str">
        <x:v>SMPC</x:v>
      </x:c>
      <x:c r="G414" s="31" t="n">
        <x:v>4</x:v>
      </x:c>
      <x:c r="H414" s="31" t="str">
        <x:v>theophylline</x:v>
      </x:c>
      <x:c r="I414" s="37" t="str">
        <x:v>n components of the Disulfiram-alcohol reaction may increase the overall intensity of the reaction. Disulfiram inhibits the metabolism of certain benzodiazepines such as chlordiazepoxide and diazepam enhancing their sedative effect. The interaction is not indicated for oxazepam. Benzodiazepines may reduce the disulfiram-alcohol reaction. Disulfiram inhibits the metabolism of many drugs which are converted in the liver (such as phenytoin, theophylline and warfarin) and thereby enhances efficacy. Dose adjustment may be necessary. Animal studies have indicated similar inhibition of metabolism of pethidine, morphine and amphetamines. A few case reports of increase in confusion and changes in affective behaviour have been noted with the concurrent administration of metronidazole, isoniazid or paraldehyde. Potentiation of organic brain syndrome and choreoatphetosis following pimozide have</x:v>
      </x:c>
      <x:c r="J414" s="37" t="str">
        <x:v>https://drug.fda.moph.go.th/media.php?id=810072772666597376&amp;name=SMPC_Disulfiram_Tablets.pdf</x:v>
      </x:c>
    </x:row>
    <x:row r="415">
      <x:c r="A415" s="31" t="str">
        <x:v>dobutamine</x:v>
      </x:c>
      <x:c r="B415" s="31" t="str">
        <x:v>furosemide</x:v>
      </x:c>
      <x:c r="C415" s="31" t="str">
        <x:v>unclassified</x:v>
      </x:c>
      <x:c r="D415" s="31" t="str">
        <x:v>review</x:v>
      </x:c>
      <x:c r="E415" s="31" t="str">
        <x:v>r0434_smpc</x:v>
      </x:c>
      <x:c r="F415" s="31" t="str">
        <x:v>SMPC</x:v>
      </x:c>
      <x:c r="G415" s="31" t="n">
        <x:v>13</x:v>
      </x:c>
      <x:c r="H415" s="31" t="str">
        <x:v>furosemide</x:v>
      </x:c>
      <x:c r="I415" s="37" t="str">
        <x:v>L PARTICULARS 6.1 List of excipients &lt;ปรับตามทะเบียน&gt; 6.2 Incompatibilities Dobutamine solutions have proven to be incompatible with: Alkaline solutions (e. g. sodium hydrogen carbonate), solutions containing both sodium metabisulfite and ethanol, aciclovir, alteplase, aminophylline, bretylium, calcium chloride, calcium gluconate, cefamandol formiate, cephalotine sodium, cephazolin sodium, diazepam, digoxin, etacrynic acid (sodium salt), furosemide, heparin sodium, hydrogen cortisone sodium succinate, insulin, potassium chloride, magnesium sulfate, penicillin, phenytoin, streptokinase, verapamil. Furthermore known incompatibilities for sodium metabisulfite are: - chloramphenicol, - cisplatin. This medicinal product must not be mixed with other medicinal products except those mentioned in section 6.6. 6.3 Shelf life &lt;ปรับตามทะเบียน&gt; 6.4 Special precautions for storage &lt;ปรับตามทะเบ</x:v>
      </x:c>
      <x:c r="J415" s="37" t="str">
        <x:v>https://drug.fda.moph.go.th/media.php?id=904966129582219264&amp;name=2. Ref SmPC_Dobutamine.pdf</x:v>
      </x:c>
    </x:row>
    <x:row r="416">
      <x:c r="A416" s="31" t="str">
        <x:v>dobutamine</x:v>
      </x:c>
      <x:c r="B416" s="31" t="str">
        <x:v>insulin</x:v>
      </x:c>
      <x:c r="C416" s="31" t="str">
        <x:v>unclassified</x:v>
      </x:c>
      <x:c r="D416" s="31" t="str">
        <x:v>review</x:v>
      </x:c>
      <x:c r="E416" s="31" t="str">
        <x:v>r0434_smpc</x:v>
      </x:c>
      <x:c r="F416" s="31" t="str">
        <x:v>SMPC</x:v>
      </x:c>
      <x:c r="G416" s="31" t="n">
        <x:v>7</x:v>
      </x:c>
      <x:c r="H416" s="31" t="str">
        <x:v>insulin</x:v>
      </x:c>
      <x:c r="I416" s="37" t="str">
        <x:v>a greater increase of cardiac output as well as a more pronounced decrease of peripheral resistance and ventricular filling pressure than administration of one of the individual substances alone. Administering dobutamine to diabetic patients may cause increased insulin demand. In diabetic patients insulin levels should be checked when starting dobutamine therapy changing the rate of infusion and discontinuing the infusion. If necessary, the insulin dose must be adjusted as required. Simultaneous administration of high doses of dobutamine with ACE inhibitors (e.g. captopril) may cause an increase in cardiac output, accompanied by increased myocardial oxygen consumption. Chest pain and rhythm disturbances have been reported in this context. Dobutamine combined with dopamine causes – depending on the dopamine dosage and in contrast to its sole administration – a more distinct increase of</x:v>
      </x:c>
      <x:c r="J416" s="37" t="str">
        <x:v>https://drug.fda.moph.go.th/media.php?id=904966129582219264&amp;name=2. Ref SmPC_Dobutamine.pdf</x:v>
      </x:c>
    </x:row>
    <x:row r="417">
      <x:c r="A417" s="31" t="str">
        <x:v>dobutamine</x:v>
      </x:c>
      <x:c r="B417" s="31" t="str">
        <x:v>insulin</x:v>
      </x:c>
      <x:c r="C417" s="31" t="str">
        <x:v>unclassified</x:v>
      </x:c>
      <x:c r="D417" s="31" t="str">
        <x:v>review</x:v>
      </x:c>
      <x:c r="E417" s="31" t="str">
        <x:v>r0434_smpc</x:v>
      </x:c>
      <x:c r="F417" s="31" t="str">
        <x:v>SMPC</x:v>
      </x:c>
      <x:c r="G417" s="31" t="n">
        <x:v>13</x:v>
      </x:c>
      <x:c r="H417" s="31" t="str">
        <x:v>insulin</x:v>
      </x:c>
      <x:c r="I417" s="37" t="str">
        <x:v>mpatibilities Dobutamine solutions have proven to be incompatible with: Alkaline solutions (e. g. sodium hydrogen carbonate), solutions containing both sodium metabisulfite and ethanol, aciclovir, alteplase, aminophylline, bretylium, calcium chloride, calcium gluconate, cefamandol formiate, cephalotine sodium, cephazolin sodium, diazepam, digoxin, etacrynic acid (sodium salt), furosemide, heparin sodium, hydrogen cortisone sodium succinate, insulin, potassium chloride, magnesium sulfate, penicillin, phenytoin, streptokinase, verapamil. Furthermore known incompatibilities for sodium metabisulfite are: - chloramphenicol, - cisplatin. This medicinal product must not be mixed with other medicinal products except those mentioned in section 6.6. 6.3 Shelf life &lt;ปรับตามทะเบียน&gt; 6.4 Special precautions for storage &lt;ปรับตามทะเบียน&gt; 6.5 Nature and contents of container &lt;ปรับตามทะเบียน&gt;</x:v>
      </x:c>
      <x:c r="J417" s="37" t="str">
        <x:v>https://drug.fda.moph.go.th/media.php?id=904966129582219264&amp;name=2. Ref SmPC_Dobutamine.pdf</x:v>
      </x:c>
    </x:row>
    <x:row r="418">
      <x:c r="A418" s="31" t="str">
        <x:v>dobutamine</x:v>
      </x:c>
      <x:c r="B418" s="31" t="str">
        <x:v>magnesium</x:v>
      </x:c>
      <x:c r="C418" s="31" t="str">
        <x:v>unclassified</x:v>
      </x:c>
      <x:c r="D418" s="31" t="str">
        <x:v>review</x:v>
      </x:c>
      <x:c r="E418" s="31" t="str">
        <x:v>r0434_smpc</x:v>
      </x:c>
      <x:c r="F418" s="31" t="str">
        <x:v>SMPC</x:v>
      </x:c>
      <x:c r="G418" s="31" t="n">
        <x:v>13</x:v>
      </x:c>
      <x:c r="H418" s="31" t="str">
        <x:v>magnesium</x:v>
      </x:c>
      <x:c r="I418" s="37" t="str">
        <x:v>utions have proven to be incompatible with: Alkaline solutions (e. g. sodium hydrogen carbonate), solutions containing both sodium metabisulfite and ethanol, aciclovir, alteplase, aminophylline, bretylium, calcium chloride, calcium gluconate, cefamandol formiate, cephalotine sodium, cephazolin sodium, diazepam, digoxin, etacrynic acid (sodium salt), furosemide, heparin sodium, hydrogen cortisone sodium succinate, insulin, potassium chloride, magnesium sulfate, penicillin, phenytoin, streptokinase, verapamil. Furthermore known incompatibilities for sodium metabisulfite are: - chloramphenicol, - cisplatin. This medicinal product must not be mixed with other medicinal products except those mentioned in section 6.6. 6.3 Shelf life &lt;ปรับตามทะเบียน&gt; 6.4 Special precautions for storage &lt;ปรับตามทะเบียน&gt; 6.5 Nature and contents of container &lt;ปรับตามทะเบียน&gt; 6.6 Special precautions for dis</x:v>
      </x:c>
      <x:c r="J418" s="37" t="str">
        <x:v>https://drug.fda.moph.go.th/media.php?id=904966129582219264&amp;name=2. Ref SmPC_Dobutamine.pdf</x:v>
      </x:c>
    </x:row>
    <x:row r="419">
      <x:c r="A419" s="31" t="str">
        <x:v>dobutamine</x:v>
      </x:c>
      <x:c r="B419" s="31" t="str">
        <x:v>potassium_chloride</x:v>
      </x:c>
      <x:c r="C419" s="31" t="str">
        <x:v>unclassified</x:v>
      </x:c>
      <x:c r="D419" s="31" t="str">
        <x:v>review</x:v>
      </x:c>
      <x:c r="E419" s="31" t="str">
        <x:v>r0434_smpc</x:v>
      </x:c>
      <x:c r="F419" s="31" t="str">
        <x:v>SMPC</x:v>
      </x:c>
      <x:c r="G419" s="31" t="n">
        <x:v>13</x:v>
      </x:c>
      <x:c r="H419" s="31" t="str">
        <x:v>potassium chloride</x:v>
      </x:c>
      <x:c r="I419" s="37" t="str">
        <x:v>ties Dobutamine solutions have proven to be incompatible with: Alkaline solutions (e. g. sodium hydrogen carbonate), solutions containing both sodium metabisulfite and ethanol, aciclovir, alteplase, aminophylline, bretylium, calcium chloride, calcium gluconate, cefamandol formiate, cephalotine sodium, cephazolin sodium, diazepam, digoxin, etacrynic acid (sodium salt), furosemide, heparin sodium, hydrogen cortisone sodium succinate, insulin, potassium chloride, magnesium sulfate, penicillin, phenytoin, streptokinase, verapamil. Furthermore known incompatibilities for sodium metabisulfite are: - chloramphenicol, - cisplatin. This medicinal product must not be mixed with other medicinal products except those mentioned in section 6.6. 6.3 Shelf life &lt;ปรับตามทะเบียน&gt; 6.4 Special precautions for storage &lt;ปรับตามทะเบียน&gt; 6.5 Nature and contents of container &lt;ปรับตามทะเบียน&gt; 6.6 Special precauti</x:v>
      </x:c>
      <x:c r="J419" s="37" t="str">
        <x:v>https://drug.fda.moph.go.th/media.php?id=904966129582219264&amp;name=2. Ref SmPC_Dobutamine.pdf</x:v>
      </x:c>
    </x:row>
    <x:row r="420">
      <x:c r="A420" s="31" t="str">
        <x:v>dobutamine</x:v>
      </x:c>
      <x:c r="B420" s="31" t="str">
        <x:v>thiamine</x:v>
      </x:c>
      <x:c r="C420" s="31" t="str">
        <x:v>unclassified</x:v>
      </x:c>
      <x:c r="D420" s="31" t="str">
        <x:v>review</x:v>
      </x:c>
      <x:c r="E420" s="31" t="str">
        <x:v>r0434_smpc</x:v>
      </x:c>
      <x:c r="F420" s="31" t="str">
        <x:v>SMPC</x:v>
      </x:c>
      <x:c r="G420" s="31" t="n">
        <x:v>7</x:v>
      </x:c>
      <x:c r="H420" s="31" t="str">
        <x:v>thiamine</x:v>
      </x:c>
      <x:c r="I420" s="37" t="str">
        <x:v>, accompanied by increased myocardial oxygen consumption. Chest pain and rhythm disturbances have been reported in this context. Dobutamine combined with dopamine causes – depending on the dopamine dosage and in contrast to its sole administration – a more distinct increase of blood pressure as well as a decrease or no change of ventricular filling pressure. Sodium metabisulfite is a very reactive compound. It must therefore be assumed that thiamine (vitamin B1) co-administered with the preparation is catabolised. Caution should be exercised when administering dobutamine with inhaled anaesthetics, since, concomitant use may increase the excitability of the myocardium and the risk of ventricular extrasystoles. The effects of dobutamine may be potentiated with concomitant use of entacapone. Dobutamine stress echocardiography In the case of anti-anginal therapy, in particular heart rate</x:v>
      </x:c>
      <x:c r="J420" s="37" t="str">
        <x:v>https://drug.fda.moph.go.th/media.php?id=904966129582219264&amp;name=2. Ref SmPC_Dobutamine.pdf</x:v>
      </x:c>
    </x:row>
    <x:row r="421">
      <x:c r="A421" s="31" t="str">
        <x:v>dobutamine</x:v>
      </x:c>
      <x:c r="B421" s="31" t="str">
        <x:v>verapamil</x:v>
      </x:c>
      <x:c r="C421" s="31" t="str">
        <x:v>unclassified</x:v>
      </x:c>
      <x:c r="D421" s="31" t="str">
        <x:v>review</x:v>
      </x:c>
      <x:c r="E421" s="31" t="str">
        <x:v>r0434_smpc</x:v>
      </x:c>
      <x:c r="F421" s="31" t="str">
        <x:v>SMPC</x:v>
      </x:c>
      <x:c r="G421" s="31" t="n">
        <x:v>13</x:v>
      </x:c>
      <x:c r="H421" s="31" t="str">
        <x:v>verapamil</x:v>
      </x:c>
      <x:c r="I421" s="37" t="str">
        <x:v>tions (e. g. sodium hydrogen carbonate), solutions containing both sodium metabisulfite and ethanol, aciclovir, alteplase, aminophylline, bretylium, calcium chloride, calcium gluconate, cefamandol formiate, cephalotine sodium, cephazolin sodium, diazepam, digoxin, etacrynic acid (sodium salt), furosemide, heparin sodium, hydrogen cortisone sodium succinate, insulin, potassium chloride, magnesium sulfate, penicillin, phenytoin, streptokinase, verapamil. Furthermore known incompatibilities for sodium metabisulfite are: - chloramphenicol, - cisplatin. This medicinal product must not be mixed with other medicinal products except those mentioned in section 6.6. 6.3 Shelf life &lt;ปรับตามทะเบียน&gt; 6.4 Special precautions for storage &lt;ปรับตามทะเบียน&gt; 6.5 Nature and contents of container &lt;ปรับตามทะเบียน&gt; 6.6 Special precautions for disposal &lt;ปรับตามทะเบียน&gt; 7. NAME AND ADDRESS OF MANUFACTUR</x:v>
      </x:c>
      <x:c r="J421" s="37" t="str">
        <x:v>https://drug.fda.moph.go.th/media.php?id=904966129582219264&amp;name=2. Ref SmPC_Dobutamine.pdf</x:v>
      </x:c>
    </x:row>
    <x:row r="422">
      <x:c r="A422" s="31" t="str">
        <x:v>domperidone</x:v>
      </x:c>
      <x:c r="B422" s="31" t="str">
        <x:v>erythromycin</x:v>
      </x:c>
      <x:c r="C422" s="31" t="str">
        <x:v>unclassified</x:v>
      </x:c>
      <x:c r="D422" s="31" t="str">
        <x:v>review</x:v>
      </x:c>
      <x:c r="E422" s="31" t="str">
        <x:v>r0116_smpc</x:v>
      </x:c>
      <x:c r="F422" s="31" t="str">
        <x:v>SMPC</x:v>
      </x:c>
      <x:c r="G422" s="31" t="n">
        <x:v>6</x:v>
      </x:c>
      <x:c r="H422" s="31" t="str">
        <x:v>erythromycin</x:v>
      </x:c>
      <x:c r="I422" s="37" t="str">
        <x:v>interactions. Concomitant use of the following substances is contraindicated QTc prolonging medicinal products - anti-arrhythmics class IA (e.g., disopyramide, hydroquinidine, quinidine) - anti-arrhythmics class III (e.g., amiodarone, dofetilide, dronedarone, ibutilide, sotalol) - certain anti-psychotics (e.g., haloperidol, pimozide, sertindole) - certain anti-depressants (e.g., citalopram, escitalopram) - certain antibiotics (e.g., erythromycin, levofloxacin, moxifloxacin, spiramycin) - certain antifungal agents (e.g., pentamidine) - certain antimalarial agents (in particular halofantrine, lumefantrine) - certain gastro -intestinal medicines (e.g., cisapride, dolasetron, prucalopride) - certain antihistaminics (e.g., mequitazine, mizolastine) - certain medicines used in cancer (e.g., toremifene, vandetanib, vincamine) - certain other medicines (e.g., bepridil, diphemanil, met</x:v>
      </x:c>
      <x:c r="J422" s="37" t="str">
        <x:v>https://drug.fda.moph.go.th/media.php?id=810073662739849216&amp;name=SMPC_Domperidone_oral suspension.pdf</x:v>
      </x:c>
    </x:row>
    <x:row r="423">
      <x:c r="A423" s="31" t="str">
        <x:v>domperidone</x:v>
      </x:c>
      <x:c r="B423" s="31" t="str">
        <x:v>erythromycin</x:v>
      </x:c>
      <x:c r="C423" s="31" t="str">
        <x:v>unclassified</x:v>
      </x:c>
      <x:c r="D423" s="31" t="str">
        <x:v>review</x:v>
      </x:c>
      <x:c r="E423" s="31" t="str">
        <x:v>r0116_smpc</x:v>
      </x:c>
      <x:c r="F423" s="31" t="str">
        <x:v>SMPC</x:v>
      </x:c>
      <x:c r="G423" s="31" t="n">
        <x:v>7</x:v>
      </x:c>
      <x:c r="H423" s="31" t="str">
        <x:v>erythromycin</x:v>
      </x:c>
      <x:c r="I423" s="37" t="str">
        <x:v>1 Ref: Domperidone, MHRA, date 13/02/2024 7 - apomorphine, unless the benefit of the co -administration outweighs the risks, and only if the recommended precautions for co-administration are strictly fulfilled. Please refer to the apomorphine SmPC. Potent CYP3A4 inhibitors (regardless of their QT prolonging effects) : - protease inhibitors - systemic azole antifungals - some macrolides (erythromycin, clarithromycin,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 -inducing drugs, as well as with the following macrolides involved in QT -interval prolongation: azithromycin and r</x:v>
      </x:c>
      <x:c r="J423" s="37" t="str">
        <x:v>https://drug.fda.moph.go.th/media.php?id=810073662739849216&amp;name=SMPC_Domperidone_oral suspension.pdf</x:v>
      </x:c>
    </x:row>
    <x:row r="424">
      <x:c r="A424" s="31" t="str">
        <x:v>domperidone</x:v>
      </x:c>
      <x:c r="B424" s="31" t="str">
        <x:v>erythromycin</x:v>
      </x:c>
      <x:c r="C424" s="31" t="str">
        <x:v>unclassified</x:v>
      </x:c>
      <x:c r="D424" s="31" t="str">
        <x:v>review</x:v>
      </x:c>
      <x:c r="E424" s="31" t="str">
        <x:v>r0116_smpc</x:v>
      </x:c>
      <x:c r="F424" s="31" t="str">
        <x:v>SMPC</x:v>
      </x:c>
      <x:c r="G424" s="31" t="n">
        <x:v>8</x:v>
      </x:c>
      <x:c r="H424" s="31" t="str">
        <x:v>erythromycin</x:v>
      </x:c>
      <x:c r="I424" s="37" t="str">
        <x:v>1 Ref: Domperidone, MHRA, date 13/02/2024 8 domperidone 10mg four times daily and oral erythromycin 500mg three times daily, mean QTc over the observation period was prolonged by 9.9 msec, with changes at individual time points ranging from 1.6 to 14.3 msec. Both the Cmax and AUC of domperidone at steady state were increased approximately three-fold in each of these interaction studies. In these studies domperidone monotherapy at 10mg given orally four times daily resulted in increases in mean QTc of 1.6 msec (ketoconazole study)</x:v>
      </x:c>
      <x:c r="J424" s="37" t="str">
        <x:v>https://drug.fda.moph.go.th/media.php?id=810073662739849216&amp;name=SMPC_Domperidone_oral suspension.pdf</x:v>
      </x:c>
    </x:row>
    <x:row r="425">
      <x:c r="A425" s="31" t="str">
        <x:v>domperidone</x:v>
      </x:c>
      <x:c r="B425" s="31" t="str">
        <x:v>erythromycin</x:v>
      </x:c>
      <x:c r="C425" s="31" t="str">
        <x:v>unclassified</x:v>
      </x:c>
      <x:c r="D425" s="31" t="str">
        <x:v>review</x:v>
      </x:c>
      <x:c r="E425" s="31" t="str">
        <x:v>r0117_smpc</x:v>
      </x:c>
      <x:c r="F425" s="31" t="str">
        <x:v>SMPC</x:v>
      </x:c>
      <x:c r="G425" s="31" t="n">
        <x:v>5</x:v>
      </x:c>
      <x:c r="H425" s="31" t="str">
        <x:v>erythromycin</x:v>
      </x:c>
      <x:c r="I425" s="37" t="str">
        <x:v>ic interactions. Concomitant use of the following substances is contraindicated QTc prolonging medicinal products • anti-arrhythmics class IA (e.g., disopyramide, hydroquinidine, quinidine) • anti-arrhythmics class III (e.g., amiodarone, dofetilide, dronedarone, ibutilide, sotalol) • certain anti-psychotics (e.g., haloperidol, pimozide, sertindole) • certain anti-depressants (e.g., citalopram, escitalopram) • certain antibiotics (e.g. , erythromycin, levofloxacin, moxifloxacin, spiramycin) • certain antifungal agents (e.g., pentamidine) • certain antimalarial agents (in particular halofantrine, lumefantrine) • certain gastro -intestinal medicines (e.g., cisapride, dolasetron, prucalopride) • certain antihistaminics (e.g., mequitazine, mizolastine) • certain medicines used in cancer (e.g., toremifene, vandetanib, vincamine) • certain other medicines (e.g., bepridil, diphemanil, meth</x:v>
      </x:c>
      <x:c r="J425" s="37" t="str">
        <x:v>https://drug.fda.moph.go.th/media.php?id=810074048620011520&amp;name=SMPC_Domperidone_Film-coated Tablets.pdf</x:v>
      </x:c>
    </x:row>
    <x:row r="426">
      <x:c r="A426" s="31" t="str">
        <x:v>domperidone</x:v>
      </x:c>
      <x:c r="B426" s="31" t="str">
        <x:v>erythromycin</x:v>
      </x:c>
      <x:c r="C426" s="31" t="str">
        <x:v>unclassified</x:v>
      </x:c>
      <x:c r="D426" s="31" t="str">
        <x:v>review</x:v>
      </x:c>
      <x:c r="E426" s="31" t="str">
        <x:v>r0117_smpc</x:v>
      </x:c>
      <x:c r="F426" s="31" t="str">
        <x:v>SMPC</x:v>
      </x:c>
      <x:c r="G426" s="31" t="n">
        <x:v>6</x:v>
      </x:c>
      <x:c r="H426" s="31" t="str">
        <x:v>erythromycin</x:v>
      </x:c>
      <x:c r="I426" s="37" t="str">
        <x:v>1 Ref:Domperidone 10 mg film-coated tablets, MHRA, 03/04/2024 6 • protease inhibitors • systemic azole antifungals • some macrolides (erythromycin, clarithromycin,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hypokalaemia-inducing drugs, as well as with the following macrolides involved in QT -interval prolongation: azithromycin and roxithromyci</x:v>
      </x:c>
      <x:c r="J426" s="37" t="str">
        <x:v>https://drug.fda.moph.go.th/media.php?id=810074048620011520&amp;name=SMPC_Domperidone_Film-coated Tablets.pdf</x:v>
      </x:c>
    </x:row>
    <x:row r="427">
      <x:c r="A427" s="31" t="str">
        <x:v>domperidone</x:v>
      </x:c>
      <x:c r="B427" s="31" t="str">
        <x:v>erythromycin</x:v>
      </x:c>
      <x:c r="C427" s="31" t="str">
        <x:v>unclassified</x:v>
      </x:c>
      <x:c r="D427" s="31" t="str">
        <x:v>review</x:v>
      </x:c>
      <x:c r="E427" s="31" t="str">
        <x:v>r0118_smpc</x:v>
      </x:c>
      <x:c r="F427" s="31" t="str">
        <x:v>SMPC</x:v>
      </x:c>
      <x:c r="G427" s="31" t="n">
        <x:v>5</x:v>
      </x:c>
      <x:c r="H427" s="31" t="str">
        <x:v>erythromycin</x:v>
      </x:c>
      <x:c r="I427" s="37" t="str">
        <x:v>1 Ref:Domperidone 10mg tablets, MHRA, 23/08/2023 5 4.5. Interaction with other medicinal products and other forms of interaction Separate in vivo pharmacokinetic/pharmacodynamic interaction studies with oral ketoconazole or oral erythromycin in healthy subjects confirmed a marked inhibition of domperidone’s CYP3A4 mediated first pass metabolism by these drugs. With the combination of oral domperidone 10mg four times daily and ketoconazole 200 mg twice daily, a mean QTc prolongation of 9.8 msec was seen over the observation period, with changes at individual time points ranging from 1.2 to 17.5 msec. With the com bination of domperidone 10 mg four times daily and oral erythrom</x:v>
      </x:c>
      <x:c r="J427" s="37" t="str">
        <x:v>https://drug.fda.moph.go.th/media.php?id=810074487256129536&amp;name=SMPC_Domperidone_Tablets.pdf</x:v>
      </x:c>
    </x:row>
    <x:row r="428">
      <x:c r="A428" s="31" t="str">
        <x:v>domperidone</x:v>
      </x:c>
      <x:c r="B428" s="31" t="str">
        <x:v>erythromycin</x:v>
      </x:c>
      <x:c r="C428" s="31" t="str">
        <x:v>unclassified</x:v>
      </x:c>
      <x:c r="D428" s="31" t="str">
        <x:v>review</x:v>
      </x:c>
      <x:c r="E428" s="31" t="str">
        <x:v>r0118_smpc</x:v>
      </x:c>
      <x:c r="F428" s="31" t="str">
        <x:v>SMPC</x:v>
      </x:c>
      <x:c r="G428" s="31" t="n">
        <x:v>6</x:v>
      </x:c>
      <x:c r="H428" s="31" t="str">
        <x:v>erythromycin</x:v>
      </x:c>
      <x:c r="I428" s="37" t="str">
        <x:v>e) • certain other medicines (e.g., bepridil, diphemanil, methadone) (see section 4.3). • apomorphine, unless the benefit of the co -administration outweighs the risks, and only if the recommended precautions for co - administration are strictly fulfilled. Please refer to the apomorphine SmPC. Potent CYP3A4 inhibitors (regardless of their QT prolonging effects), i.e: • protease inhibitors • systemic azole antifungals • some macrolides (erythromycin, clarithromycin and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hypokalaemia-inducing drugs, as well as with the following macrolides involved in QT -prolongation: azithromycin and roxithromycin (cl</x:v>
      </x:c>
      <x:c r="J428" s="37" t="str">
        <x:v>https://drug.fda.moph.go.th/media.php?id=810074487256129536&amp;name=SMPC_Domperidone_Tablets.pdf</x:v>
      </x:c>
    </x:row>
    <x:row r="429">
      <x:c r="A429" s="31" t="str">
        <x:v>domperidone</x:v>
      </x:c>
      <x:c r="B429" s="31" t="str">
        <x:v>erythromycin</x:v>
      </x:c>
      <x:c r="C429" s="31" t="str">
        <x:v>unclassified</x:v>
      </x:c>
      <x:c r="D429" s="31" t="str">
        <x:v>review</x:v>
      </x:c>
      <x:c r="E429" s="31" t="str">
        <x:v>r0126_smpc</x:v>
      </x:c>
      <x:c r="F429" s="31" t="str">
        <x:v>SMPC</x:v>
      </x:c>
      <x:c r="G429" s="31" t="n">
        <x:v>8</x:v>
      </x:c>
      <x:c r="H429" s="31" t="str">
        <x:v>domperidone</x:v>
      </x:c>
      <x:c r="I429" s="37" t="str">
        <x:v>action Increases in serum concentrations of the following drugs metabolised by the cytochrome P450 system may occur when administered concurrently with erythromycin: acenocoumarol, alfentanil, astemizole, bromocriptine, carbamazepine, cilostazol, cyclosporin, dig oxin, dihydroergotamine, disopyramide, ergotamine, hexobarbitone, methylprednisolone, midazolam, omeprazole, phenytoin, quinidine, rifabutin, sildenafil, tacrolimus, terfenadine, domperidone, theophylline, triazolam, valproate, vinblastine, antifungals e.g fluconazole, ketoconazole and itraconazole and warfarin. Appropriate monitoring should be undertaken and dosage should be adjusted as necessary. Particular care should be taken with medications known to prolong the QTc interval of the electrocardiogram. Erythromycin has also been reported to potentiate the effects of corticosteroids. Drugs that induce CYP3A4 (such as rifam</x:v>
      </x:c>
      <x:c r="J429" s="37" t="str">
        <x:v>https://drug.fda.moph.go.th/media.php?id=810076416409477120&amp;name=SMPC_Erythromycin_Gastro-resistant tablets.pdf</x:v>
      </x:c>
    </x:row>
    <x:row r="430">
      <x:c r="A430" s="31" t="str">
        <x:v>domperidone</x:v>
      </x:c>
      <x:c r="B430" s="31" t="str">
        <x:v>erythromycin</x:v>
      </x:c>
      <x:c r="C430" s="31" t="str">
        <x:v>unclassified</x:v>
      </x:c>
      <x:c r="D430" s="31" t="str">
        <x:v>review</x:v>
      </x:c>
      <x:c r="E430" s="31" t="str">
        <x:v>r0127_smpc</x:v>
      </x:c>
      <x:c r="F430" s="31" t="str">
        <x:v>SMPC</x:v>
      </x:c>
      <x:c r="G430" s="31" t="n">
        <x:v>7</x:v>
      </x:c>
      <x:c r="H430" s="31" t="str">
        <x:v>domperidone</x:v>
      </x:c>
      <x:c r="I430" s="37" t="str">
        <x:v>ion Increases in serum concentrations of the following drugs metabolised by the cytochrome P450 system may occur : when administered concurrently with erythromycin: acenocoumarol, alfentanil, astemizole, bromocriptine, carbamazepine, cilostazol, cyclosporin, digoxin, dihydroergotamine, disopyramide, ergotamine, hexobarbitone, methylprednisolone, midazolam, omeprazole, phenytoin, quinidine, rifabutin , sildenafil, tacrolimus, terfenadine, domperidone, theophylline, triazolam, valproate, vinblastine, and antifung als e.g fluconazole, ketoconazole and itraconazole. Appropriate monitoring should be undertaken and dosage should be adjusted as necessary. Particular care should be taken with m e d i c a t i o n s k n o w n t o p r o l o n g t h e Q Tc i n t e r v a l o f t h e electrocardiogram. Drugs that induce CYP3A4 (such as rifampicin, phenytoin, carbamazepine, phenobarbital, St John’s</x:v>
      </x:c>
      <x:c r="J430" s="37" t="str">
        <x:v>https://drug.fda.moph.go.th/media.php?id=810076760694726656&amp;name=SMPC_Erythromycin_film-coated tablets.pdf</x:v>
      </x:c>
    </x:row>
    <x:row r="431">
      <x:c r="A431" s="31" t="str">
        <x:v>domperidone</x:v>
      </x:c>
      <x:c r="B431" s="31" t="str">
        <x:v>haloperidol</x:v>
      </x:c>
      <x:c r="C431" s="31" t="str">
        <x:v>unclassified</x:v>
      </x:c>
      <x:c r="D431" s="31" t="str">
        <x:v>review</x:v>
      </x:c>
      <x:c r="E431" s="31" t="str">
        <x:v>r0116_smpc</x:v>
      </x:c>
      <x:c r="F431" s="31" t="str">
        <x:v>SMPC</x:v>
      </x:c>
      <x:c r="G431" s="31" t="n">
        <x:v>6</x:v>
      </x:c>
      <x:c r="H431" s="31" t="str">
        <x:v>haloperidol</x:v>
      </x:c>
      <x:c r="I431" s="37" t="str">
        <x:v>domperidone. Increased risk of occurrence of QT -interval prolongation, due to pharmacodynamic and/or pharmacokinetic interactions. Concomitant use of the following substances is contraindicated QTc prolonging medicinal products - anti-arrhythmics class IA (e.g., disopyramide, hydroquinidine, quinidine) - anti-arrhythmics class III (e.g., amiodarone, dofetilide, dronedarone, ibutilide, sotalol) - certain anti-psychotics (e.g., haloperidol, pimozide, sertindole) - certain anti-depressants (e.g., citalopram, escitalopram) - certain antibiotics (e.g., erythromycin, levofloxacin, moxifloxacin, spiramycin) - certain antifungal agents (e.g., pentamidine) - certain antimalarial agents (in particular halofantrine, lumefantrine) - certain gastro -intestinal medicines (e.g., cisapride, dolasetron, prucalopride) - certain antihistaminics (e.g., mequitazine, mizolastine) - certain</x:v>
      </x:c>
      <x:c r="J431" s="37" t="str">
        <x:v>https://drug.fda.moph.go.th/media.php?id=810073662739849216&amp;name=SMPC_Domperidone_oral suspension.pdf</x:v>
      </x:c>
    </x:row>
    <x:row r="432">
      <x:c r="A432" s="31" t="str">
        <x:v>domperidone</x:v>
      </x:c>
      <x:c r="B432" s="31" t="str">
        <x:v>haloperidol</x:v>
      </x:c>
      <x:c r="C432" s="31" t="str">
        <x:v>unclassified</x:v>
      </x:c>
      <x:c r="D432" s="31" t="str">
        <x:v>review</x:v>
      </x:c>
      <x:c r="E432" s="31" t="str">
        <x:v>r0117_smpc</x:v>
      </x:c>
      <x:c r="F432" s="31" t="str">
        <x:v>SMPC</x:v>
      </x:c>
      <x:c r="G432" s="31" t="n">
        <x:v>5</x:v>
      </x:c>
      <x:c r="H432" s="31" t="str">
        <x:v>haloperidol</x:v>
      </x:c>
      <x:c r="I432" s="37" t="str">
        <x:v>evels of domperidone. Increased risk of occurrence of QT -interval prolongation, due to pharmacodynamic and/or pharmacokinetic interactions. Concomitant use of the following substances is contraindicated QTc prolonging medicinal products • anti-arrhythmics class IA (e.g., disopyramide, hydroquinidine, quinidine) • anti-arrhythmics class III (e.g., amiodarone, dofetilide, dronedarone, ibutilide, sotalol) • certain anti-psychotics (e.g., haloperidol, pimozide, sertindole) • certain anti-depressants (e.g., citalopram, escitalopram) • certain antibiotics (e.g. , erythromycin, levofloxacin, moxifloxacin, spiramycin) • certain antifungal agents (e.g., pentamidine) • certain antimalarial agents (in particular halofantrine, lumefantrine) • certain gastro -intestinal medicines (e.g., cisapride, dolasetron, prucalopride) • certain antihistaminics (e.g., mequitazine, mizolastine) • certain</x:v>
      </x:c>
      <x:c r="J432" s="37" t="str">
        <x:v>https://drug.fda.moph.go.th/media.php?id=810074048620011520&amp;name=SMPC_Domperidone_Film-coated Tablets.pdf</x:v>
      </x:c>
    </x:row>
    <x:row r="433">
      <x:c r="A433" s="31" t="str">
        <x:v>domperidone</x:v>
      </x:c>
      <x:c r="B433" s="31" t="str">
        <x:v>haloperidol</x:v>
      </x:c>
      <x:c r="C433" s="31" t="str">
        <x:v>unclassified</x:v>
      </x:c>
      <x:c r="D433" s="31" t="str">
        <x:v>review</x:v>
      </x:c>
      <x:c r="E433" s="31" t="str">
        <x:v>r0118_smpc</x:v>
      </x:c>
      <x:c r="F433" s="31" t="str">
        <x:v>SMPC</x:v>
      </x:c>
      <x:c r="G433" s="31" t="n">
        <x:v>5</x:v>
      </x:c>
      <x:c r="H433" s="31" t="str">
        <x:v>haloperidol</x:v>
      </x:c>
      <x:c r="I433" s="37" t="str">
        <x:v>he observation period. Increased risk of occurrence of QT -interval prolongation, due to pharmacodynamic and/or pharmacokinetic interactions. Concomitant use of the following substances is contraindicated QTc-prolonging medicinal products: • anti-arrhythmics class 1A (e.g., disopyramide, hydroquinidine, quinidine) • anti-arrhythmics class III (e.g., amiodarone, dofetilide, dronedarone, ibutilide, sotalol) • certain antipsychotics (e.g., haloperidol, pimozide, sertindole) • certain antidepressants (e.g., citalopram, escitalopram) • certain antibiotics (e.g., erythromycin, levofloxacin, moxifloxacin, spiramycin) • certain antifungal agents (e.g., pentamidine)</x:v>
      </x:c>
      <x:c r="J433" s="37" t="str">
        <x:v>https://drug.fda.moph.go.th/media.php?id=810074487256129536&amp;name=SMPC_Domperidone_Tablets.pdf</x:v>
      </x:c>
    </x:row>
    <x:row r="434">
      <x:c r="A434" s="31" t="str">
        <x:v>domperidone</x:v>
      </x:c>
      <x:c r="B434" s="31" t="str">
        <x:v>ketoconazole</x:v>
      </x:c>
      <x:c r="C434" s="31" t="str">
        <x:v>unclassified</x:v>
      </x:c>
      <x:c r="D434" s="31" t="str">
        <x:v>review</x:v>
      </x:c>
      <x:c r="E434" s="31" t="str">
        <x:v>r0116_smpc</x:v>
      </x:c>
      <x:c r="F434" s="31" t="str">
        <x:v>SMPC</x:v>
      </x:c>
      <x:c r="G434" s="31" t="n">
        <x:v>7</x:v>
      </x:c>
      <x:c r="H434" s="31" t="str">
        <x:v>ketoconazole</x:v>
      </x:c>
      <x:c r="I434" s="37" t="str">
        <x:v>llowing substances requires caution in use Caution with bradycardia and hypokalaemia -inducing drugs, as well as with the following macrolides involved in QT -interval prolongation: azithromycin and roxithromycin (clarithromycin is contra-indicated as it is a potent CYP3A4 inhibitor). The above list of substances is representative and not exhaustive. Separate in vivo pharmacokinetic/pharmacodynamic interaction studies with oral ketoconazole or oral erythromycin in healthy subjects confirmed a marked inhibition of domperidone's CYP3A4 mediated first pass metabolism by these drugs. With the combination of oral domperidone 10mg four times daily and ketoconazole 200mg twice daily, a mean QTc prolongation of 9.8 msec was seen over the observation period, with changes at individual time points ranging from 1.2 to 17.5 msec. With the combination of</x:v>
      </x:c>
      <x:c r="J434" s="37" t="str">
        <x:v>https://drug.fda.moph.go.th/media.php?id=810073662739849216&amp;name=SMPC_Domperidone_oral suspension.pdf</x:v>
      </x:c>
    </x:row>
    <x:row r="435">
      <x:c r="A435" s="31" t="str">
        <x:v>domperidone</x:v>
      </x:c>
      <x:c r="B435" s="31" t="str">
        <x:v>ketoconazole</x:v>
      </x:c>
      <x:c r="C435" s="31" t="str">
        <x:v>unclassified</x:v>
      </x:c>
      <x:c r="D435" s="31" t="str">
        <x:v>review</x:v>
      </x:c>
      <x:c r="E435" s="31" t="str">
        <x:v>r0116_smpc</x:v>
      </x:c>
      <x:c r="F435" s="31" t="str">
        <x:v>SMPC</x:v>
      </x:c>
      <x:c r="G435" s="31" t="n">
        <x:v>8</x:v>
      </x:c>
      <x:c r="H435" s="31" t="str">
        <x:v>ketoconazole</x:v>
      </x:c>
      <x:c r="I435" s="37" t="str">
        <x:v>and oral erythromycin 500mg three times daily, mean QTc over the observation period was prolonged by 9.9 msec, with changes at individual time points ranging from 1.6 to 14.3 msec. Both the Cmax and AUC of domperidone at steady state were increased approximately three-fold in each of these interaction studies. In these studies domperidone monotherapy at 10mg given orally four times daily resulted in increases in mean QTc of 1.6 msec (ketoconazole study) and 2.5 msec (erythromycin study), while ketoconazole monotherapy (200mg twice daily) led to increases in QTc of 3.8 and 4.9 msec, respectively, over the observation period. Levodopa: Increase of plasma levels of levodopa (max 30 -40%). See section 4.4 4.6. Fertility, pregnancy and lactation Pregnancy There are limited post -marketing data on the use of domperidone in pregnant women. Studies in animals have shown reprod</x:v>
      </x:c>
      <x:c r="J435" s="37" t="str">
        <x:v>https://drug.fda.moph.go.th/media.php?id=810073662739849216&amp;name=SMPC_Domperidone_oral suspension.pdf</x:v>
      </x:c>
    </x:row>
    <x:row r="436">
      <x:c r="A436" s="31" t="str">
        <x:v>domperidone</x:v>
      </x:c>
      <x:c r="B436" s="31" t="str">
        <x:v>ketoconazole</x:v>
      </x:c>
      <x:c r="C436" s="31" t="str">
        <x:v>unclassified</x:v>
      </x:c>
      <x:c r="D436" s="31" t="str">
        <x:v>review</x:v>
      </x:c>
      <x:c r="E436" s="31" t="str">
        <x:v>r0117_smpc</x:v>
      </x:c>
      <x:c r="F436" s="31" t="str">
        <x:v>SMPC</x:v>
      </x:c>
      <x:c r="G436" s="31" t="n">
        <x:v>6</x:v>
      </x:c>
      <x:c r="H436" s="31" t="str">
        <x:v>ketoconazole</x:v>
      </x:c>
      <x:c r="I436" s="37" t="str">
        <x:v>e of the following substances requires caution in use Caution with bradycardia and hypokalaemia-inducing drugs, as well as with the following macrolides involved in QT -interval prolongation: azithromycin and roxithromycin (clarithromycin is contra -indicated as it is a potent CYP3A4 inhibitor). The above list of substances is representative and not exhaustive. Separate in vivo pharmacokinetic/pharmacodynamic interaction studies with oral ketoconazole or oral erythromycin in healthy subjects confirmed a marked inhibition of domperidone's CYP3A4 mediated first pass metabolism by these drugs. With the combination of oral domperidone 10mg four times daily and ketoconazole 200mg twice daily, a mean QTc prolongation of 9.8 msec was seen over the observation period, with changes at individual time points ranging from 1.2 to 17.5 msec. With the combination of domperidone 10mg four times daily</x:v>
      </x:c>
      <x:c r="J436" s="37" t="str">
        <x:v>https://drug.fda.moph.go.th/media.php?id=810074048620011520&amp;name=SMPC_Domperidone_Film-coated Tablets.pdf</x:v>
      </x:c>
    </x:row>
    <x:row r="437">
      <x:c r="A437" s="31" t="str">
        <x:v>domperidone</x:v>
      </x:c>
      <x:c r="B437" s="31" t="str">
        <x:v>ketoconazole</x:v>
      </x:c>
      <x:c r="C437" s="31" t="str">
        <x:v>unclassified</x:v>
      </x:c>
      <x:c r="D437" s="31" t="str">
        <x:v>review</x:v>
      </x:c>
      <x:c r="E437" s="31" t="str">
        <x:v>r0118_smpc</x:v>
      </x:c>
      <x:c r="F437" s="31" t="str">
        <x:v>SMPC</x:v>
      </x:c>
      <x:c r="G437" s="31" t="n">
        <x:v>5</x:v>
      </x:c>
      <x:c r="H437" s="31" t="str">
        <x:v>ketoconazole</x:v>
      </x:c>
      <x:c r="I437" s="37" t="str">
        <x:v>1 Ref:Domperidone 10mg tablets, MHRA, 23/08/2023 5 4.5. Interaction with other medicinal products and other forms of interaction Separate in vivo pharmacokinetic/pharmacodynamic interaction studies with oral ketoconazole or oral erythromycin in healthy subjects confirmed a marked inhibition of domperidone’s CYP3A4 mediated first pass metabolism by these drugs. With the combination of oral domperidone 10mg four times daily and ketoconazole 200 mg twice daily, a mean QTc prolongation of 9.8 msec was seen over the observation period, with changes at individual time points ranging from 1.2 to 17.5 msec. With the com bination of domperidone 10 mg four times da</x:v>
      </x:c>
      <x:c r="J437" s="37" t="str">
        <x:v>https://drug.fda.moph.go.th/media.php?id=810074487256129536&amp;name=SMPC_Domperidone_Tablets.pdf</x:v>
      </x:c>
    </x:row>
    <x:row r="438">
      <x:c r="A438" s="31" t="str">
        <x:v>domperidone</x:v>
      </x:c>
      <x:c r="B438" s="31" t="str">
        <x:v>pimozide</x:v>
      </x:c>
      <x:c r="C438" s="31" t="str">
        <x:v>unclassified</x:v>
      </x:c>
      <x:c r="D438" s="31" t="str">
        <x:v>review</x:v>
      </x:c>
      <x:c r="E438" s="31" t="str">
        <x:v>r0116_smpc</x:v>
      </x:c>
      <x:c r="F438" s="31" t="str">
        <x:v>SMPC</x:v>
      </x:c>
      <x:c r="G438" s="31" t="n">
        <x:v>6</x:v>
      </x:c>
      <x:c r="H438" s="31" t="str">
        <x:v>pimozide</x:v>
      </x:c>
      <x:c r="I438" s="37" t="str">
        <x:v>. Increased risk of occurrence of QT -interval prolongation, due to pharmacodynamic and/or pharmacokinetic interactions. Concomitant use of the following substances is contraindicated QTc prolonging medicinal products - anti-arrhythmics class IA (e.g., disopyramide, hydroquinidine, quinidine) - anti-arrhythmics class III (e.g., amiodarone, dofetilide, dronedarone, ibutilide, sotalol) - certain anti-psychotics (e.g., haloperidol, pimozide, sertindole) - certain anti-depressants (e.g., citalopram, escitalopram) - certain antibiotics (e.g., erythromycin, levofloxacin, moxifloxacin, spiramycin) - certain antifungal agents (e.g., pentamidine) - certain antimalarial agents (in particular halofantrine, lumefantrine) - certain gastro -intestinal medicines (e.g., cisapride, dolasetron, prucalopride) - certain antihistaminics (e.g., mequitazine, mizolastine) - certain medicines</x:v>
      </x:c>
      <x:c r="J438" s="37" t="str">
        <x:v>https://drug.fda.moph.go.th/media.php?id=810073662739849216&amp;name=SMPC_Domperidone_oral suspension.pdf</x:v>
      </x:c>
    </x:row>
    <x:row r="439">
      <x:c r="A439" s="31" t="str">
        <x:v>domperidone</x:v>
      </x:c>
      <x:c r="B439" s="31" t="str">
        <x:v>pimozide</x:v>
      </x:c>
      <x:c r="C439" s="31" t="str">
        <x:v>unclassified</x:v>
      </x:c>
      <x:c r="D439" s="31" t="str">
        <x:v>review</x:v>
      </x:c>
      <x:c r="E439" s="31" t="str">
        <x:v>r0117_smpc</x:v>
      </x:c>
      <x:c r="F439" s="31" t="str">
        <x:v>SMPC</x:v>
      </x:c>
      <x:c r="G439" s="31" t="n">
        <x:v>5</x:v>
      </x:c>
      <x:c r="H439" s="31" t="str">
        <x:v>pimozide</x:v>
      </x:c>
      <x:c r="I439" s="37" t="str">
        <x:v>peridone. Increased risk of occurrence of QT -interval prolongation, due to pharmacodynamic and/or pharmacokinetic interactions. Concomitant use of the following substances is contraindicated QTc prolonging medicinal products • anti-arrhythmics class IA (e.g., disopyramide, hydroquinidine, quinidine) • anti-arrhythmics class III (e.g., amiodarone, dofetilide, dronedarone, ibutilide, sotalol) • certain anti-psychotics (e.g., haloperidol, pimozide, sertindole) • certain anti-depressants (e.g., citalopram, escitalopram) • certain antibiotics (e.g. , erythromycin, levofloxacin, moxifloxacin, spiramycin) • certain antifungal agents (e.g., pentamidine) • certain antimalarial agents (in particular halofantrine, lumefantrine) • certain gastro -intestinal medicines (e.g., cisapride, dolasetron, prucalopride) • certain antihistaminics (e.g., mequitazine, mizolastine) • certain medicines</x:v>
      </x:c>
      <x:c r="J439" s="37" t="str">
        <x:v>https://drug.fda.moph.go.th/media.php?id=810074048620011520&amp;name=SMPC_Domperidone_Film-coated Tablets.pdf</x:v>
      </x:c>
    </x:row>
    <x:row r="440">
      <x:c r="A440" s="31" t="str">
        <x:v>domperidone</x:v>
      </x:c>
      <x:c r="B440" s="31" t="str">
        <x:v>pimozide</x:v>
      </x:c>
      <x:c r="C440" s="31" t="str">
        <x:v>unclassified</x:v>
      </x:c>
      <x:c r="D440" s="31" t="str">
        <x:v>review</x:v>
      </x:c>
      <x:c r="E440" s="31" t="str">
        <x:v>r0118_smpc</x:v>
      </x:c>
      <x:c r="F440" s="31" t="str">
        <x:v>SMPC</x:v>
      </x:c>
      <x:c r="G440" s="31" t="n">
        <x:v>5</x:v>
      </x:c>
      <x:c r="H440" s="31" t="str">
        <x:v>pimozide</x:v>
      </x:c>
      <x:c r="I440" s="37" t="str">
        <x:v>n period. Increased risk of occurrence of QT -interval prolongation, due to pharmacodynamic and/or pharmacokinetic interactions. Concomitant use of the following substances is contraindicated QTc-prolonging medicinal products: • anti-arrhythmics class 1A (e.g., disopyramide, hydroquinidine, quinidine) • anti-arrhythmics class III (e.g., amiodarone, dofetilide, dronedarone, ibutilide, sotalol) • certain antipsychotics (e.g., haloperidol, pimozide, sertindole) • certain antidepressants (e.g., citalopram, escitalopram) • certain antibiotics (e.g., erythromycin, levofloxacin, moxifloxacin, spiramycin) • certain antifungal agents (e.g., pentamidine)</x:v>
      </x:c>
      <x:c r="J440" s="37" t="str">
        <x:v>https://drug.fda.moph.go.th/media.php?id=810074487256129536&amp;name=SMPC_Domperidone_Tablets.pdf</x:v>
      </x:c>
    </x:row>
    <x:row r="441">
      <x:c r="A441" s="31" t="str">
        <x:v>domperidone</x:v>
      </x:c>
      <x:c r="B441" s="31" t="str">
        <x:v>roxithromycin</x:v>
      </x:c>
      <x:c r="C441" s="31" t="str">
        <x:v>unclassified</x:v>
      </x:c>
      <x:c r="D441" s="31" t="str">
        <x:v>review</x:v>
      </x:c>
      <x:c r="E441" s="31" t="str">
        <x:v>r0116_smpc</x:v>
      </x:c>
      <x:c r="F441" s="31" t="str">
        <x:v>SMPC</x:v>
      </x:c>
      <x:c r="G441" s="31" t="n">
        <x:v>7</x:v>
      </x:c>
      <x:c r="H441" s="31" t="str">
        <x:v>roxithromycin</x:v>
      </x:c>
      <x:c r="I441" s="37" t="str">
        <x:v>n, clarithromycin,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 -inducing drugs, as well as with the following macrolides involved in QT -interval prolongation: azithromycin and roxithromycin (clarithromycin is contra-indicated as it is a potent CYP3A4 inhibitor). The above list of substances is representative and not exhaustive. Separate in vivo pharmacokinetic/pharmacodynamic interaction studies with oral ketoconazole or oral erythromycin in healthy subjects confirmed a marked inhibition of domperidone's CYP3A4 mediated first pass metabolism by these drugs. With the combination of oral domperidone 10mg four time</x:v>
      </x:c>
      <x:c r="J441" s="37" t="str">
        <x:v>https://drug.fda.moph.go.th/media.php?id=810073662739849216&amp;name=SMPC_Domperidone_oral suspension.pdf</x:v>
      </x:c>
    </x:row>
    <x:row r="442">
      <x:c r="A442" s="31" t="str">
        <x:v>domperidone</x:v>
      </x:c>
      <x:c r="B442" s="31" t="str">
        <x:v>roxithromycin</x:v>
      </x:c>
      <x:c r="C442" s="31" t="str">
        <x:v>unclassified</x:v>
      </x:c>
      <x:c r="D442" s="31" t="str">
        <x:v>review</x:v>
      </x:c>
      <x:c r="E442" s="31" t="str">
        <x:v>r0117_smpc</x:v>
      </x:c>
      <x:c r="F442" s="31" t="str">
        <x:v>SMPC</x:v>
      </x:c>
      <x:c r="G442" s="31" t="n">
        <x:v>6</x:v>
      </x:c>
      <x:c r="H442" s="31" t="str">
        <x:v>roxithromycin</x:v>
      </x:c>
      <x:c r="I442" s="37" t="str">
        <x:v>erythromycin, clarithromycin,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hypokalaemia-inducing drugs, as well as with the following macrolides involved in QT -interval prolongation: azithromycin and roxithromycin (clarithromycin is contra -indicated as it is a potent CYP3A4 inhibitor). The above list of substances is representative and not exhaustive. Separate in vivo pharmacokinetic/pharmacodynamic interaction studies with oral ketoconazole or oral erythromycin in healthy subjects confirmed a marked inhibition of domperidone's CYP3A4 mediated first pass metabolism by these drugs. With the combination of oral domperidone 10mg four times daily and</x:v>
      </x:c>
      <x:c r="J442" s="37" t="str">
        <x:v>https://drug.fda.moph.go.th/media.php?id=810074048620011520&amp;name=SMPC_Domperidone_Film-coated Tablets.pdf</x:v>
      </x:c>
    </x:row>
    <x:row r="443">
      <x:c r="A443" s="31" t="str">
        <x:v>domperidone</x:v>
      </x:c>
      <x:c r="B443" s="31" t="str">
        <x:v>roxithromycin</x:v>
      </x:c>
      <x:c r="C443" s="31" t="str">
        <x:v>moderate</x:v>
      </x:c>
      <x:c r="D443" s="31" t="str">
        <x:v>eligible</x:v>
      </x:c>
      <x:c r="E443" s="31" t="str">
        <x:v>r0118_smpc</x:v>
      </x:c>
      <x:c r="F443" s="31" t="str">
        <x:v>SMPC</x:v>
      </x:c>
      <x:c r="G443" s="31" t="n">
        <x:v>6</x:v>
      </x:c>
      <x:c r="H443" s="31" t="str">
        <x:v>roxithromycin</x:v>
      </x:c>
      <x:c r="I443" s="37" t="str">
        <x:v>des (erythromycin, clarithromycin and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hypokalaemia-inducing drugs, as well as with the following macrolides involved in QT -prolongation: azithromycin and roxithromycin (clarithromycin is contraindicated as it is a potent CYP3A4 inhibitor). The above list of substances is representative and not exhaustive. There is a theoretical potential that domperidone may antagonise the hypoprolactinaemia effect of drugs such as bromocriptine. Opioid analgesics and antimuscarinics may antagonise the prokinetic effects of domperidone.</x:v>
      </x:c>
      <x:c r="J443" s="37" t="str">
        <x:v>https://drug.fda.moph.go.th/media.php?id=810074487256129536&amp;name=SMPC_Domperidone_Tablets.pdf</x:v>
      </x:c>
    </x:row>
    <x:row r="444">
      <x:c r="A444" s="31" t="str">
        <x:v>domperidone</x:v>
      </x:c>
      <x:c r="B444" s="31" t="str">
        <x:v>sodium_bicarbonate</x:v>
      </x:c>
      <x:c r="C444" s="31" t="str">
        <x:v>unclassified</x:v>
      </x:c>
      <x:c r="D444" s="31" t="str">
        <x:v>review</x:v>
      </x:c>
      <x:c r="E444" s="31" t="str">
        <x:v>r0116_smpc</x:v>
      </x:c>
      <x:c r="F444" s="31" t="str">
        <x:v>SMPC</x:v>
      </x:c>
      <x:c r="G444" s="31" t="n">
        <x:v>14</x:v>
      </x:c>
      <x:c r="H444" s="31" t="str">
        <x:v>sodium bicarbonate</x:v>
      </x:c>
      <x:c r="I444" s="37" t="str">
        <x:v>(approximately 15%) is due to an extensive first -pass metabolism in the gut wall and liver. Although domperidone's bioavailability is enhanced in normal subjects when taken after a meal, patients with gastro -intestinal complaints should take domperidone 15 30 minutes before a meal. Reduced gastric acidity impairs the absorption of domperidone. Oral bioavailability is decreased by prior concomitant administration of cimetidine and sodium bicarbonate. The time of peak absorption is slightly delayed and the AUC somewhat increased when the oral drug is taken after a meal. Distribution Domperidone is 91-93% bound to plasma proteins. Distribution studies with radiolabelled drug in animals have shown wide tissue distribution, but low brain concentration. Small amounts of drug cross the placenta in rats. Metabolism Domperidone undergoes rapid and extensive hepatic metabolism</x:v>
      </x:c>
      <x:c r="J444" s="37" t="str">
        <x:v>https://drug.fda.moph.go.th/media.php?id=810073662739849216&amp;name=SMPC_Domperidone_oral suspension.pdf</x:v>
      </x:c>
    </x:row>
    <x:row r="445">
      <x:c r="A445" s="31" t="str">
        <x:v>domperidone</x:v>
      </x:c>
      <x:c r="B445" s="31" t="str">
        <x:v>sodium_bicarbonate</x:v>
      </x:c>
      <x:c r="C445" s="31" t="str">
        <x:v>unclassified</x:v>
      </x:c>
      <x:c r="D445" s="31" t="str">
        <x:v>review</x:v>
      </x:c>
      <x:c r="E445" s="31" t="str">
        <x:v>r0117_smpc</x:v>
      </x:c>
      <x:c r="F445" s="31" t="str">
        <x:v>SMPC</x:v>
      </x:c>
      <x:c r="G445" s="31" t="n">
        <x:v>12</x:v>
      </x:c>
      <x:c r="H445" s="31" t="str">
        <x:v>sodium bicarbonate</x:v>
      </x:c>
      <x:c r="I445" s="37" t="str">
        <x:v>1 Ref:Domperidone 10 mg film-coated tablets, MHRA, 03/04/2024 12 Reduced gastric acidity impairs the absorption of domperidone. Oral bioavailability is decreased by prior concomitant administration of cimetidine and sodium bicarbonate. The time of peak absorption is slightly delayed and the AUC somewhat increased when the oral drug is taken after a meal. Distribution Oral domperidone does not appear to accumulate or induce its own metabolism; a peak plasma level after 90 minutes of 21 ng/ml after two weeks oral administration of 30 mg per day was almost the same as that of 18 ng/ml after the first dose. Domperidone is 91-93% bound to plasma proteins. Distribution stud</x:v>
      </x:c>
      <x:c r="J445" s="37" t="str">
        <x:v>https://drug.fda.moph.go.th/media.php?id=810074048620011520&amp;name=SMPC_Domperidone_Film-coated Tablets.pdf</x:v>
      </x:c>
    </x:row>
    <x:row r="446">
      <x:c r="A446" s="31" t="str">
        <x:v>domperidone</x:v>
      </x:c>
      <x:c r="B446" s="31" t="str">
        <x:v>sodium_bicarbonate</x:v>
      </x:c>
      <x:c r="C446" s="31" t="str">
        <x:v>unclassified</x:v>
      </x:c>
      <x:c r="D446" s="31" t="str">
        <x:v>review</x:v>
      </x:c>
      <x:c r="E446" s="31" t="str">
        <x:v>r0118_smpc</x:v>
      </x:c>
      <x:c r="F446" s="31" t="str">
        <x:v>SMPC</x:v>
      </x:c>
      <x:c r="G446" s="31" t="n">
        <x:v>11</x:v>
      </x:c>
      <x:c r="H446" s="31" t="str">
        <x:v>sodium bicarbonate</x:v>
      </x:c>
      <x:c r="I446" s="37" t="str">
        <x:v>done (approximately 15%) is due to an extensive first -pass metabolism in the gut wall and liver. Although domperidone’s bioavailability is enhanced in normal subjects when taken after, a meal, patients with g astro-intestinal complaints should take domperidone 15 -30 minutes before a meal. Reduced gastric acidity impairs the absorption of domperidone. Oral bioavailability is decreased by prior concomitant administration of cimetidine and sodium bicarbonate. The time of peak absorption is slightly delayed and the AUC somewhat increased when the oral drug is taken after a meal.</x:v>
      </x:c>
      <x:c r="J446" s="37" t="str">
        <x:v>https://drug.fda.moph.go.th/media.php?id=810074487256129536&amp;name=SMPC_Domperidone_Tablets.pdf</x:v>
      </x:c>
    </x:row>
    <x:row r="447">
      <x:c r="A447" s="31" t="str">
        <x:v>domperidone</x:v>
      </x:c>
      <x:c r="B447" s="31" t="str">
        <x:v>verapamil</x:v>
      </x:c>
      <x:c r="C447" s="31" t="str">
        <x:v>unclassified</x:v>
      </x:c>
      <x:c r="D447" s="31" t="str">
        <x:v>review</x:v>
      </x:c>
      <x:c r="E447" s="31" t="str">
        <x:v>r0116_smpc</x:v>
      </x:c>
      <x:c r="F447" s="31" t="str">
        <x:v>SMPC</x:v>
      </x:c>
      <x:c r="G447" s="31" t="n">
        <x:v>7</x:v>
      </x:c>
      <x:c r="H447" s="31" t="str">
        <x:v>verapamil</x:v>
      </x:c>
      <x:c r="I447" s="37" t="str">
        <x:v>and only if the recommended precautions for co-administration are strictly fulfilled. Please refer to the apomorphine SmPC. Potent CYP3A4 inhibitors (regardless of their QT prolonging effects) : - protease inhibitors - systemic azole antifungals - some macrolides (erythromycin, clarithromycin,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 -inducing drugs, as well as with the following macrolides involved in QT -interval prolongation: azithromycin and roxithromycin (clarithromycin is contra-indicated as it is a potent CYP3A4 inhibitor). The above list of substances is representative and not exhaustive. Separate in</x:v>
      </x:c>
      <x:c r="J447" s="37" t="str">
        <x:v>https://drug.fda.moph.go.th/media.php?id=810073662739849216&amp;name=SMPC_Domperidone_oral suspension.pdf</x:v>
      </x:c>
    </x:row>
    <x:row r="448">
      <x:c r="A448" s="31" t="str">
        <x:v>domperidone</x:v>
      </x:c>
      <x:c r="B448" s="31" t="str">
        <x:v>verapamil</x:v>
      </x:c>
      <x:c r="C448" s="31" t="str">
        <x:v>unclassified</x:v>
      </x:c>
      <x:c r="D448" s="31" t="str">
        <x:v>review</x:v>
      </x:c>
      <x:c r="E448" s="31" t="str">
        <x:v>r0117_smpc</x:v>
      </x:c>
      <x:c r="F448" s="31" t="str">
        <x:v>SMPC</x:v>
      </x:c>
      <x:c r="G448" s="31" t="n">
        <x:v>6</x:v>
      </x:c>
      <x:c r="H448" s="31" t="str">
        <x:v>verapamil</x:v>
      </x:c>
      <x:c r="I448" s="37" t="str">
        <x:v>1 Ref:Domperidone 10 mg film-coated tablets, MHRA, 03/04/2024 6 • protease inhibitors • systemic azole antifungals • some macrolides (erythromycin, clarithromycin,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hypokalaemia-inducing drugs, as well as with the following macrolides involved in QT -interval prolongation: azithromycin and roxithromycin (clarithromycin is contra -indicated as it is a potent CYP3A4 inhibitor). The above list of substances is representative and not exhaustive. Separate in vivo pharmac</x:v>
      </x:c>
      <x:c r="J448" s="37" t="str">
        <x:v>https://drug.fda.moph.go.th/media.php?id=810074048620011520&amp;name=SMPC_Domperidone_Film-coated Tablets.pdf</x:v>
      </x:c>
    </x:row>
    <x:row r="449">
      <x:c r="A449" s="31" t="str">
        <x:v>domperidone</x:v>
      </x:c>
      <x:c r="B449" s="31" t="str">
        <x:v>verapamil</x:v>
      </x:c>
      <x:c r="C449" s="31" t="str">
        <x:v>unclassified</x:v>
      </x:c>
      <x:c r="D449" s="31" t="str">
        <x:v>review</x:v>
      </x:c>
      <x:c r="E449" s="31" t="str">
        <x:v>r0118_smpc</x:v>
      </x:c>
      <x:c r="F449" s="31" t="str">
        <x:v>SMPC</x:v>
      </x:c>
      <x:c r="G449" s="31" t="n">
        <x:v>6</x:v>
      </x:c>
      <x:c r="H449" s="31" t="str">
        <x:v>verapamil</x:v>
      </x:c>
      <x:c r="I449" s="37" t="str">
        <x:v>only if the recommended precautions for co - administration are strictly fulfilled. Please refer to the apomorphine SmPC. Potent CYP3A4 inhibitors (regardless of their QT prolonging effects), i.e: • protease inhibitors • systemic azole antifungals • some macrolides (erythromycin, clarithromycin and telithromycin) (see section 4.3). Concomitant use of the following substances is not recommended Moderate CYP3A4 inhibitors i.e. diltiazem, verapamil and some macrolides. (see section 4.3). Concomitant use of the following substances requires caution in use Caution with bradycardia and hypokalaemia-inducing drugs, as well as with the following macrolides involved in QT -prolongation: azithromycin and roxithromycin (clarithromycin is contraindicated as it is a potent CYP3A4 inhibitor). The above list of substances is representative and not exhaustive. There is a theoretical potential t</x:v>
      </x:c>
      <x:c r="J449" s="37" t="str">
        <x:v>https://drug.fda.moph.go.th/media.php?id=810074487256129536&amp;name=SMPC_Domperidone_Tablets.pdf</x:v>
      </x:c>
    </x:row>
    <x:row r="450">
      <x:c r="A450" s="31" t="str">
        <x:v>doxorubicin</x:v>
      </x:c>
      <x:c r="B450" s="31" t="str">
        <x:v>fluorouracil</x:v>
      </x:c>
      <x:c r="C450" s="31" t="str">
        <x:v>unclassified</x:v>
      </x:c>
      <x:c r="D450" s="31" t="str">
        <x:v>review</x:v>
      </x:c>
      <x:c r="E450" s="31" t="str">
        <x:v>r0148_smpc</x:v>
      </x:c>
      <x:c r="F450" s="31" t="str">
        <x:v>SMPC</x:v>
      </x:c>
      <x:c r="G450" s="31" t="n">
        <x:v>23</x:v>
      </x:c>
      <x:c r="H450" s="31" t="str">
        <x:v>doxorubicin</x:v>
      </x:c>
      <x:c r="I450" s="37" t="str">
        <x:v>nd deformed appendages and tails. Potential effects of fluorouracil on peri and postnatal development have not been studied in animals. Howeve r, in rats’ fluorouracil has been found to cross the placental barrier and to cause foetal mortality. 6. PHARMACEUTICAL PARTICULARS 6.1. List of excipients &lt;REGARDING THE APPROVAL&gt; 6.2. Incompatibilities Fluorouracil is incompatible with folinic acid, Carboplatin, Cisplatin, Cytarabine, Diazepam, Doxorubicin, Droperidol, Filgrastim, Gallium nitrate, Methotrexate, Metoclopramide, Morphine, Ondansetrone, parenteral nutrition, Vinorelbin, other Anthracyclines. Formulated solutions are alkaline and it is recommended that admixture with acidic drugs or preparations should be avoided. In the absence of compatibility studies, this medicinal product must not be mixed with other medicinal products. 6.3. Shelf life &lt;REGARDING THE APPROVAL&gt; 6.4. Speci</x:v>
      </x:c>
      <x:c r="J450" s="37" t="str">
        <x:v>https://drug.fda.moph.go.th/media.php?id=810172919505362944&amp;name=SMPC_Fluorouracil_Solution for Injection or Infusion.pdf</x:v>
      </x:c>
    </x:row>
    <x:row r="451">
      <x:c r="A451" s="31" t="str">
        <x:v>doxorubicin</x:v>
      </x:c>
      <x:c r="B451" s="31" t="str">
        <x:v>zidovudine</x:v>
      </x:c>
      <x:c r="C451" s="31" t="str">
        <x:v>unclassified</x:v>
      </x:c>
      <x:c r="D451" s="31" t="str">
        <x:v>review</x:v>
      </x:c>
      <x:c r="E451" s="31" t="str">
        <x:v>r0364_smpc</x:v>
      </x:c>
      <x:c r="F451" s="31" t="str">
        <x:v>SMPC</x:v>
      </x:c>
      <x:c r="G451" s="31" t="n">
        <x:v>10</x:v>
      </x:c>
      <x:c r="H451" s="31" t="str">
        <x:v>doxorubicin</x:v>
      </x:c>
      <x:c r="I451" s="37" t="str">
        <x:v>1 Ref: Retrovir, MHRA, 02/09/2022 10 dapsone, pyrimethamine, co -trimoxazole, amphotericin, flucytosine, ganciclovir, interferon, vincristine, vinblastine and doxorubicin) may also increase the risk of adverse reactions to zidovudine. If concomitant therapy with any of these drugs is necessary then extra care should be taken in monitoring renal function and haematological parameters and, if required, the dos age of one or more agents should be reduced. Limited data from clinical trials do not indicate a significantly increased risk of adverse reactions to zidovudine with cotrimoxazole, aerosolised pentamid</x:v>
      </x:c>
      <x:c r="J451" s="37" t="str">
        <x:v>https://drug.fda.moph.go.th/media.php?id=810494978483691520&amp;name=SMPC_Zidovudine_Capsules.pdf</x:v>
      </x:c>
    </x:row>
    <x:row r="452">
      <x:c r="A452" s="31" t="str">
        <x:v>doxycycline_hyclate</x:v>
      </x:c>
      <x:c r="B452" s="31" t="str">
        <x:v>tetracycline</x:v>
      </x:c>
      <x:c r="C452" s="31" t="str">
        <x:v>unclassified</x:v>
      </x:c>
      <x:c r="D452" s="31" t="str">
        <x:v>review</x:v>
      </x:c>
      <x:c r="E452" s="31" t="str">
        <x:v>r0119_smpc</x:v>
      </x:c>
      <x:c r="F452" s="31" t="str">
        <x:v>SMPC</x:v>
      </x:c>
      <x:c r="G452" s="31" t="n">
        <x:v>9</x:v>
      </x:c>
      <x:c r="H452" s="31" t="str">
        <x:v>tetracycline</x:v>
      </x:c>
      <x:c r="I452" s="37" t="str">
        <x:v>prothrombin activity and reduced doses of concomitant anticoagulants may be necessary. The serum half-life of doxycycline may be shortened when patients are concurrently receiving barbiturates, carbamazepine or phenytoin. An increase in the daily dosage of &lt;GENERIC NAME&gt; should be considered. Alcohol may decrease the half-life of doxycycline. A few cases of pregnancy or breakthrough bleeding have been attributed to the concurrent use of tetracycline antibiotics with oral contraceptives. Doxycycline may increase the plasma concentration of ciclosporin. Co- administration should only be undertaken with appropriate monitoring. The concurrent use of tetracyclines and methoxyflurane has been reported to result in fatal renal toxicity. See section 4.4. Concomitant use of isotretinoin or other systemic retinoids and doxycycline should be avoided. Each of these agents used alone has been asso</x:v>
      </x:c>
      <x:c r="J452" s="37" t="str">
        <x:v>https://drug.fda.moph.go.th/media.php?id=810074802814590976&amp;name=SMPC_Doxycycline_Tablet.pdf</x:v>
      </x:c>
    </x:row>
    <x:row r="453">
      <x:c r="A453" s="31" t="str">
        <x:v>enalapril</x:v>
      </x:c>
      <x:c r="B453" s="31" t="str">
        <x:v>insulin</x:v>
      </x:c>
      <x:c r="C453" s="31" t="str">
        <x:v>unclassified</x:v>
      </x:c>
      <x:c r="D453" s="31" t="str">
        <x:v>review</x:v>
      </x:c>
      <x:c r="E453" s="31" t="str">
        <x:v>r0122_smpc</x:v>
      </x:c>
      <x:c r="F453" s="31" t="str">
        <x:v>SMPC</x:v>
      </x:c>
      <x:c r="G453" s="31" t="n">
        <x:v>9</x:v>
      </x:c>
      <x:c r="H453" s="31" t="str">
        <x:v>insulin</x:v>
      </x:c>
      <x:c r="I453" s="37" t="str">
        <x:v>alapril Maleate 20mg Tablets, MHRA, 12/08/2024 9 Haemodialysis patients Anaphylactoid reactions have been reported in patients dialysed with high-flux membranes (e.g. AN 69®) and treated concomitantly with an ACE inhibitor. In these patients, consideration should be given to using a different type of dialysis membrane or a dif ferent class of antihypertensive agent. Hypoglycaemia Diabetic patients treated with oral antidiabetic agents or insulin starting an ACE inhibitor should be told to closely monitor for hypoglycaemia, especially during the first month of combined use (see section 4.5.). Cough Cough has been reported with the use of ACE inhibitors. Characteristically, the cough is non -productive, persistent and resolves after discontinuation of therapy. ACE inhibitor - induced cough should be considered as part of the differential diagnoses of cough. Surgery/anaesthesia In</x:v>
      </x:c>
      <x:c r="J453" s="37" t="str">
        <x:v>https://drug.fda.moph.go.th/media.php?id=810075899746721792&amp;name=SMPC_Enalapril_Tablets.pdf</x:v>
      </x:c>
    </x:row>
    <x:row r="454">
      <x:c r="A454" s="31" t="str">
        <x:v>enalapril</x:v>
      </x:c>
      <x:c r="B454" s="31" t="str">
        <x:v>insulin</x:v>
      </x:c>
      <x:c r="C454" s="31" t="str">
        <x:v>unclassified</x:v>
      </x:c>
      <x:c r="D454" s="31" t="str">
        <x:v>review</x:v>
      </x:c>
      <x:c r="E454" s="31" t="str">
        <x:v>r0191_smpc</x:v>
      </x:c>
      <x:c r="F454" s="31" t="str">
        <x:v>SMPC</x:v>
      </x:c>
      <x:c r="G454" s="31" t="n">
        <x:v>5</x:v>
      </x:c>
      <x:c r="H454" s="31" t="str">
        <x:v>enalapril</x:v>
      </x:c>
      <x:c r="I454" s="37" t="str">
        <x:v>rticoids, thyroid hormones, growth hormone, danazol, beta2-sympatomimetics (such as ritodrine, salbutamol, terbutaline), thiazides. Insulin requirements may be reduced in the presence of substances with hypoglycaemic activity, such as oral hypoglycaemics (OHA), salicylates (for example, acetylsalicylic acid), certain antidepressants (monoamine oxidase inhibitors), certain angiotensin converting enzyme (ACE) inhibitors (captopril, enalapril), angiotensin II receptor blockers, non - selective beta-blocking agents and alcohol. Somatostatin analogues (octreotide, lanreotide) may both decrease or increase insulin dose requirements.</x:v>
      </x:c>
      <x:c r="J454" s="37" t="str">
        <x:v>https://drug.fda.moph.go.th/media.php?id=810385239439450112&amp;name=SMPC_Insulin_suspension for injection in vial.pdf</x:v>
      </x:c>
    </x:row>
    <x:row r="455">
      <x:c r="A455" s="31" t="str">
        <x:v>enalapril</x:v>
      </x:c>
      <x:c r="B455" s="31" t="str">
        <x:v>lithium</x:v>
      </x:c>
      <x:c r="C455" s="31" t="str">
        <x:v>unclassified</x:v>
      </x:c>
      <x:c r="D455" s="31" t="str">
        <x:v>review</x:v>
      </x:c>
      <x:c r="E455" s="31" t="str">
        <x:v>r0122_smpc</x:v>
      </x:c>
      <x:c r="F455" s="31" t="str">
        <x:v>SMPC</x:v>
      </x:c>
      <x:c r="G455" s="31" t="n">
        <x:v>10</x:v>
      </x:c>
      <x:c r="H455" s="31" t="str">
        <x:v>lithium</x:v>
      </x:c>
      <x:c r="I455" s="37" t="str">
        <x:v>nts, potassium-sparing diuretics, or potassium -containing salt substitutes particularly in patients with impaired renal function may lead to a significant increase in serum potassium. Hyperkalaemi a can cause serious, sometimes fatal arrhythmias. If concomitant use of enalapril and any of the above -mentioned agents is deemed appropriate, they should be used with caution and with frequent monitoring of serum potassium (see section 4.5). Lithium The combination of lithium and enalapril is generally not recommended (see section 4.5). Dual blockade of the rennin -angiotensin-aldosterone system (RAAS) There is evidence that the concomitant use of ACE -inhibitors, angiotensin II receptor blockers or aliskiren increases the risk of hypotension, hyperkalaemia and decreased renal function (inc luding acute renal failure). Dual blockade of RAAS through the combined use of ACE -inhibitor</x:v>
      </x:c>
      <x:c r="J455" s="37" t="str">
        <x:v>https://drug.fda.moph.go.th/media.php?id=810075899746721792&amp;name=SMPC_Enalapril_Tablets.pdf</x:v>
      </x:c>
    </x:row>
    <x:row r="456">
      <x:c r="A456" s="31" t="str">
        <x:v>enalapril</x:v>
      </x:c>
      <x:c r="B456" s="31" t="str">
        <x:v>lithium</x:v>
      </x:c>
      <x:c r="C456" s="31" t="str">
        <x:v>unclassified</x:v>
      </x:c>
      <x:c r="D456" s="31" t="str">
        <x:v>review</x:v>
      </x:c>
      <x:c r="E456" s="31" t="str">
        <x:v>r0122_smpc</x:v>
      </x:c>
      <x:c r="F456" s="31" t="str">
        <x:v>SMPC</x:v>
      </x:c>
      <x:c r="G456" s="31" t="n">
        <x:v>13</x:v>
      </x:c>
      <x:c r="H456" s="31" t="str">
        <x:v>lithium</x:v>
      </x:c>
      <x:c r="I456" s="37" t="str">
        <x:v>1 Ref:Enalapril Maleate 20mg Tablets, MHRA, 12/08/2024 13 Concomitant use of these agents may increase the hypotensive effects of enalapril. Concomitant use with nitroglycerine and other nitrates, or other vasodilators, may further reduce blood pressure. Lithium Reversible increases in serum lithium concentrations and toxicity have been reported during concomitant administration of lithium with ACE inhibitors. Concomitant use of thiazide diuretics may further increase lithium levels and enhance the risk of lithium toxicity with ACE inhibitors. Use of enalapril with lithium is not recommended, but if the combination proves necessary, careful monitoring of serum lithium levels should be performed (</x:v>
      </x:c>
      <x:c r="J456" s="37" t="str">
        <x:v>https://drug.fda.moph.go.th/media.php?id=810075899746721792&amp;name=SMPC_Enalapril_Tablets.pdf</x:v>
      </x:c>
    </x:row>
    <x:row r="457">
      <x:c r="A457" s="31" t="str">
        <x:v>enalapril</x:v>
      </x:c>
      <x:c r="B457" s="31" t="str">
        <x:v>sodium_bicarbonate</x:v>
      </x:c>
      <x:c r="C457" s="31" t="str">
        <x:v>unclassified</x:v>
      </x:c>
      <x:c r="D457" s="31" t="str">
        <x:v>review</x:v>
      </x:c>
      <x:c r="E457" s="31" t="str">
        <x:v>r0314_smpc</x:v>
      </x:c>
      <x:c r="F457" s="31" t="str">
        <x:v>SMPC</x:v>
      </x:c>
      <x:c r="G457" s="31" t="n">
        <x:v>3</x:v>
      </x:c>
      <x:c r="H457" s="31" t="str">
        <x:v>enalapril</x:v>
      </x:c>
      <x:c r="I457" s="37" t="str">
        <x:v>sorbed by the kidney resulting in increased excretion of lithium (reduced plasma concentration). As a precaution for antacids, in order to minimise the risk of interactions affecting pharmacokinetics of concomitantly administered products, drug administrations should be separated by approximately 2 to 3 hours. Sodium bicarbonate reduces the absorption of a number of other drugs taken concomitantly. These include ACE inhibitors (captopril, enalapril, and fosinopril), antibacterials and antifungals (azithromycin, cefaclor, cefpodoxime, isoniazid, itraconazole, rif ampicin, tetracyclines, ketoconazole and the quinolone group of antibacterials); antivirals(atazanivir, fosamprenavir, tipranavir); antihistamines (fexofenadine); bisphosponates, corticosteroids (deflazacort); digoxin, dipyridamole, antiepileptics (gabapen tin and phenytoin), ulcer healing drugs (lansoprazole); levothyroxine</x:v>
      </x:c>
      <x:c r="J457" s="37" t="str">
        <x:v>https://drug.fda.moph.go.th/media.php?id=810453894575562752&amp;name=SMPC_Sodium Bicarbonate_powder.pdf</x:v>
      </x:c>
    </x:row>
    <x:row r="458">
      <x:c r="A458" s="31" t="str">
        <x:v>erythromycin</x:v>
      </x:c>
      <x:c r="B458" s="31" t="str">
        <x:v>felodipine</x:v>
      </x:c>
      <x:c r="C458" s="31" t="str">
        <x:v>unclassified</x:v>
      </x:c>
      <x:c r="D458" s="31" t="str">
        <x:v>review</x:v>
      </x:c>
      <x:c r="E458" s="31" t="str">
        <x:v>r0141_smpc</x:v>
      </x:c>
      <x:c r="F458" s="31" t="str">
        <x:v>SMPC</x:v>
      </x:c>
      <x:c r="G458" s="31" t="n">
        <x:v>4</x:v>
      </x:c>
      <x:c r="H458" s="31" t="str">
        <x:v>erythromycin</x:v>
      </x:c>
      <x:c r="I458" s="37" t="str">
        <x:v>areful oral hygiene. Patients with rare hereditary problems of galactose intolerance, the Lapp lactase deficiency or glucose -galactose malabsorption should not take this medicine. 4.5. Interaction with other medicinal products and other forms of interaction Concomitant administration of substances which interfere with the cytochrome P450 system may affect plasma concentrations of felodipine. Enzyme inhibitors such as cimetidine, erythromycin, itraconazole, ketoconazole and ritonavir impair the elimination of felodipine, and felodipine dosage may need to be reduced when drugs are given concomitantly. Conversely, powerful enzyme inducing agents such as some anticonvulsants (phenytoin, carbamazepine, phenobarbitone) can increase felodipine elimination and higher than normal felodipine doses may be required in patients taking the drugs. No dosage adjustment is required f</x:v>
      </x:c>
      <x:c r="J458" s="37" t="str">
        <x:v>https://drug.fda.moph.go.th/media.php?id=810078823658954752&amp;name=SMPC_Felodipine_prolonged release tablets.pdf</x:v>
      </x:c>
    </x:row>
    <x:row r="459">
      <x:c r="A459" s="31" t="str">
        <x:v>erythromycin</x:v>
      </x:c>
      <x:c r="B459" s="31" t="str">
        <x:v>fluoxetine</x:v>
      </x:c>
      <x:c r="C459" s="31" t="str">
        <x:v>unclassified</x:v>
      </x:c>
      <x:c r="D459" s="31" t="str">
        <x:v>review</x:v>
      </x:c>
      <x:c r="E459" s="31" t="str">
        <x:v>r0149_smpc</x:v>
      </x:c>
      <x:c r="F459" s="31" t="str">
        <x:v>SMPC</x:v>
      </x:c>
      <x:c r="G459" s="31" t="n">
        <x:v>13</x:v>
      </x:c>
      <x:c r="H459" s="31" t="str">
        <x:v>erythromycin</x:v>
      </x:c>
      <x:c r="I459" s="37" t="str">
        <x:v>1 Ref: Fluoxetine, MHRA, 21/06/2023 13 fluoxetine and these medicinal products cannot be excluded. Therefore, co-administration of fluoxetine with medicinal products that prolong the QT interval, such as Class IA and III antiarrhythmics, antipsychotics (e.g. phenothiazine derivatives, pimozide, haloperidol), tricyclic antidepressants, certain antimicrobial agents (e.g.sparfloxacin, moxifloxacin, erythromycin IV, pentamidine), anti -malaria treatment particularly halofantrine, certain antihistamines (astemizole, mizolastine), should be used with caution (see section 4.4, 4.8 and 4.9) Drugs affecting haemostasis (oral anticoagulants, whatever their mechanism, platelets antiaggregants including aspirin and NSAIDs): risk of increased bleeding. Clinical monitoring, and more frequent monitoring of INR with oral anticoagulants, should be mad e. A dos</x:v>
      </x:c>
      <x:c r="J459" s="37" t="str">
        <x:v>https://drug.fda.moph.go.th/media.php?id=810173242932338688&amp;name=SMPC_Fluoxetine_Capsules.pdf</x:v>
      </x:c>
    </x:row>
    <x:row r="460">
      <x:c r="A460" s="31" t="str">
        <x:v>erythromycin</x:v>
      </x:c>
      <x:c r="B460" s="31" t="str">
        <x:v>glucose_monohydrate_and</x:v>
      </x:c>
      <x:c r="C460" s="31" t="str">
        <x:v>unclassified</x:v>
      </x:c>
      <x:c r="D460" s="31" t="str">
        <x:v>review</x:v>
      </x:c>
      <x:c r="E460" s="31" t="str">
        <x:v>r0165_smpc</x:v>
      </x:c>
      <x:c r="F460" s="31" t="str">
        <x:v>SMPC</x:v>
      </x:c>
      <x:c r="G460" s="31" t="n">
        <x:v>10</x:v>
      </x:c>
      <x:c r="H460" s="31" t="str">
        <x:v>erythromycin</x:v>
      </x:c>
      <x:c r="I460" s="37" t="str">
        <x:v>mpatibility studies, this medicinal product must not be mixed with other medicinal products. Reference should be made to the Summary of Product Characteristics for the additive medicine. Those additives known to be incompatible should not be used. As a guidance, the following medications are incompatible with the Sodium Chloride 0.9 % &amp; Glucose 5% (non-exhaustive listing): • amiodarone • amphotericin B • ampicillin sodium • amsacrine • erythromycin lactobionate (unless the Sodium Chloride 0.9 % and Glucose 5% is buffered) • sodium nitroprusside Because of the presence of glucose, Sodium chloride 0.9% and Glucose 5% should not be administered through the same infusion equipment as whole blood as haemolysis and clumping can occur. Because of the nature of the plastic material of the Steriflex bag (PVC) this solution should not be used as a vehicle for the administration of drugs whic</x:v>
      </x:c>
      <x:c r="J460" s="37" t="str">
        <x:v>https://drug.fda.moph.go.th/media.php?id=810179446651887616&amp;name=SMPC_Glucose monohydrate+Sodium chloride_Intravenous Fluid.pdf</x:v>
      </x:c>
    </x:row>
    <x:row r="461">
      <x:c r="A461" s="31" t="str">
        <x:v>erythromycin</x:v>
      </x:c>
      <x:c r="B461" s="31" t="str">
        <x:v>haloperidol</x:v>
      </x:c>
      <x:c r="C461" s="31" t="str">
        <x:v>unclassified</x:v>
      </x:c>
      <x:c r="D461" s="31" t="str">
        <x:v>review</x:v>
      </x:c>
      <x:c r="E461" s="31" t="str">
        <x:v>r0172_smpc</x:v>
      </x:c>
      <x:c r="F461" s="31" t="str">
        <x:v>SMPC</x:v>
      </x:c>
      <x:c r="G461" s="31" t="n">
        <x:v>13</x:v>
      </x:c>
      <x:c r="H461" s="31" t="str">
        <x:v>erythromycin</x:v>
      </x:c>
      <x:c r="I461" s="37" t="str">
        <x:v>ults. Cardiovascular effects &lt;GENERIC NAME&gt; is contraindicated in combination with medicinal products known to prolong the QTc interval (see section 4.3). Examples include: • Class IA antiarrhythmics (e.g. disopyramide, quinidine). • Class III antiarrhythmics (e.g. amiodarone, dofetilide, dronedarone, ibutilide, sotalol). • Certain antidepressants (e.g. citalopram, escitalopram). • Certain antibiotics (e.g. azithromycin, clarithromycin, erythromycin, levofloxacin, moxifloxacin, telithromycin). • Other antipsychotics (e.g. phenothiazine derivatives, sertindole, pimozide, ziprasidone) • Certain antifungals (e.g. pentamidine). • Certain antimalarials (e.g. halofantrine). • Certain gastrointestinal medicinal products (e.g. dolasetron). • Certain medicinal products used in cancer (e.g. toremifene, vandetanib). • Certain other medicinal products (e.g. bepridil, methadone). This list is</x:v>
      </x:c>
      <x:c r="J461" s="37" t="str">
        <x:v>https://drug.fda.moph.go.th/media.php?id=808571302360260608&amp;name=SmPC - Haloperidol ORAL SOLUTION.pdf</x:v>
      </x:c>
    </x:row>
    <x:row r="462">
      <x:c r="A462" s="31" t="str">
        <x:v>erythromycin</x:v>
      </x:c>
      <x:c r="B462" s="31" t="str">
        <x:v>itraconazole</x:v>
      </x:c>
      <x:c r="C462" s="31" t="str">
        <x:v>unclassified</x:v>
      </x:c>
      <x:c r="D462" s="31" t="str">
        <x:v>review</x:v>
      </x:c>
      <x:c r="E462" s="31" t="str">
        <x:v>r0126_smpc</x:v>
      </x:c>
      <x:c r="F462" s="31" t="str">
        <x:v>SMPC</x:v>
      </x:c>
      <x:c r="G462" s="31" t="n">
        <x:v>8</x:v>
      </x:c>
      <x:c r="H462" s="31" t="str">
        <x:v>itraconazole</x:v>
      </x:c>
      <x:c r="I462" s="37" t="str">
        <x:v>y occur when administered concurrently with erythromycin: acenocoumarol, alfentanil, astemizole, bromocriptine, carbamazepine, cilostazol, cyclosporin, dig oxin, dihydroergotamine, disopyramide, ergotamine, hexobarbitone, methylprednisolone, midazolam, omeprazole, phenytoin, quinidine, rifabutin, sildenafil, tacrolimus, terfenadine, domperidone, theophylline, triazolam, valproate, vinblastine, antifungals e.g fluconazole, ketoconazole and itraconazole and warfarin. Appropriate monitoring should be undertaken and dosage should be adjusted as necessary. Particular care should be taken with medications known to prolong the QTc interval of the electrocardiogram. Erythromycin has also been reported to potentiate the effects of corticosteroids. Drugs that induce CYP3A4 (such as rifampicin, phenytoin, carbamazepine, phenobarbital, St John's Wort) may induce the metabolism of erythromycin. Th</x:v>
      </x:c>
      <x:c r="J462" s="37" t="str">
        <x:v>https://drug.fda.moph.go.th/media.php?id=810076416409477120&amp;name=SMPC_Erythromycin_Gastro-resistant tablets.pdf</x:v>
      </x:c>
    </x:row>
    <x:row r="463">
      <x:c r="A463" s="31" t="str">
        <x:v>erythromycin</x:v>
      </x:c>
      <x:c r="B463" s="31" t="str">
        <x:v>itraconazole</x:v>
      </x:c>
      <x:c r="C463" s="31" t="str">
        <x:v>unclassified</x:v>
      </x:c>
      <x:c r="D463" s="31" t="str">
        <x:v>review</x:v>
      </x:c>
      <x:c r="E463" s="31" t="str">
        <x:v>r0127_smpc</x:v>
      </x:c>
      <x:c r="F463" s="31" t="str">
        <x:v>SMPC</x:v>
      </x:c>
      <x:c r="G463" s="31" t="n">
        <x:v>7</x:v>
      </x:c>
      <x:c r="H463" s="31" t="str">
        <x:v>itraconazole</x:v>
      </x:c>
      <x:c r="I463" s="37" t="str">
        <x:v>: when administered concurrently with erythromycin: acenocoumarol, alfentanil, astemizole, bromocriptine, carbamazepine, cilostazol, cyclosporin, digoxin, dihydroergotamine, disopyramide, ergotamine, hexobarbitone, methylprednisolone, midazolam, omeprazole, phenytoin, quinidine, rifabutin , sildenafil, tacrolimus, terfenadine, domperidone, theophylline, triazolam, valproate, vinblastine, and antifung als e.g fluconazole, ketoconazole and itraconazole. Appropriate monitoring should be undertaken and dosage should be adjusted as necessary. Particular care should be taken with m e d i c a t i o n s k n o w n t o p r o l o n g t h e Q Tc i n t e r v a l o f t h e electrocardiogram. Drugs that induce CYP3A4 (such as rifampicin, phenytoin, carbamazepine, phenobarbital, St John’s Wort) may induce the metabolism of erythromycin. This may lead to subtherapeutic levels</x:v>
      </x:c>
      <x:c r="J463" s="37" t="str">
        <x:v>https://drug.fda.moph.go.th/media.php?id=810076760694726656&amp;name=SMPC_Erythromycin_film-coated tablets.pdf</x:v>
      </x:c>
    </x:row>
    <x:row r="464">
      <x:c r="A464" s="31" t="str">
        <x:v>erythromycin</x:v>
      </x:c>
      <x:c r="B464" s="31" t="str">
        <x:v>itraconazole</x:v>
      </x:c>
      <x:c r="C464" s="31" t="str">
        <x:v>unclassified</x:v>
      </x:c>
      <x:c r="D464" s="31" t="str">
        <x:v>review</x:v>
      </x:c>
      <x:c r="E464" s="31" t="str">
        <x:v>r0201_smpc</x:v>
      </x:c>
      <x:c r="F464" s="31" t="str">
        <x:v>SMPC</x:v>
      </x:c>
      <x:c r="G464" s="31" t="n">
        <x:v>11</x:v>
      </x:c>
      <x:c r="H464" s="31" t="str">
        <x:v>erythromycin</x:v>
      </x:c>
      <x:c r="I464" s="37" t="str">
        <x:v>itraconazole, unless the benefits outweigh the risk of potentially reduced itraconazole efficacy. Upon coadministration, it is recommended that the antifungal activity be monitored and the itraconazole dose increased as deemed necessary. Drugs that may increase itraconazole plasma concentrations Potent inhibitors of CYP3A4 may increase the bioavailability of itraconazole. Examples include: - Antibacterials: ciprofloxacin, clarithromycin, erythromycin, - Antivirals: ritonavir -boosted darunavir, ritonavir -boosted fosamprenavir, indinavir (see also under Drugs that may have their plasma concentrations increased by itraconazole), ritonavir (see also under Drugs that may have their plasma concentrations increased by itraconazole). It is recommended that these drugs be used with caution when coadministered with itraconazole capsules. It is recommended that patients who must take itracona</x:v>
      </x:c>
      <x:c r="J464" s="37" t="str">
        <x:v>https://drug.fda.moph.go.th/media.php?id=810398699489468416&amp;name=SMPC_Itraconazole_Hard capsules.pdf</x:v>
      </x:c>
    </x:row>
    <x:row r="465">
      <x:c r="A465" s="31" t="str">
        <x:v>erythromycin</x:v>
      </x:c>
      <x:c r="B465" s="31" t="str">
        <x:v>ketoconazole</x:v>
      </x:c>
      <x:c r="C465" s="31" t="str">
        <x:v>unclassified</x:v>
      </x:c>
      <x:c r="D465" s="31" t="str">
        <x:v>review</x:v>
      </x:c>
      <x:c r="E465" s="31" t="str">
        <x:v>r0126_smpc</x:v>
      </x:c>
      <x:c r="F465" s="31" t="str">
        <x:v>SMPC</x:v>
      </x:c>
      <x:c r="G465" s="31" t="n">
        <x:v>8</x:v>
      </x:c>
      <x:c r="H465" s="31" t="str">
        <x:v>ketoconazole</x:v>
      </x:c>
      <x:c r="I465" s="37" t="str">
        <x:v>me P450 system may occur when administered concurrently with erythromycin: acenocoumarol, alfentanil, astemizole, bromocriptine, carbamazepine, cilostazol, cyclosporin, dig oxin, dihydroergotamine, disopyramide, ergotamine, hexobarbitone, methylprednisolone, midazolam, omeprazole, phenytoin, quinidine, rifabutin, sildenafil, tacrolimus, terfenadine, domperidone, theophylline, triazolam, valproate, vinblastine, antifungals e.g fluconazole, ketoconazole and itraconazole and warfarin. Appropriate monitoring should be undertaken and dosage should be adjusted as necessary. Particular care should be taken with medications known to prolong the QTc interval of the electrocardiogram. Erythromycin has also been reported to potentiate the effects of corticosteroids. Drugs that induce CYP3A4 (such as rifampicin, phenytoin, carbamazepine, phenobarbital, St John's Wort) may induce the metabolism of</x:v>
      </x:c>
      <x:c r="J465" s="37" t="str">
        <x:v>https://drug.fda.moph.go.th/media.php?id=810076416409477120&amp;name=SMPC_Erythromycin_Gastro-resistant tablets.pdf</x:v>
      </x:c>
    </x:row>
    <x:row r="466">
      <x:c r="A466" s="31" t="str">
        <x:v>erythromycin</x:v>
      </x:c>
      <x:c r="B466" s="31" t="str">
        <x:v>ketoconazole</x:v>
      </x:c>
      <x:c r="C466" s="31" t="str">
        <x:v>unclassified</x:v>
      </x:c>
      <x:c r="D466" s="31" t="str">
        <x:v>review</x:v>
      </x:c>
      <x:c r="E466" s="31" t="str">
        <x:v>r0127_smpc</x:v>
      </x:c>
      <x:c r="F466" s="31" t="str">
        <x:v>SMPC</x:v>
      </x:c>
      <x:c r="G466" s="31" t="n">
        <x:v>7</x:v>
      </x:c>
      <x:c r="H466" s="31" t="str">
        <x:v>ketoconazole</x:v>
      </x:c>
      <x:c r="I466" s="37" t="str">
        <x:v>system may occur : when administered concurrently with erythromycin: acenocoumarol, alfentanil, astemizole, bromocriptine, carbamazepine, cilostazol, cyclosporin, digoxin, dihydroergotamine, disopyramide, ergotamine, hexobarbitone, methylprednisolone, midazolam, omeprazole, phenytoin, quinidine, rifabutin , sildenafil, tacrolimus, terfenadine, domperidone, theophylline, triazolam, valproate, vinblastine, and antifung als e.g fluconazole, ketoconazole and itraconazole. Appropriate monitoring should be undertaken and dosage should be adjusted as necessary. Particular care should be taken with m e d i c a t i o n s k n o w n t o p r o l o n g t h e Q Tc i n t e r v a l o f t h e electrocardiogram. Drugs that induce CYP3A4 (such as rifampicin, phenytoin, carbamazepine, phenobarbital, St John’s Wort) may induce the metabolism of erythromycin. This may lead to subtherapeutic levels</x:v>
      </x:c>
      <x:c r="J466" s="37" t="str">
        <x:v>https://drug.fda.moph.go.th/media.php?id=810076760694726656&amp;name=SMPC_Erythromycin_film-coated tablets.pdf</x:v>
      </x:c>
    </x:row>
    <x:row r="467">
      <x:c r="A467" s="31" t="str">
        <x:v>erythromycin</x:v>
      </x:c>
      <x:c r="B467" s="31" t="str">
        <x:v>lidocaine</x:v>
      </x:c>
      <x:c r="C467" s="31" t="str">
        <x:v>unclassified</x:v>
      </x:c>
      <x:c r="D467" s="31" t="str">
        <x:v>review</x:v>
      </x:c>
      <x:c r="E467" s="31" t="str">
        <x:v>r0211_smpc</x:v>
      </x:c>
      <x:c r="F467" s="31" t="str">
        <x:v>SMPC</x:v>
      </x:c>
      <x:c r="G467" s="31" t="n">
        <x:v>7</x:v>
      </x:c>
      <x:c r="H467" s="31" t="str">
        <x:v>erythromycin</x:v>
      </x:c>
      <x:c r="I467" s="37" t="str">
        <x:v>ly related to bupivacaine. Concomitant use of quinupristin/dalfopristin should be avoided. Hypokalaemia produced by acetazolamide, loop diuretics and thiazides may antagonize the effect of lidocaine if administered concomitantly (see section 4.4). Inhibition of CYP1A2 by fluvoxamine considerably reduces elimination of lidocaine and increases the risk of lidocaine toxicity. Concomitant use of both fluvoxamine and a CYP3A4 inhibitor such as erythromycin can further increase lidocaine concentrations. Because lidocaine possesses a narrow therapeutic window, doses of lidocaine may need to be adjusted accordingly. Conversely, reduced serum lidocaine concentrations may result from drugs that may stimulate the hepatic metabolism of lidocaine (e.g. phenytoin, oral HRT). Narcotics are probably proconvulsants and this would support the evidence that lidocaine reduces the seizure threshold to fent</x:v>
      </x:c>
      <x:c r="J467" s="37" t="str">
        <x:v>https://drug.fda.moph.go.th/media.php?id=810403816229969920&amp;name=SMPC_Lidocaine Hydrochloride_solutions for injections or infusions.pdf</x:v>
      </x:c>
    </x:row>
    <x:row r="468">
      <x:c r="A468" s="31" t="str">
        <x:v>erythromycin</x:v>
      </x:c>
      <x:c r="B468" s="31" t="str">
        <x:v>lincomycin</x:v>
      </x:c>
      <x:c r="C468" s="31" t="str">
        <x:v>unclassified</x:v>
      </x:c>
      <x:c r="D468" s="31" t="str">
        <x:v>review</x:v>
      </x:c>
      <x:c r="E468" s="31" t="str">
        <x:v>r0126_smpc</x:v>
      </x:c>
      <x:c r="F468" s="31" t="str">
        <x:v>SMPC</x:v>
      </x:c>
      <x:c r="G468" s="31" t="n">
        <x:v>10</x:v>
      </x:c>
      <x:c r="H468" s="31" t="str">
        <x:v>lincomycin</x:v>
      </x:c>
      <x:c r="I468" s="37" t="str">
        <x:v>le is likely to result in an enhanced risk of cardio toxicity with these drugs. The concomitant use of erythromycin with either simvastatin, tolterodine, mizolastine, amisulpride, astemizole or terfenadine is therefore contraindicated. Anti -bacterial agents: an in vitro antagonism exists between erythromycin and the bactericidal beta -lactam antibiotics (e.g. penicillin, cephalosporin). Erythromycin antagonises the action of clindamycin, lincomycin and chloramphenicol. The same applies for streptomycin, tetracyclines and colistin. Protease inhibitors: in concomitant administration of erythromycin and protease inhibitors, an inhibition of the decomposition of erythromycin has been observed Oral anticoagulants: there have been reports of increased anticoagulant effects when erythromycin and oral anticoagulants (e.g. warfarin, rivaroxaban) are used concomitantly. Triazolobenzodiazepin</x:v>
      </x:c>
      <x:c r="J468" s="37" t="str">
        <x:v>https://drug.fda.moph.go.th/media.php?id=810076416409477120&amp;name=SMPC_Erythromycin_Gastro-resistant tablets.pdf</x:v>
      </x:c>
    </x:row>
    <x:row r="469">
      <x:c r="A469" s="31" t="str">
        <x:v>erythromycin</x:v>
      </x:c>
      <x:c r="B469" s="31" t="str">
        <x:v>lincomycin</x:v>
      </x:c>
      <x:c r="C469" s="31" t="str">
        <x:v>unclassified</x:v>
      </x:c>
      <x:c r="D469" s="31" t="str">
        <x:v>review</x:v>
      </x:c>
      <x:c r="E469" s="31" t="str">
        <x:v>r0127_smpc</x:v>
      </x:c>
      <x:c r="F469" s="31" t="str">
        <x:v>SMPC</x:v>
      </x:c>
      <x:c r="G469" s="31" t="n">
        <x:v>9</x:v>
      </x:c>
      <x:c r="H469" s="31" t="str">
        <x:v>lincomycin</x:v>
      </x:c>
      <x:c r="I469" s="37" t="str">
        <x:v>arrest, torsade de pointes and other ventricular arrhythmias have been observed (see sections 4.3 and 4.8). Anti -bacterial agents: an in vitro antagonism exists between erythromycin and the bactericidal beta -lactam antibiotics (e.g. penicillin, cephalosporin). Erythromycin antagonises the action of clindamycin, lincomycin and chloramphenicol. The same applies fo r streptomycin, tetracyclines and colistin. Protease inhibitors: in concomitant administration of erythromycin and protease inhibitors, an inhibition of the decomposition of erythromycin has been observed. Oral anticoagulants: there have been reports of increased anticoagulant effects when erythromycin and oral anticoagulants (e.g. warfarin, rivaroxaban) are used concomitantly. Triazolobenzodiazep</x:v>
      </x:c>
      <x:c r="J469" s="37" t="str">
        <x:v>https://drug.fda.moph.go.th/media.php?id=810076760694726656&amp;name=SMPC_Erythromycin_film-coated tablets.pdf</x:v>
      </x:c>
    </x:row>
    <x:row r="470">
      <x:c r="A470" s="31" t="str">
        <x:v>erythromycin</x:v>
      </x:c>
      <x:c r="B470" s="31" t="str">
        <x:v>methylprednisolone</x:v>
      </x:c>
      <x:c r="C470" s="31" t="str">
        <x:v>unclassified</x:v>
      </x:c>
      <x:c r="D470" s="31" t="str">
        <x:v>review</x:v>
      </x:c>
      <x:c r="E470" s="31" t="str">
        <x:v>r0126_smpc</x:v>
      </x:c>
      <x:c r="F470" s="31" t="str">
        <x:v>SMPC</x:v>
      </x:c>
      <x:c r="G470" s="31" t="n">
        <x:v>8</x:v>
      </x:c>
      <x:c r="H470" s="31" t="str">
        <x:v>methylprednisolone</x:v>
      </x:c>
      <x:c r="I470" s="37" t="str">
        <x:v>hich is to say essentially ‘sodium free’ 4.5. Interaction with other medicinal products and other forms of interaction Increases in serum concentrations of the following drugs metabolised by the cytochrome P450 system may occur when administered concurrently with erythromycin: acenocoumarol, alfentanil, astemizole, bromocriptine, carbamazepine, cilostazol, cyclosporin, dig oxin, dihydroergotamine, disopyramide, ergotamine, hexobarbitone, methylprednisolone, midazolam, omeprazole, phenytoin, quinidine, rifabutin, sildenafil, tacrolimus, terfenadine, domperidone, theophylline, triazolam, valproate, vinblastine, antifungals e.g fluconazole, ketoconazole and itraconazole and warfarin. Appropriate monitoring should be undertaken and dosage should be adjusted as necessary. Particular care should be taken with medications known to prolong the QTc interval of the electrocardiogram. Erythromycin </x:v>
      </x:c>
      <x:c r="J470" s="37" t="str">
        <x:v>https://drug.fda.moph.go.th/media.php?id=810076416409477120&amp;name=SMPC_Erythromycin_Gastro-resistant tablets.pdf</x:v>
      </x:c>
    </x:row>
    <x:row r="471">
      <x:c r="A471" s="31" t="str">
        <x:v>erythromycin</x:v>
      </x:c>
      <x:c r="B471" s="31" t="str">
        <x:v>methylprednisolone</x:v>
      </x:c>
      <x:c r="C471" s="31" t="str">
        <x:v>unclassified</x:v>
      </x:c>
      <x:c r="D471" s="31" t="str">
        <x:v>review</x:v>
      </x:c>
      <x:c r="E471" s="31" t="str">
        <x:v>r0127_smpc</x:v>
      </x:c>
      <x:c r="F471" s="31" t="str">
        <x:v>SMPC</x:v>
      </x:c>
      <x:c r="G471" s="31" t="n">
        <x:v>7</x:v>
      </x:c>
      <x:c r="H471" s="31" t="str">
        <x:v>methylprednisolone</x:v>
      </x:c>
      <x:c r="I471" s="37" t="str">
        <x:v>g or irritability with feeding occurs. 4.5. Interaction with other medicinal products and other forms of interaction Increases in serum concentrations of the following drugs metabolised by the cytochrome P450 system may occur : when administered concurrently with erythromycin: acenocoumarol, alfentanil, astemizole, bromocriptine, carbamazepine, cilostazol, cyclosporin, digoxin, dihydroergotamine, disopyramide, ergotamine, hexobarbitone, methylprednisolone, midazolam, omeprazole, phenytoin, quinidine, rifabutin , sildenafil, tacrolimus, terfenadine, domperidone, theophylline, triazolam, valproate, vinblastine, and antifung als e.g fluconazole, ketoconazole and itraconazole. Appropriate monitoring should be undertaken and dosage should be adjusted as necessary. Particular care should be taken with m e d i c a t i o n s k n o w n t o p r o l o n g t h e Q Tc i n t e r v a l o f t h e electr</x:v>
      </x:c>
      <x:c r="J471" s="37" t="str">
        <x:v>https://drug.fda.moph.go.th/media.php?id=810076760694726656&amp;name=SMPC_Erythromycin_film-coated tablets.pdf</x:v>
      </x:c>
    </x:row>
    <x:row r="472">
      <x:c r="A472" s="31" t="str">
        <x:v>erythromycin</x:v>
      </x:c>
      <x:c r="B472" s="31" t="str">
        <x:v>methylprednisolone</x:v>
      </x:c>
      <x:c r="C472" s="31" t="str">
        <x:v>unclassified</x:v>
      </x:c>
      <x:c r="D472" s="31" t="str">
        <x:v>review</x:v>
      </x:c>
      <x:c r="E472" s="31" t="str">
        <x:v>r0233_smpc</x:v>
      </x:c>
      <x:c r="F472" s="31" t="str">
        <x:v>SMPC</x:v>
      </x:c>
      <x:c r="G472" s="31" t="n">
        <x:v>18</x:v>
      </x:c>
      <x:c r="H472" s="31" t="str">
        <x:v>erythromycin</x:v>
      </x:c>
      <x:c r="I472" s="37" t="str">
        <x:v>-administration may require an increase in methylprednisolone dosage to achieve the desired result. Antiemetic - APREPITANT - FOSAPREPITANT Antifungal - ITRACONAZOLE - KETOCONAZOLE Antivirals - HIV-PROTEASE INHIBITORS Pharmacokinetic enhancers - COBICISTAT Calcium Channel Blocker - DILTIAZEM Contraceptives (oral) - ETHINYLESTRADIOL/ NORETHISTERONE Immunosuppressant - CICLOSPORIN Macrolide Antibacterial - CLARITHROMYCIN - ERYTHROMYCIN CYP3A4 INHIBITORS (and SUBSTRATES) CYP3A4 INHIBITORS (and SUBSTRATES) The hepatic clearance of methylprednisolone may be inhibited or induced, resulting in an increase or decrease in the plasma concentration of methylprednisolone. A corresponding dosage adjustment may be required. It is possible that adverse events associated with the use of either drug alone may be more likely to occur with administration 1) Protease inhib</x:v>
      </x:c>
      <x:c r="J472" s="37" t="str">
        <x:v>https://drug.fda.moph.go.th/media.php?id=810412748335882240&amp;name=SMPC_Methylprednisolone_Powders for solutions for injections or infusions.pdf</x:v>
      </x:c>
    </x:row>
    <x:row r="473">
      <x:c r="A473" s="31" t="str">
        <x:v>erythromycin</x:v>
      </x:c>
      <x:c r="B473" s="31" t="str">
        <x:v>nimodipine</x:v>
      </x:c>
      <x:c r="C473" s="31" t="str">
        <x:v>unclassified</x:v>
      </x:c>
      <x:c r="D473" s="31" t="str">
        <x:v>review</x:v>
      </x:c>
      <x:c r="E473" s="31" t="str">
        <x:v>r0255_smpc</x:v>
      </x:c>
      <x:c r="F473" s="31" t="str">
        <x:v>SMPC</x:v>
      </x:c>
      <x:c r="G473" s="31" t="n">
        <x:v>4</x:v>
      </x:c>
      <x:c r="H473" s="31" t="str">
        <x:v>erythromycin</x:v>
      </x:c>
      <x:c r="I473" s="37" t="str">
        <x:v>EGARDING THE APPROVAL&gt; Patients with known renal disease and/or receiving nephrotoxic drugs should have renal function monitored closely during intravenous treatment with Nimotop solution (see section 4.5). Nimodipine is metabolised via the cytochrome P450 3A4 system. Drugs which are known inhibitors of the cytochrome P450 3A4 system and, therefore, may lead to increased plasma concentrations of nimodipine are macrolide antibiotics (e.g. erythromycin), anti -HIV protease inhibitors (e.g. ritonavir), azole antimycotics (e.g. ketoconazole), the antidepressants nefazodone and fluoxetine, quinupristin/dalfopristin, cimetidine and valproic acid (see section 4.5). Upon co-administration with these drugs, the blood pressure should be monitored and, if necessary, a reduction in the nimodipine dose should be considered. Nimodipine solution contains ethanol &lt;REGARDING THE APPROVAL&gt; This medic</x:v>
      </x:c>
      <x:c r="J473" s="37" t="str">
        <x:v>https://drug.fda.moph.go.th/media.php?id=810423093272125440&amp;name=SMPC_Nimodipine_Solution for Infusion.pdf</x:v>
      </x:c>
    </x:row>
    <x:row r="474">
      <x:c r="A474" s="31" t="str">
        <x:v>erythromycin</x:v>
      </x:c>
      <x:c r="B474" s="31" t="str">
        <x:v>nimodipine</x:v>
      </x:c>
      <x:c r="C474" s="31" t="str">
        <x:v>unclassified</x:v>
      </x:c>
      <x:c r="D474" s="31" t="str">
        <x:v>review</x:v>
      </x:c>
      <x:c r="E474" s="31" t="str">
        <x:v>r0255_smpc</x:v>
      </x:c>
      <x:c r="F474" s="31" t="str">
        <x:v>SMPC</x:v>
      </x:c>
      <x:c r="G474" s="31" t="n">
        <x:v>6</x:v>
      </x:c>
      <x:c r="H474" s="31" t="str">
        <x:v>erythromycin</x:v>
      </x:c>
      <x:c r="I474" s="37" t="str">
        <x:v>1 Ref:Nimotop 0.02% Solution for Infusion, MHRA, 30/07/2020 6 - macrolide antibiotics (e.g. erythromycin) - anti-HIV protease inhibitors (e.g. ritonavir) - azole anti-mycotics (e.g. ketoconazole) - nefazodone. Effects of nimodipine on other drugs Blood pressure lowering drugs Nimodipine may increase the blood pressure lowering effect of concomitant antihypertensives, such as: - diuretics, - beta-blockers, - ACE inhibitors, - A1-antagonists, - other calcium antagonists, - alpha-adrenergic blocking agents, - PDE5 inhibitors - alpha-meth</x:v>
      </x:c>
      <x:c r="J474" s="37" t="str">
        <x:v>https://drug.fda.moph.go.th/media.php?id=810423093272125440&amp;name=SMPC_Nimodipine_Solution for Infusion.pdf</x:v>
      </x:c>
    </x:row>
    <x:row r="475">
      <x:c r="A475" s="31" t="str">
        <x:v>erythromycin</x:v>
      </x:c>
      <x:c r="B475" s="31" t="str">
        <x:v>omeprazole</x:v>
      </x:c>
      <x:c r="C475" s="31" t="str">
        <x:v>unclassified</x:v>
      </x:c>
      <x:c r="D475" s="31" t="str">
        <x:v>review</x:v>
      </x:c>
      <x:c r="E475" s="31" t="str">
        <x:v>r0126_smpc</x:v>
      </x:c>
      <x:c r="F475" s="31" t="str">
        <x:v>SMPC</x:v>
      </x:c>
      <x:c r="G475" s="31" t="n">
        <x:v>8</x:v>
      </x:c>
      <x:c r="H475" s="31" t="str">
        <x:v>omeprazole</x:v>
      </x:c>
      <x:c r="I475" s="37" t="str">
        <x:v>ium free’ 4.5. Interaction with other medicinal products and other forms of interaction Increases in serum concentrations of the following drugs metabolised by the cytochrome P450 system may occur when administered concurrently with erythromycin: acenocoumarol, alfentanil, astemizole, bromocriptine, carbamazepine, cilostazol, cyclosporin, dig oxin, dihydroergotamine, disopyramide, ergotamine, hexobarbitone, methylprednisolone, midazolam, omeprazole, phenytoin, quinidine, rifabutin, sildenafil, tacrolimus, terfenadine, domperidone, theophylline, triazolam, valproate, vinblastine, antifungals e.g fluconazole, ketoconazole and itraconazole and warfarin. Appropriate monitoring should be undertaken and dosage should be adjusted as necessary. Particular care should be taken with medications known to prolong the QTc interval of the electrocardiogram. Erythromycin has also been reported to</x:v>
      </x:c>
      <x:c r="J475" s="37" t="str">
        <x:v>https://drug.fda.moph.go.th/media.php?id=810076416409477120&amp;name=SMPC_Erythromycin_Gastro-resistant tablets.pdf</x:v>
      </x:c>
    </x:row>
    <x:row r="476">
      <x:c r="A476" s="31" t="str">
        <x:v>erythromycin</x:v>
      </x:c>
      <x:c r="B476" s="31" t="str">
        <x:v>omeprazole</x:v>
      </x:c>
      <x:c r="C476" s="31" t="str">
        <x:v>unclassified</x:v>
      </x:c>
      <x:c r="D476" s="31" t="str">
        <x:v>review</x:v>
      </x:c>
      <x:c r="E476" s="31" t="str">
        <x:v>r0127_smpc</x:v>
      </x:c>
      <x:c r="F476" s="31" t="str">
        <x:v>SMPC</x:v>
      </x:c>
      <x:c r="G476" s="31" t="n">
        <x:v>7</x:v>
      </x:c>
      <x:c r="H476" s="31" t="str">
        <x:v>omeprazole</x:v>
      </x:c>
      <x:c r="I476" s="37" t="str">
        <x:v>occurs. 4.5. Interaction with other medicinal products and other forms of interaction Increases in serum concentrations of the following drugs metabolised by the cytochrome P450 system may occur : when administered concurrently with erythromycin: acenocoumarol, alfentanil, astemizole, bromocriptine, carbamazepine, cilostazol, cyclosporin, digoxin, dihydroergotamine, disopyramide, ergotamine, hexobarbitone, methylprednisolone, midazolam, omeprazole, phenytoin, quinidine, rifabutin , sildenafil, tacrolimus, terfenadine, domperidone, theophylline, triazolam, valproate, vinblastine, and antifung als e.g fluconazole, ketoconazole and itraconazole. Appropriate monitoring should be undertaken and dosage should be adjusted as necessary. Particular care should be taken with m e d i c a t i o n s k n o w n t o p r o l o n g t h e Q Tc i n t e r v a l o f t h e electrocardiogram. Drugs that</x:v>
      </x:c>
      <x:c r="J476" s="37" t="str">
        <x:v>https://drug.fda.moph.go.th/media.php?id=810076760694726656&amp;name=SMPC_Erythromycin_film-coated tablets.pdf</x:v>
      </x:c>
    </x:row>
    <x:row r="477">
      <x:c r="A477" s="31" t="str">
        <x:v>erythromycin</x:v>
      </x:c>
      <x:c r="B477" s="31" t="str">
        <x:v>phenoxymethylpenicillin_penicillin_v</x:v>
      </x:c>
      <x:c r="C477" s="31" t="str">
        <x:v>unclassified</x:v>
      </x:c>
      <x:c r="D477" s="31" t="str">
        <x:v>review</x:v>
      </x:c>
      <x:c r="E477" s="31" t="str">
        <x:v>r0277_smpc</x:v>
      </x:c>
      <x:c r="F477" s="31" t="str">
        <x:v>SMPC</x:v>
      </x:c>
      <x:c r="G477" s="31" t="n">
        <x:v>4</x:v>
      </x:c>
      <x:c r="H477" s="31" t="str">
        <x:v>erythromycin</x:v>
      </x:c>
      <x:c r="I477" s="37" t="str">
        <x:v>If super infection occurs, appropriate measures should be taken. Excipient information &lt;REGARDING THE APPROVAL&gt; 4.5. Interaction with other medicinal products and other forms of interaction Aminoglycosides: Neomycin is reported to reduce the absorption of phenoxymethylpenicillin. Anticoagulants: Penicillins may interfere with anticoagulant control. Bacteriostatic antibiotics : Certain bacteriostatic antibiotics such as Chloramphenicol, Erythromycin and Tetracyclines have been reported to antagonise the bactericidal activity of penicillins and concomitant use is not recommended.</x:v>
      </x:c>
      <x:c r="J477" s="37" t="str">
        <x:v>https://drug.fda.moph.go.th/media.php?id=810432142491394048&amp;name=SMPC_Phenoxymethylpenicillin potassium_Dry syrup.pdf</x:v>
      </x:c>
    </x:row>
    <x:row r="478">
      <x:c r="A478" s="31" t="str">
        <x:v>erythromycin</x:v>
      </x:c>
      <x:c r="B478" s="31" t="str">
        <x:v>pimozide</x:v>
      </x:c>
      <x:c r="C478" s="31" t="str">
        <x:v>unclassified</x:v>
      </x:c>
      <x:c r="D478" s="31" t="str">
        <x:v>review</x:v>
      </x:c>
      <x:c r="E478" s="31" t="str">
        <x:v>r0126_smpc</x:v>
      </x:c>
      <x:c r="F478" s="31" t="str">
        <x:v>SMPC</x:v>
      </x:c>
      <x:c r="G478" s="31" t="n">
        <x:v>9</x:v>
      </x:c>
      <x:c r="H478" s="31" t="str">
        <x:v>pimozide</x:v>
      </x:c>
      <x:c r="I478" s="37" t="str">
        <x:v>h the bacterial hydrolysis of steroid conjugates in the intestine and thereby reabsorption of unconjugated steroid. As a result of this plasma levels of active steroid may decrease. Antihistamine H1 antagonists: care s h o u l d be t a k e n in t h e coadministration of erythromycin with H1 antagonists such as terfenadine, astemizole and mizolastine due to the alteration of their metabolism by erythromycin. The metabolism of terfenadine, pimozide and astemizole is significantly altered when either are taken concomitantly with erythromycin. Rare cases of serious potentially fatal cardio - vascular events have been observed, including torsades de pointes, other v entricular arrhythmias and cardiac arrest. Death has been reported with the terfenadine/erythromycin combination (see sections 4.3 and 4.8).</x:v>
      </x:c>
      <x:c r="J478" s="37" t="str">
        <x:v>https://drug.fda.moph.go.th/media.php?id=810076416409477120&amp;name=SMPC_Erythromycin_Gastro-resistant tablets.pdf</x:v>
      </x:c>
    </x:row>
    <x:row r="479">
      <x:c r="A479" s="31" t="str">
        <x:v>erythromycin</x:v>
      </x:c>
      <x:c r="B479" s="31" t="str">
        <x:v>pimozide</x:v>
      </x:c>
      <x:c r="C479" s="31" t="str">
        <x:v>unclassified</x:v>
      </x:c>
      <x:c r="D479" s="31" t="str">
        <x:v>review</x:v>
      </x:c>
      <x:c r="E479" s="31" t="str">
        <x:v>r0126_smpc</x:v>
      </x:c>
      <x:c r="F479" s="31" t="str">
        <x:v>SMPC</x:v>
      </x:c>
      <x:c r="G479" s="31" t="n">
        <x:v>11</x:v>
      </x:c>
      <x:c r="H479" s="31" t="str">
        <x:v>pimozide</x:v>
      </x:c>
      <x:c r="I479" s="37" t="str">
        <x:v>vasospasm, dysaesthesia and ischaemia of the central nervous system, extremities and other tissues (see section 4.3). Elevated cisapride levels have been reported in patients receiving erythromycin and cisapride concomitantly. This may result in QTc prolongation and cardiac arrhythmias including ventricular tachycardia, ventricular fibrillation and torsades de pointes. Similar effects have been observed with concomitant administration of pimozide and clarithromycin, another macrolide antibiotic. Erythromycin use in patients who are receiving high doses of theophylline may be associated with an increase in serum theophylline levels and potential theophylline toxicity. In case of theophylline toxicity and/or elevated serum theophylline levels, the dose of theophylline should be reduced while the patient is receiving concomitant erythromycin therapy. There have been published reports</x:v>
      </x:c>
      <x:c r="J479" s="37" t="str">
        <x:v>https://drug.fda.moph.go.th/media.php?id=810076416409477120&amp;name=SMPC_Erythromycin_Gastro-resistant tablets.pdf</x:v>
      </x:c>
    </x:row>
    <x:row r="480">
      <x:c r="A480" s="31" t="str">
        <x:v>erythromycin</x:v>
      </x:c>
      <x:c r="B480" s="31" t="str">
        <x:v>pimozide</x:v>
      </x:c>
      <x:c r="C480" s="31" t="str">
        <x:v>unclassified</x:v>
      </x:c>
      <x:c r="D480" s="31" t="str">
        <x:v>review</x:v>
      </x:c>
      <x:c r="E480" s="31" t="str">
        <x:v>r0127_smpc</x:v>
      </x:c>
      <x:c r="F480" s="31" t="str">
        <x:v>SMPC</x:v>
      </x:c>
      <x:c r="G480" s="31" t="n">
        <x:v>8</x:v>
      </x:c>
      <x:c r="H480" s="31" t="str">
        <x:v>pimozide</x:v>
      </x:c>
      <x:c r="I480" s="37" t="str">
        <x:v>conjugates in the intestine and thereby reabsorption of unconjugated steroid. As a result of this plasma levels of active steroid may decrease. Antihistamine H1 antagonists: care should be taken in the coadministration of erythromycin with H1 antagonists such as terfenadine, astemizole and mizolastine due to the alteration of their metabolism by erythromycin. Erythromycin significantly alters the metabolism of terfenadine, astemizole and pimozide when taken concomitantly. Rare cases of serious, potentially fatal, cardiovascular events including cardiac</x:v>
      </x:c>
      <x:c r="J480" s="37" t="str">
        <x:v>https://drug.fda.moph.go.th/media.php?id=810076760694726656&amp;name=SMPC_Erythromycin_film-coated tablets.pdf</x:v>
      </x:c>
    </x:row>
    <x:row r="481">
      <x:c r="A481" s="31" t="str">
        <x:v>erythromycin</x:v>
      </x:c>
      <x:c r="B481" s="31" t="str">
        <x:v>pimozide</x:v>
      </x:c>
      <x:c r="C481" s="31" t="str">
        <x:v>unclassified</x:v>
      </x:c>
      <x:c r="D481" s="31" t="str">
        <x:v>review</x:v>
      </x:c>
      <x:c r="E481" s="31" t="str">
        <x:v>r0127_smpc</x:v>
      </x:c>
      <x:c r="F481" s="31" t="str">
        <x:v>SMPC</x:v>
      </x:c>
      <x:c r="G481" s="31" t="n">
        <x:v>10</x:v>
      </x:c>
      <x:c r="H481" s="31" t="str">
        <x:v>pimozide</x:v>
      </x:c>
      <x:c r="I481" s="37" t="str">
        <x:v>aracterised by vasospasm and ischaemia of the central nervous system, extremities and other tissues (see section 4.3). Elevated cisapride levels have been reported in patients receiving erythromycin and cisapride concomitantly. This may result in QTc prolongation and cardiac arrhythmias including ventricular tachycardia, ventricular fibrillation and torsades de pointes.Si milar effects have been observed with concomitant administration of pimozide and clarithromycin, another macrolide antibiotic. Erythromycin use in patients who are receiving high doses of theophylline may be associated with an increase in serum theophylline levels and potential theophylline toxicity. In case of theophylline toxicity and/or elevated serum theophylline levels, the d ose of theophylline should be reduced while the patient is receiving concomitant erythromycin therapy. There have been published reports</x:v>
      </x:c>
      <x:c r="J481" s="37" t="str">
        <x:v>https://drug.fda.moph.go.th/media.php?id=810076760694726656&amp;name=SMPC_Erythromycin_film-coated tablets.pdf</x:v>
      </x:c>
    </x:row>
    <x:row r="482">
      <x:c r="A482" s="31" t="str">
        <x:v>erythromycin</x:v>
      </x:c>
      <x:c r="B482" s="31" t="str">
        <x:v>simvastatin</x:v>
      </x:c>
      <x:c r="C482" s="31" t="str">
        <x:v>unclassified</x:v>
      </x:c>
      <x:c r="D482" s="31" t="str">
        <x:v>review</x:v>
      </x:c>
      <x:c r="E482" s="31" t="str">
        <x:v>r0126_smpc</x:v>
      </x:c>
      <x:c r="F482" s="31" t="str">
        <x:v>SMPC</x:v>
      </x:c>
      <x:c r="G482" s="31" t="n">
        <x:v>9</x:v>
      </x:c>
      <x:c r="H482" s="31" t="str">
        <x:v>simvastatin</x:v>
      </x:c>
      <x:c r="I482" s="37" t="str">
        <x:v>decreases gradually during two weeks after discontinued treatment with CYP3A4 inducers. Erythromycin should not be used during and two weeks after treatment with CYP3A4 inducers. HMG-CoA Reductase Inhibitors: erythromycin has been reported to increase concentrations of HMG -CoA reductase inhibitors (e.g. lovastatin and simvastatin). Rare reports of rhabdomyolysis have been reported in patients taking these drugs concomitantly. Contraceptives: some antibiotics may in rare cases decrease the effect of contraceptive pills by interfering with the bacterial hydrolysis of steroid conjugates in the intestine and thereby reabsorption of unconjugated steroid. As a result of this plasma levels of active steroid may decrease. Antihistamine H1 antagonists: care s h o u l d be</x:v>
      </x:c>
      <x:c r="J482" s="37" t="str">
        <x:v>https://drug.fda.moph.go.th/media.php?id=810076416409477120&amp;name=SMPC_Erythromycin_Gastro-resistant tablets.pdf</x:v>
      </x:c>
    </x:row>
    <x:row r="483">
      <x:c r="A483" s="31" t="str">
        <x:v>erythromycin</x:v>
      </x:c>
      <x:c r="B483" s="31" t="str">
        <x:v>simvastatin</x:v>
      </x:c>
      <x:c r="C483" s="31" t="str">
        <x:v>unclassified</x:v>
      </x:c>
      <x:c r="D483" s="31" t="str">
        <x:v>review</x:v>
      </x:c>
      <x:c r="E483" s="31" t="str">
        <x:v>r0126_smpc</x:v>
      </x:c>
      <x:c r="F483" s="31" t="str">
        <x:v>SMPC</x:v>
      </x:c>
      <x:c r="G483" s="31" t="n">
        <x:v>10</x:v>
      </x:c>
      <x:c r="H483" s="31" t="str">
        <x:v>simvastatin</x:v>
      </x:c>
      <x:c r="I483" s="37" t="str">
        <x:v>Concomitant use of erythromycin w i t h simvastatin,tolterodine, mizolastine, amisulpride, terfenadine or astemizole is likely to result in an enhanced risk of cardio toxicity with these drugs. The concomitant use of erythromycin with either simvastatin, tolterodine, mizolastine, amisulpride, astemizole or terfenadine is therefore contraindicated. Anti -bacterial agents: an in vitro antagonism exists between erythromycin and the bactericidal beta -lactam antibiotics (e.g. penicillin, cepha</x:v>
      </x:c>
      <x:c r="J483" s="37" t="str">
        <x:v>https://drug.fda.moph.go.th/media.php?id=810076416409477120&amp;name=SMPC_Erythromycin_Gastro-resistant tablets.pdf</x:v>
      </x:c>
    </x:row>
    <x:row r="484">
      <x:c r="A484" s="31" t="str">
        <x:v>erythromycin</x:v>
      </x:c>
      <x:c r="B484" s="31" t="str">
        <x:v>simvastatin</x:v>
      </x:c>
      <x:c r="C484" s="31" t="str">
        <x:v>unclassified</x:v>
      </x:c>
      <x:c r="D484" s="31" t="str">
        <x:v>review</x:v>
      </x:c>
      <x:c r="E484" s="31" t="str">
        <x:v>r0127_smpc</x:v>
      </x:c>
      <x:c r="F484" s="31" t="str">
        <x:v>SMPC</x:v>
      </x:c>
      <x:c r="G484" s="31" t="n">
        <x:v>8</x:v>
      </x:c>
      <x:c r="H484" s="31" t="str">
        <x:v>simvastatin</x:v>
      </x:c>
      <x:c r="I484" s="37" t="str">
        <x:v>of erythromycin and a decreased effect. The induction decreases gradually during two weeks after discontinued treatment with CYP3A4 inducers. Erythromycin should not be used during and two weeks after treatment with CYP3A4 inducers. HMG-CoA Reductase Inhibitors: erythromycin has been reported to increase concentrations of HMG -CoA reductase inhibitors (e.g. lovastatin and simvastatin). Rare reports of rhabdomyolysis have been reported in patients taking these drugs concomitantly. Concomitant administration of erythromycin with lomitapide is contraindicated due the potential for markedly increased transaminases (see section 4.3). Contraceptives: some antibiotics may in rare cases decrease the effect of contraceptive pills by interfering with the bacterial hydrolysis of steroid conjugates in the intestine and thereby re</x:v>
      </x:c>
      <x:c r="J484" s="37" t="str">
        <x:v>https://drug.fda.moph.go.th/media.php?id=810076760694726656&amp;name=SMPC_Erythromycin_film-coated tablets.pdf</x:v>
      </x:c>
    </x:row>
    <x:row r="485">
      <x:c r="A485" s="31" t="str">
        <x:v>erythromycin</x:v>
      </x:c>
      <x:c r="B485" s="31" t="str">
        <x:v>sodium_valproate</x:v>
      </x:c>
      <x:c r="C485" s="31" t="str">
        <x:v>unclassified</x:v>
      </x:c>
      <x:c r="D485" s="31" t="str">
        <x:v>review</x:v>
      </x:c>
      <x:c r="E485" s="31" t="str">
        <x:v>r0325_smpc</x:v>
      </x:c>
      <x:c r="F485" s="31" t="str">
        <x:v>SMPC</x:v>
      </x:c>
      <x:c r="G485" s="31" t="n">
        <x:v>18</x:v>
      </x:c>
      <x:c r="H485" s="31" t="str">
        <x:v>erythromycin</x:v>
      </x:c>
      <x:c r="I485" s="37" t="str">
        <x:v>1 Ref: Sodium Valproate, MHRA, 16/02/2024 18 The anticoagulant effect of warfarin and other coumarin anticoagulants may be increased following displacement from plasma protein binding sites by valproic acid. The prothrombin time should be closely monitored. Cimetidine or erythromycin Valproic acid plasma levels may be increased (as a result of reduced hepatic metabolism) in case of concomitant use with cimetidine or erythromycin. Carbapenem antibiotics (such as panipenem, imipenem and meropenem) Decreases in blood levels of valproic acid have been reported when it is co-administered with carbapenem agents resulting in a 60 -100% decrease in valproic acid levels within two days, sometimes associated with convulsions.</x:v>
      </x:c>
      <x:c r="J485" s="37" t="str">
        <x:v>https://drug.fda.moph.go.th/media.php?id=810462806720782336&amp;name=SMPC_Sodium Valproate_Enteric-coated tablet.pdf</x:v>
      </x:c>
    </x:row>
    <x:row r="486">
      <x:c r="A486" s="31" t="str">
        <x:v>erythromycin</x:v>
      </x:c>
      <x:c r="B486" s="31" t="str">
        <x:v>theophylline</x:v>
      </x:c>
      <x:c r="C486" s="31" t="str">
        <x:v>unclassified</x:v>
      </x:c>
      <x:c r="D486" s="31" t="str">
        <x:v>review</x:v>
      </x:c>
      <x:c r="E486" s="31" t="str">
        <x:v>r0126_smpc</x:v>
      </x:c>
      <x:c r="F486" s="31" t="str">
        <x:v>SMPC</x:v>
      </x:c>
      <x:c r="G486" s="31" t="n">
        <x:v>8</x:v>
      </x:c>
      <x:c r="H486" s="31" t="str">
        <x:v>theophylline</x:v>
      </x:c>
      <x:c r="I486" s="37" t="str">
        <x:v>ses in serum concentrations of the following drugs metabolised by the cytochrome P450 system may occur when administered concurrently with erythromycin: acenocoumarol, alfentanil, astemizole, bromocriptine, carbamazepine, cilostazol, cyclosporin, dig oxin, dihydroergotamine, disopyramide, ergotamine, hexobarbitone, methylprednisolone, midazolam, omeprazole, phenytoin, quinidine, rifabutin, sildenafil, tacrolimus, terfenadine, domperidone, theophylline, triazolam, valproate, vinblastine, antifungals e.g fluconazole, ketoconazole and itraconazole and warfarin. Appropriate monitoring should be undertaken and dosage should be adjusted as necessary. Particular care should be taken with medications known to prolong the QTc interval of the electrocardiogram. Erythromycin has also been reported to potentiate the effects of corticosteroids. Drugs that induce CYP3A4 (such as rifampicin, phenytoi</x:v>
      </x:c>
      <x:c r="J486" s="37" t="str">
        <x:v>https://drug.fda.moph.go.th/media.php?id=810076416409477120&amp;name=SMPC_Erythromycin_Gastro-resistant tablets.pdf</x:v>
      </x:c>
    </x:row>
    <x:row r="487">
      <x:c r="A487" s="31" t="str">
        <x:v>erythromycin</x:v>
      </x:c>
      <x:c r="B487" s="31" t="str">
        <x:v>theophylline</x:v>
      </x:c>
      <x:c r="C487" s="31" t="str">
        <x:v>unclassified</x:v>
      </x:c>
      <x:c r="D487" s="31" t="str">
        <x:v>review</x:v>
      </x:c>
      <x:c r="E487" s="31" t="str">
        <x:v>r0126_smpc</x:v>
      </x:c>
      <x:c r="F487" s="31" t="str">
        <x:v>SMPC</x:v>
      </x:c>
      <x:c r="G487" s="31" t="n">
        <x:v>11</x:v>
      </x:c>
      <x:c r="H487" s="31" t="str">
        <x:v>theophylline</x:v>
      </x:c>
      <x:c r="I487" s="37" t="str">
        <x:v>levated cisapride levels have been reported in patients receiving erythromycin and cisapride concomitantly. This may result in QTc prolongation and cardiac arrhythmias including ventricular tachycardia, ventricular fibrillation and torsades de pointes. Similar effects have been observed with concomitant administration of pimozide and clarithromycin, another macrolide antibiotic. Erythromycin use in patients who are receiving high doses of theophylline may be associated with an increase in serum theophylline levels and potential theophylline toxicity. In case of theophylline toxicity and/or elevated serum theophylline levels, the dose of theophylline should be reduced while the patient is receiving concomitant erythromycin therapy. There have been published reports suggesting when oral erythromycin is given concurrently with theophylline; there is a significant decrease in erythromy cin</x:v>
      </x:c>
      <x:c r="J487" s="37" t="str">
        <x:v>https://drug.fda.moph.go.th/media.php?id=810076416409477120&amp;name=SMPC_Erythromycin_Gastro-resistant tablets.pdf</x:v>
      </x:c>
    </x:row>
    <x:row r="488">
      <x:c r="A488" s="31" t="str">
        <x:v>erythromycin</x:v>
      </x:c>
      <x:c r="B488" s="31" t="str">
        <x:v>theophylline</x:v>
      </x:c>
      <x:c r="C488" s="31" t="str">
        <x:v>unclassified</x:v>
      </x:c>
      <x:c r="D488" s="31" t="str">
        <x:v>review</x:v>
      </x:c>
      <x:c r="E488" s="31" t="str">
        <x:v>r0127_smpc</x:v>
      </x:c>
      <x:c r="F488" s="31" t="str">
        <x:v>SMPC</x:v>
      </x:c>
      <x:c r="G488" s="31" t="n">
        <x:v>7</x:v>
      </x:c>
      <x:c r="H488" s="31" t="str">
        <x:v>theophylline</x:v>
      </x:c>
      <x:c r="I488" s="37" t="str">
        <x:v>s in serum concentrations of the following drugs metabolised by the cytochrome P450 system may occur : when administered concurrently with erythromycin: acenocoumarol, alfentanil, astemizole, bromocriptine, carbamazepine, cilostazol, cyclosporin, digoxin, dihydroergotamine, disopyramide, ergotamine, hexobarbitone, methylprednisolone, midazolam, omeprazole, phenytoin, quinidine, rifabutin , sildenafil, tacrolimus, terfenadine, domperidone, theophylline, triazolam, valproate, vinblastine, and antifung als e.g fluconazole, ketoconazole and itraconazole. Appropriate monitoring should be undertaken and dosage should be adjusted as necessary. Particular care should be taken with m e d i c a t i o n s k n o w n t o p r o l o n g t h e Q Tc i n t e r v a l o f t h e electrocardiogram. Drugs that induce CYP3A4 (such as rifampicin, phenytoin, carbamazepine, phenobarbital, St John’s Wort) may ind</x:v>
      </x:c>
      <x:c r="J488" s="37" t="str">
        <x:v>https://drug.fda.moph.go.th/media.php?id=810076760694726656&amp;name=SMPC_Erythromycin_film-coated tablets.pdf</x:v>
      </x:c>
    </x:row>
    <x:row r="489">
      <x:c r="A489" s="31" t="str">
        <x:v>erythromycin</x:v>
      </x:c>
      <x:c r="B489" s="31" t="str">
        <x:v>theophylline</x:v>
      </x:c>
      <x:c r="C489" s="31" t="str">
        <x:v>unclassified</x:v>
      </x:c>
      <x:c r="D489" s="31" t="str">
        <x:v>review</x:v>
      </x:c>
      <x:c r="E489" s="31" t="str">
        <x:v>r0127_smpc</x:v>
      </x:c>
      <x:c r="F489" s="31" t="str">
        <x:v>SMPC</x:v>
      </x:c>
      <x:c r="G489" s="31" t="n">
        <x:v>10</x:v>
      </x:c>
      <x:c r="H489" s="31" t="str">
        <x:v>theophylline</x:v>
      </x:c>
      <x:c r="I489" s="37" t="str">
        <x:v>levated cisapride levels have been reported in patients receiving erythromycin and cisapride concomitantly. This may result in QTc prolongation and cardiac arrhythmias including ventricular tachycardia, ventricular fibrillation and torsades de pointes.Si milar effects have been observed with concomitant administration of pimozide and clarithromycin, another macrolide antibiotic. Erythromycin use in patients who are receiving high doses of theophylline may be associated with an increase in serum theophylline levels and potential theophylline toxicity. In case of theophylline toxicity and/or elevated serum theophylline levels, the d ose of theophylline should be reduced while the patient is receiving concomitant erythromycin therapy. There have been published reports suggesting when oral erythromycin is given concurrently with theophylline there is a significant decrease in erythromyc in</x:v>
      </x:c>
      <x:c r="J489" s="37" t="str">
        <x:v>https://drug.fda.moph.go.th/media.php?id=810076760694726656&amp;name=SMPC_Erythromycin_film-coated tablets.pdf</x:v>
      </x:c>
    </x:row>
    <x:row r="490">
      <x:c r="A490" s="31" t="str">
        <x:v>erythromycin</x:v>
      </x:c>
      <x:c r="B490" s="31" t="str">
        <x:v>tramadol</x:v>
      </x:c>
      <x:c r="C490" s="31" t="str">
        <x:v>unclassified</x:v>
      </x:c>
      <x:c r="D490" s="31" t="str">
        <x:v>review</x:v>
      </x:c>
      <x:c r="E490" s="31" t="str">
        <x:v>r0350_smpc</x:v>
      </x:c>
      <x:c r="F490" s="31" t="str">
        <x:v>SMPC</x:v>
      </x:c>
      <x:c r="G490" s="31" t="n">
        <x:v>9</x:v>
      </x:c>
      <x:c r="H490" s="31" t="str">
        <x:v>erythromycin</x:v>
      </x:c>
      <x:c r="I490" s="37" t="str">
        <x:v>hibitors (see section 4.3), tricyclic antidepressants and mirtazapine may c ause serotonin syndrome, a potentially life -threatening condition (see sections 4.4 and 4.8). Caution should be exercised during concomitant treatment with tramadol and coumarin derivatives (e.g. warfarin) due to reports of increased INR with major bleeding and ecchymoses in some patients. Other active substances known to inhibit CYP3A4, such as ketoconazole and erythromycin, might inhibit the metabolism of tramadol (N-demethylation) probably also the metabolism of the active O-demethylated metabolite. The clinical importance of such an interaction has not been studied (see section 4.8). In a limited number of studies the pre - or postoperative application of the antiemetic 5-HT3 antagonist ondansetron increased the requirement of tramadol in patients with postoperative pain. 4.6. Fertility, pregnancy and lac</x:v>
      </x:c>
      <x:c r="J490" s="37" t="str">
        <x:v>https://drug.fda.moph.go.th/media.php?id=810483663501402112&amp;name=SMPC_Tramadol_Capsules.pdf</x:v>
      </x:c>
    </x:row>
    <x:row r="491">
      <x:c r="A491" s="31" t="str">
        <x:v>erythromycin</x:v>
      </x:c>
      <x:c r="B491" s="31" t="str">
        <x:v>tramadol</x:v>
      </x:c>
      <x:c r="C491" s="31" t="str">
        <x:v>unclassified</x:v>
      </x:c>
      <x:c r="D491" s="31" t="str">
        <x:v>review</x:v>
      </x:c>
      <x:c r="E491" s="31" t="str">
        <x:v>r0351_smpc</x:v>
      </x:c>
      <x:c r="F491" s="31" t="str">
        <x:v>SMPC</x:v>
      </x:c>
      <x:c r="G491" s="31" t="n">
        <x:v>10</x:v>
      </x:c>
      <x:c r="H491" s="31" t="str">
        <x:v>erythromycin</x:v>
      </x:c>
      <x:c r="I491" s="37" t="str">
        <x:v>1 Ref: Tramadol hydrochloride, MHRA, 14/06/2024 3 Caution should be exercised during concomitant treatment with tramadol and coumarin derivatives (e.g. warfarin) due to reports of increased INR with major bleeding and ecchymoses in some patients. Other active substances known to inhibit CYP3A4, such as ketoconazole and erythromycin, might inhibit the metabolism of tramadol (N-demethylation) probably also the metabolism of the active O-demethylated metabolite. The clinical importance of such an interaction has not been studied (see section 4.8). In a limited number of studies the pre - or postoperative application of the antiemetic 5-HT3 antagonist ondansetron increased the requirement of tramadol in patients with postoperative pain. 4.6. Fertility, pregnancy and lac</x:v>
      </x:c>
      <x:c r="J491" s="37" t="str">
        <x:v>https://drug.fda.moph.go.th/media.php?id=810484035766853632&amp;name=SMPC_Tramadol_solution for injection or infusion.pdf</x:v>
      </x:c>
    </x:row>
    <x:row r="492">
      <x:c r="A492" s="31" t="str">
        <x:v>erythromycin</x:v>
      </x:c>
      <x:c r="B492" s="31" t="str">
        <x:v>trazodone</x:v>
      </x:c>
      <x:c r="C492" s="31" t="str">
        <x:v>unclassified</x:v>
      </x:c>
      <x:c r="D492" s="31" t="str">
        <x:v>review</x:v>
      </x:c>
      <x:c r="E492" s="31" t="str">
        <x:v>r0352_smpc</x:v>
      </x:c>
      <x:c r="F492" s="31" t="str">
        <x:v>SMPC</x:v>
      </x:c>
      <x:c r="G492" s="31" t="n">
        <x:v>10</x:v>
      </x:c>
      <x:c r="H492" s="31" t="str">
        <x:v>erythromycin</x:v>
      </x:c>
      <x:c r="I492" s="37" t="str">
        <x:v>ed; dosage reduction is recommended in such instances. The metabolism of antidepressants is accelerated due to hepatic effects by oral contraceptives, phenytoin, carbamazepine and barbiturates. The metabolism of antidepressants is inhibited by cimetidine and some other antipsychotics. In vitro drug metabolism studies suggest that there is a potential for drug interactions when &lt;GENERIC NAME&gt; is given with potent CYP3A4 inhibitors such as erythromycin, ketoconazole, itraconazole, ritonavir, indinavir, and nefazodone. It is likely that potent CYP3A4 inhibitors may lead to substantial increases in trazodone plasma concentrations with the potential for adverse effects. Exposure to ritonavir during initiation or resumption of treatment in patients receiving &lt;GENERIC NAME&gt; will increase the po tential for excessive sedation, cardiovascular, and gastrointestinal effects. It has been confirmed</x:v>
      </x:c>
      <x:c r="J492" s="37" t="str">
        <x:v>https://drug.fda.moph.go.th/media.php?id=810484413367459840&amp;name=SMPC_Trazodone_Tablets.pdf</x:v>
      </x:c>
    </x:row>
    <x:row r="493">
      <x:c r="A493" s="31" t="str">
        <x:v>erythromycin</x:v>
      </x:c>
      <x:c r="B493" s="31" t="str">
        <x:v>verapamil</x:v>
      </x:c>
      <x:c r="C493" s="31" t="str">
        <x:v>unclassified</x:v>
      </x:c>
      <x:c r="D493" s="31" t="str">
        <x:v>review</x:v>
      </x:c>
      <x:c r="E493" s="31" t="str">
        <x:v>r0127_smpc</x:v>
      </x:c>
      <x:c r="F493" s="31" t="str">
        <x:v>SMPC</x:v>
      </x:c>
      <x:c r="G493" s="31" t="n">
        <x:v>11</x:v>
      </x:c>
      <x:c r="H493" s="31" t="str">
        <x:v>verapamil</x:v>
      </x:c>
      <x:c r="I493" s="37" t="str">
        <x:v>There have been post -marketing reports of colchicine toxicity with concomitant use of erythromycin and colchicine. Hypotension, bradyarrhythmias and lactic acidosis have been observed in patients receiving concurrent verapamil, a calcium channel blocker. Cimetidine may inhibit the metabolism of erythromycin which may lead to an increased plasma concentration. Erythromycin has been reported to decrease the clearance of zopiclone and thus may increase the pharmacodynamic effects of this drug. Observational data have shown that co-administration of azithromycin with hydroxychloroquine in patients with rheumatoid arthritis is associated with an increased risk of ca</x:v>
      </x:c>
      <x:c r="J493" s="37" t="str">
        <x:v>https://drug.fda.moph.go.th/media.php?id=810076760694726656&amp;name=SMPC_Erythromycin_film-coated tablets.pdf</x:v>
      </x:c>
    </x:row>
    <x:row r="494">
      <x:c r="A494" s="31" t="str">
        <x:v>estradiol</x:v>
      </x:c>
      <x:c r="B494" s="31" t="str">
        <x:v>rifampicin</x:v>
      </x:c>
      <x:c r="C494" s="31" t="str">
        <x:v>unclassified</x:v>
      </x:c>
      <x:c r="D494" s="31" t="str">
        <x:v>review</x:v>
      </x:c>
      <x:c r="E494" s="31" t="str">
        <x:v>r0128_smpc</x:v>
      </x:c>
      <x:c r="F494" s="31" t="str">
        <x:v>SMPC</x:v>
      </x:c>
      <x:c r="G494" s="31" t="n">
        <x:v>10</x:v>
      </x:c>
      <x:c r="H494" s="31" t="str">
        <x:v>rifampicin</x:v>
      </x:c>
      <x:c r="I494" s="37" t="str">
        <x:v>1 Ref:Zumenon 2mg Film-coated tablets, MHRA, 15/11/2023 Zumenon 1mg Film-coated tablets, MHRA, 15/11/2023 10 - The metabolism of oestrogens may be increased by concomitant use of substances known to induce drug -metabolising enzymes, specifically cytochrome P450 enzymes, 2B6, 3A4, 3A5, 3A7, such as anticonvulsants (eg. phenobarbital, phenytoin, carbamezepine) and anti-infectives (e.g. rifampicin, rifabutin, nevirapine, efavirenz). - Ritonavir and nelfinavir, although known as strong inhibitors of CYP450 3A4, A5, A7, by contrast exhibit inducing properties when used concomitantly with steroid hormones. - Herbal preparations containing St John’s wort (Hypericum perforatum) may induce the metabolism of oestrogens and progestogens via the CYP450 3A4 pathway. Clinically, an increased metabolism of oestrogens and progestogens may lead</x:v>
      </x:c>
      <x:c r="J494" s="37" t="str">
        <x:v>https://drug.fda.moph.go.th/media.php?id=810077151993929728&amp;name=SMPC_Estradiol_Tablets.pdf</x:v>
      </x:c>
    </x:row>
    <x:row r="495">
      <x:c r="A495" s="31" t="str">
        <x:v>estradiol</x:v>
      </x:c>
      <x:c r="B495" s="31" t="str">
        <x:v>theophylline</x:v>
      </x:c>
      <x:c r="C495" s="31" t="str">
        <x:v>unclassified</x:v>
      </x:c>
      <x:c r="D495" s="31" t="str">
        <x:v>review</x:v>
      </x:c>
      <x:c r="E495" s="31" t="str">
        <x:v>r0128_smpc</x:v>
      </x:c>
      <x:c r="F495" s="31" t="str">
        <x:v>SMPC</x:v>
      </x:c>
      <x:c r="G495" s="31" t="n">
        <x:v>10</x:v>
      </x:c>
      <x:c r="H495" s="31" t="str">
        <x:v>theophylline</x:v>
      </x:c>
      <x:c r="I495" s="37" t="str">
        <x:v>ion. This is in particular to be considered for substrates with a narrow therapeutic index, such as • tacrolimus and cyclosporine A (CYP450 3A4, 3A3) • fentanyl (CYP450 3A4) • theophylline (CYP450 1A2). Clinically this may lead to a plasma increase of the affected substances up to toxic levels. Thus, careful drug monitoring for an extended period of time might be indicated and a dosage decrease of tacrolimus, fentanyl, cyclosporin A, and theophylline may be necessary. Effect of HRT with oestrogens on other medicinal products Hormone contraceptives containing oestrogens have been shown to significantly decrease plasma concentrations of lamotrigine when co - administered due to induction of lamotrigine glucuronidation. This may reduce seizure control. Although the potential intera ction between hormone replacement therapy and lamotrigine has not been studied, it is expected that a simila</x:v>
      </x:c>
      <x:c r="J495" s="37" t="str">
        <x:v>https://drug.fda.moph.go.th/media.php?id=810077151993929728&amp;name=SMPC_Estradiol_Tablets.pdf</x:v>
      </x:c>
    </x:row>
    <x:row r="496">
      <x:c r="A496" s="31" t="str">
        <x:v>felodipine</x:v>
      </x:c>
      <x:c r="B496" s="31" t="str">
        <x:v>indomethacin</x:v>
      </x:c>
      <x:c r="C496" s="31" t="str">
        <x:v>unclassified</x:v>
      </x:c>
      <x:c r="D496" s="31" t="str">
        <x:v>review</x:v>
      </x:c>
      <x:c r="E496" s="31" t="str">
        <x:v>r0141_smpc</x:v>
      </x:c>
      <x:c r="F496" s="31" t="str">
        <x:v>SMPC</x:v>
      </x:c>
      <x:c r="G496" s="31" t="n">
        <x:v>9</x:v>
      </x:c>
      <x:c r="H496" s="31" t="str">
        <x:v>indomethacin</x:v>
      </x:c>
      <x:c r="I496" s="37" t="str">
        <x:v>r conduction. It can be used as monotherapy or in combination with other antihypertensive drugs, e.g. β -receptor blockers, diuretics or ACE - inhibitors, in order to achieve an increased antihypertensive effect. Felodipine reduces both systolic and diastolic blood pressure and can be used in isolated systolic hypertension. In a study of 12 patients, felodipine maintained its antihypertensive effect during concomitant therapy with indomethacin. Because there is no effect on venous smooth muscle or adrenergic vasomotor control, felodipine is not associated with orthostatic hypotension. Felodipine has anti-anginal and anti-ischaemic effects due to improved myocardial oxygen supply/ demand balance. Coronary vascular resistance is decreased and coronary blood flow as well as myocardial oxygen supply are increased by felodipine due to dilation of both epicardial arterie</x:v>
      </x:c>
      <x:c r="J496" s="37" t="str">
        <x:v>https://drug.fda.moph.go.th/media.php?id=810078823658954752&amp;name=SMPC_Felodipine_prolonged release tablets.pdf</x:v>
      </x:c>
    </x:row>
    <x:row r="497">
      <x:c r="A497" s="31" t="str">
        <x:v>felodipine</x:v>
      </x:c>
      <x:c r="B497" s="31" t="str">
        <x:v>itraconazole</x:v>
      </x:c>
      <x:c r="C497" s="31" t="str">
        <x:v>unclassified</x:v>
      </x:c>
      <x:c r="D497" s="31" t="str">
        <x:v>review</x:v>
      </x:c>
      <x:c r="E497" s="31" t="str">
        <x:v>r0141_smpc</x:v>
      </x:c>
      <x:c r="F497" s="31" t="str">
        <x:v>SMPC</x:v>
      </x:c>
      <x:c r="G497" s="31" t="n">
        <x:v>4</x:v>
      </x:c>
      <x:c r="H497" s="31" t="str">
        <x:v>itraconazole</x:v>
      </x:c>
      <x:c r="I497" s="37" t="str">
        <x:v>giene. Patients with rare hereditary problems of galactose intolerance, the Lapp lactase deficiency or glucose -galactose malabsorption should not take this medicine. 4.5. Interaction with other medicinal products and other forms of interaction Concomitant administration of substances which interfere with the cytochrome P450 system may affect plasma concentrations of felodipine. Enzyme inhibitors such as cimetidine, erythromycin, itraconazole, ketoconazole and ritonavir impair the elimination of felodipine, and felodipine dosage may need to be reduced when drugs are given concomitantly. Conversely, powerful enzyme inducing agents such as some anticonvulsants (phenytoin, carbamazepine, phenobarbitone) can increase felodipine elimination and higher than normal felodipine doses may be required in patients taking the drugs. No dosage adjustment is required felodipine are</x:v>
      </x:c>
      <x:c r="J497" s="37" t="str">
        <x:v>https://drug.fda.moph.go.th/media.php?id=810078823658954752&amp;name=SMPC_Felodipine_prolonged release tablets.pdf</x:v>
      </x:c>
    </x:row>
    <x:row r="498">
      <x:c r="A498" s="31" t="str">
        <x:v>felodipine</x:v>
      </x:c>
      <x:c r="B498" s="31" t="str">
        <x:v>ketoconazole</x:v>
      </x:c>
      <x:c r="C498" s="31" t="str">
        <x:v>unclassified</x:v>
      </x:c>
      <x:c r="D498" s="31" t="str">
        <x:v>review</x:v>
      </x:c>
      <x:c r="E498" s="31" t="str">
        <x:v>r0141_smpc</x:v>
      </x:c>
      <x:c r="F498" s="31" t="str">
        <x:v>SMPC</x:v>
      </x:c>
      <x:c r="G498" s="31" t="n">
        <x:v>4</x:v>
      </x:c>
      <x:c r="H498" s="31" t="str">
        <x:v>ketoconazole</x:v>
      </x:c>
      <x:c r="I498" s="37" t="str">
        <x:v>nts with rare hereditary problems of galactose intolerance, the Lapp lactase deficiency or glucose -galactose malabsorption should not take this medicine. 4.5. Interaction with other medicinal products and other forms of interaction Concomitant administration of substances which interfere with the cytochrome P450 system may affect plasma concentrations of felodipine. Enzyme inhibitors such as cimetidine, erythromycin, itraconazole, ketoconazole and ritonavir impair the elimination of felodipine, and felodipine dosage may need to be reduced when drugs are given concomitantly. Conversely, powerful enzyme inducing agents such as some anticonvulsants (phenytoin, carbamazepine, phenobarbitone) can increase felodipine elimination and higher than normal felodipine doses may be required in patients taking the drugs. No dosage adjustment is required felodipine are given concomitan</x:v>
      </x:c>
      <x:c r="J498" s="37" t="str">
        <x:v>https://drug.fda.moph.go.th/media.php?id=810078823658954752&amp;name=SMPC_Felodipine_prolonged release tablets.pdf</x:v>
      </x:c>
    </x:row>
    <x:row r="499">
      <x:c r="A499" s="31" t="str">
        <x:v>felodipine</x:v>
      </x:c>
      <x:c r="B499" s="31" t="str">
        <x:v>prazosin</x:v>
      </x:c>
      <x:c r="C499" s="31" t="str">
        <x:v>unclassified</x:v>
      </x:c>
      <x:c r="D499" s="31" t="str">
        <x:v>review</x:v>
      </x:c>
      <x:c r="E499" s="31" t="str">
        <x:v>r0141_smpc</x:v>
      </x:c>
      <x:c r="F499" s="31" t="str">
        <x:v>SMPC</x:v>
      </x:c>
      <x:c r="G499" s="31" t="n">
        <x:v>5</x:v>
      </x:c>
      <x:c r="H499" s="31" t="str">
        <x:v>prazosin</x:v>
      </x:c>
      <x:c r="I499" s="37" t="str">
        <x:v>ruit juice results in increased peak plasma levels and bioavailability possibly due to an interaction with flavonoids in the fruit juice. This interaction has been seen with other dihydropyridine calcium antagonists and represents a class effect. Therefore grapefruit juice should not be taken together with felodipine. The anti -hypertensive effect of felodipine may be enhanced by other anti-hypertensive such as alpha-blockers (e.g. prazosin) or beta-blockers (e.g. atenolol) and general anaesthetics. 4.6. Fertility, pregnancy and lactation Felodipine should not be given during pregnancy. In a study on fertility and general reproductive performance in rats, a prolongation of parturition resulting in difficult labour, increased foetal deaths and early postnatal deaths were observed in the medium - and high-dose groups. Reproductive studies in rabbits have shown a dose -</x:v>
      </x:c>
      <x:c r="J499" s="37" t="str">
        <x:v>https://drug.fda.moph.go.th/media.php?id=810078823658954752&amp;name=SMPC_Felodipine_prolonged release tablets.pdf</x:v>
      </x:c>
    </x:row>
    <x:row r="500">
      <x:c r="A500" s="31" t="str">
        <x:v>ferrous</x:v>
      </x:c>
      <x:c r="B500" s="31" t="str">
        <x:v>levothyroxine</x:v>
      </x:c>
      <x:c r="C500" s="31" t="str">
        <x:v>unclassified</x:v>
      </x:c>
      <x:c r="D500" s="31" t="str">
        <x:v>review</x:v>
      </x:c>
      <x:c r="E500" s="31" t="str">
        <x:v>r0143_smpc</x:v>
      </x:c>
      <x:c r="F500" s="31" t="str">
        <x:v>SMPC</x:v>
      </x:c>
      <x:c r="G500" s="31" t="n">
        <x:v>4</x:v>
      </x:c>
      <x:c r="H500" s="31" t="str">
        <x:v>levothyroxine</x:v>
      </x:c>
      <x:c r="I500" s="37" t="str">
        <x:v>1 Ref: Fersamal, MHRA, date 05/09/2023 4 4.5. Interaction with other medicinal products and other forms of interaction Iron reduces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x:v>
      </x:c>
      <x:c r="J500" s="37" t="str">
        <x:v>https://drug.fda.moph.go.th/media.php?id=810079316368039936&amp;name=SMPC_Ferrous fumarate_Tablets.pdf</x:v>
      </x:c>
    </x:row>
    <x:row r="501">
      <x:c r="A501" s="31" t="str">
        <x:v>ferrous</x:v>
      </x:c>
      <x:c r="B501" s="31" t="str">
        <x:v>levothyroxine</x:v>
      </x:c>
      <x:c r="C501" s="31" t="str">
        <x:v>unclassified</x:v>
      </x:c>
      <x:c r="D501" s="31" t="str">
        <x:v>review</x:v>
      </x:c>
      <x:c r="E501" s="31" t="str">
        <x:v>r0144_smpc</x:v>
      </x:c>
      <x:c r="F501" s="31" t="str">
        <x:v>SMPC</x:v>
      </x:c>
      <x:c r="G501" s="31" t="n">
        <x:v>4</x:v>
      </x:c>
      <x:c r="H501" s="31" t="str">
        <x:v>levothyroxine</x:v>
      </x:c>
      <x:c r="I501" s="37" t="str">
        <x:v>1 Ref: Fersamal, MHRA, date 15/09/2023 4 ferrous fumarate syrup contains sugar, care must be exercised when using in patients with diabetes mellitus. Ferrous fumarate Syrup contains: &lt;Regarding the approval&gt; 4.5. Interaction with other medicinal products and other forms of interaction Iron reduces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x:v>
      </x:c>
      <x:c r="J501" s="37" t="str">
        <x:v>https://drug.fda.moph.go.th/media.php?id=810079681742249984&amp;name=SMPC_Ferrous fumarate_ syrup.pdf</x:v>
      </x:c>
    </x:row>
    <x:row r="502">
      <x:c r="A502" s="31" t="str">
        <x:v>ferrous</x:v>
      </x:c>
      <x:c r="B502" s="31" t="str">
        <x:v>magnesium</x:v>
      </x:c>
      <x:c r="C502" s="31" t="str">
        <x:v>unclassified</x:v>
      </x:c>
      <x:c r="D502" s="31" t="str">
        <x:v>review</x:v>
      </x:c>
      <x:c r="E502" s="31" t="str">
        <x:v>r0143_smpc</x:v>
      </x:c>
      <x:c r="F502" s="31" t="str">
        <x:v>SMPC</x:v>
      </x:c>
      <x:c r="G502" s="31" t="n">
        <x:v>4</x:v>
      </x:c>
      <x:c r="H502" s="31" t="str">
        <x:v>magnesium</x:v>
      </x:c>
      <x:c r="I502" s="37" t="str">
        <x:v>medicinal products and other forms of interaction Iron reduces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 milk. Avoid concomitant use of iron with dimercaprol. Oral iron antagonises hypotensive effect of methyldopa . 4.6. Fertility, pregnancy and lactation Pregnancy</x:v>
      </x:c>
      <x:c r="J502" s="37" t="str">
        <x:v>https://drug.fda.moph.go.th/media.php?id=810079316368039936&amp;name=SMPC_Ferrous fumarate_Tablets.pdf</x:v>
      </x:c>
    </x:row>
    <x:row r="503">
      <x:c r="A503" s="31" t="str">
        <x:v>ferrous</x:v>
      </x:c>
      <x:c r="B503" s="31" t="str">
        <x:v>magnesium</x:v>
      </x:c>
      <x:c r="C503" s="31" t="str">
        <x:v>unclassified</x:v>
      </x:c>
      <x:c r="D503" s="31" t="str">
        <x:v>review</x:v>
      </x:c>
      <x:c r="E503" s="31" t="str">
        <x:v>r0144_smpc</x:v>
      </x:c>
      <x:c r="F503" s="31" t="str">
        <x:v>SMPC</x:v>
      </x:c>
      <x:c r="G503" s="31" t="n">
        <x:v>4</x:v>
      </x:c>
      <x:c r="H503" s="31" t="str">
        <x:v>magnesium</x:v>
      </x:c>
      <x:c r="I503" s="37" t="str">
        <x:v>r medicinal products and other forms of interaction Iron reduces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 milk. Avoid concomitant use of iron with dimercaprol. Oral iron antagonises hypotensive effect of methyldopa. 4.6. Fertility, pregnancy and lactation Pregnancy Fe</x:v>
      </x:c>
      <x:c r="J503" s="37" t="str">
        <x:v>https://drug.fda.moph.go.th/media.php?id=810079681742249984&amp;name=SMPC_Ferrous fumarate_ syrup.pdf</x:v>
      </x:c>
    </x:row>
    <x:row r="504">
      <x:c r="A504" s="31" t="str">
        <x:v>ferrous</x:v>
      </x:c>
      <x:c r="B504" s="31" t="str">
        <x:v>magnesium</x:v>
      </x:c>
      <x:c r="C504" s="31" t="str">
        <x:v>unclassified</x:v>
      </x:c>
      <x:c r="D504" s="31" t="str">
        <x:v>review</x:v>
      </x:c>
      <x:c r="E504" s="31" t="str">
        <x:v>r0145_smpc</x:v>
      </x:c>
      <x:c r="F504" s="31" t="str">
        <x:v>SMPC</x:v>
      </x:c>
      <x:c r="G504" s="31" t="n">
        <x:v>5</x:v>
      </x:c>
      <x:c r="H504" s="31" t="str">
        <x:v>magnesium</x:v>
      </x:c>
      <x:c r="I504" s="37" t="str">
        <x:v>1 Ref: Ferrous Sulfate, MHRA, date 30/10/2020 5 Quinolones: Iron may reduce the absorption of quinolones. Administration of iron preparations and quinolones should be separated by at least 2 hours. Chloramphenicol delays plasma iron clearance, incorporation of iron into red blood cells and interferes with erythropoiesis. Antacids and mineral supplements: Compounds containing calcium, magnesium (including antacids and mineral supplements), bicarbonates, carbonates, oxalates or phosphates may impair the absorption of iron. Administration of iron preparations with such compounds should be separated by at least 2 hours. Bisphosphonates: The absorption of bisphosphonates is reduced when taken concurrently with iron preparations. Administration should be separated by at least 2 hours. Cholestyramine: Absorption of iron i</x:v>
      </x:c>
      <x:c r="J504" s="37" t="str">
        <x:v>https://drug.fda.moph.go.th/media.php?id=810081060158316544&amp;name=SMPC_Ferrous sulfate_film-coated tablets.pdf</x:v>
      </x:c>
    </x:row>
    <x:row r="505">
      <x:c r="A505" s="31" t="str">
        <x:v>ferrous</x:v>
      </x:c>
      <x:c r="B505" s="31" t="str">
        <x:v>magnesium_trisilicate</x:v>
      </x:c>
      <x:c r="C505" s="31" t="str">
        <x:v>unclassified</x:v>
      </x:c>
      <x:c r="D505" s="31" t="str">
        <x:v>review</x:v>
      </x:c>
      <x:c r="E505" s="31" t="str">
        <x:v>r0143_smpc</x:v>
      </x:c>
      <x:c r="F505" s="31" t="str">
        <x:v>SMPC</x:v>
      </x:c>
      <x:c r="G505" s="31" t="n">
        <x:v>4</x:v>
      </x:c>
      <x:c r="H505" s="31" t="str">
        <x:v>magnesium trisilicate</x:v>
      </x:c>
      <x:c r="I505" s="37" t="str">
        <x:v>other forms of interaction Iron reduces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 milk. Avoid concomitant use of iron with dimercaprol. Oral iron antagonises hypotensive effect of methyldopa . 4.6. Fertility, pregnancy and lactation Pregnancy Ferrous fumarate tablets can be u</x:v>
      </x:c>
      <x:c r="J505" s="37" t="str">
        <x:v>https://drug.fda.moph.go.th/media.php?id=810079316368039936&amp;name=SMPC_Ferrous fumarate_Tablets.pdf</x:v>
      </x:c>
    </x:row>
    <x:row r="506">
      <x:c r="A506" s="31" t="str">
        <x:v>ferrous</x:v>
      </x:c>
      <x:c r="B506" s="31" t="str">
        <x:v>methyldopa</x:v>
      </x:c>
      <x:c r="C506" s="31" t="str">
        <x:v>unclassified</x:v>
      </x:c>
      <x:c r="D506" s="31" t="str">
        <x:v>review</x:v>
      </x:c>
      <x:c r="E506" s="31" t="str">
        <x:v>r0143_smpc</x:v>
      </x:c>
      <x:c r="F506" s="31" t="str">
        <x:v>SMPC</x:v>
      </x:c>
      <x:c r="G506" s="31" t="n">
        <x:v>4</x:v>
      </x:c>
      <x:c r="H506" s="31" t="str">
        <x:v>methyldopa</x:v>
      </x:c>
      <x:c r="I506" s="37" t="str">
        <x:v>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 milk. Avoid concomitant use of iron with dimercaprol. Oral iron antagonises hypotensive effect of methyldopa . 4.6. Fertility, pregnancy and lactation Pregnancy Ferrous fumarate tablets can be used during pregnancy if clinically indicated. Breast-feeding No adverse effects of ferrous fumarate have been shown in breastfed infants of treated mothers. Ferrous fumarate tablets can be used during breast-feeding if clinically indicated. Fertility No data available.</x:v>
      </x:c>
      <x:c r="J506" s="37" t="str">
        <x:v>https://drug.fda.moph.go.th/media.php?id=810079316368039936&amp;name=SMPC_Ferrous fumarate_Tablets.pdf</x:v>
      </x:c>
    </x:row>
    <x:row r="507">
      <x:c r="A507" s="31" t="str">
        <x:v>ferrous</x:v>
      </x:c>
      <x:c r="B507" s="31" t="str">
        <x:v>methyldopa</x:v>
      </x:c>
      <x:c r="C507" s="31" t="str">
        <x:v>unclassified</x:v>
      </x:c>
      <x:c r="D507" s="31" t="str">
        <x:v>review</x:v>
      </x:c>
      <x:c r="E507" s="31" t="str">
        <x:v>r0144_smpc</x:v>
      </x:c>
      <x:c r="F507" s="31" t="str">
        <x:v>SMPC</x:v>
      </x:c>
      <x:c r="G507" s="31" t="n">
        <x:v>4</x:v>
      </x:c>
      <x:c r="H507" s="31" t="str">
        <x:v>methyldopa</x:v>
      </x:c>
      <x:c r="I507" s="37" t="str">
        <x:v>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 milk. Avoid concomitant use of iron with dimercaprol. Oral iron antagonises hypotensive effect of methyldopa. 4.6. Fertility, pregnancy and lactation Pregnancy Ferrous fumarate can be used during pregnancy if clinically indicated . Breast-feeding No adverse effects of ferrous fumarate have been shown in breastfed infants of treated mothers. Ferrous fumarate tablets can be used during breast-feeding if clinically indicated.</x:v>
      </x:c>
      <x:c r="J507" s="37" t="str">
        <x:v>https://drug.fda.moph.go.th/media.php?id=810079681742249984&amp;name=SMPC_Ferrous fumarate_ syrup.pdf</x:v>
      </x:c>
    </x:row>
    <x:row r="508">
      <x:c r="A508" s="31" t="str">
        <x:v>ferrous</x:v>
      </x:c>
      <x:c r="B508" s="31" t="str">
        <x:v>methyldopa</x:v>
      </x:c>
      <x:c r="C508" s="31" t="str">
        <x:v>unclassified</x:v>
      </x:c>
      <x:c r="D508" s="31" t="str">
        <x:v>review</x:v>
      </x:c>
      <x:c r="E508" s="31" t="str">
        <x:v>r0145_smpc</x:v>
      </x:c>
      <x:c r="F508" s="31" t="str">
        <x:v>SMPC</x:v>
      </x:c>
      <x:c r="G508" s="31" t="n">
        <x:v>5</x:v>
      </x:c>
      <x:c r="H508" s="31" t="str">
        <x:v>methyldopa</x:v>
      </x:c>
      <x:c r="I508" s="37" t="str">
        <x:v>Cholestyramine: Absorption of iron is impaired by cholestyramine. Dimercaprol: Concomitant administration of oral iron preparations and dimercaprol should be avoided. Dopaminergics: Oral iron preparations may reduce the absorption of dopaminergics such as co-careldopa, entacapone and levodopa. Food products: Absorption of iron is impaired by tea, eggs or milk. Absorption of iron salts is enhanced by ascorbic acid and meat. Methyldopa: Oral iron preparations may antagonise the antihypertensive effect of methyldopa. Mycophenolate mofetil: Oral iron preparations significantly reduce the absorption of mycophenolate mofetil.</x:v>
      </x:c>
      <x:c r="J508" s="37" t="str">
        <x:v>https://drug.fda.moph.go.th/media.php?id=810081060158316544&amp;name=SMPC_Ferrous sulfate_film-coated tablets.pdf</x:v>
      </x:c>
    </x:row>
    <x:row r="509">
      <x:c r="A509" s="31" t="str">
        <x:v>ferrous</x:v>
      </x:c>
      <x:c r="B509" s="31" t="str">
        <x:v>norfloxacin</x:v>
      </x:c>
      <x:c r="C509" s="31" t="str">
        <x:v>unclassified</x:v>
      </x:c>
      <x:c r="D509" s="31" t="str">
        <x:v>review</x:v>
      </x:c>
      <x:c r="E509" s="31" t="str">
        <x:v>r0143_smpc</x:v>
      </x:c>
      <x:c r="F509" s="31" t="str">
        <x:v>SMPC</x:v>
      </x:c>
      <x:c r="G509" s="31" t="n">
        <x:v>4</x:v>
      </x:c>
      <x:c r="H509" s="31" t="str">
        <x:v>norfloxacin</x:v>
      </x:c>
      <x:c r="I509" s="37" t="str">
        <x:v>1 Ref: Fersamal, MHRA, date 05/09/2023 4 4.5. Interaction with other medicinal products and other forms of interaction Iron reduces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x:v>
      </x:c>
      <x:c r="J509" s="37" t="str">
        <x:v>https://drug.fda.moph.go.th/media.php?id=810079316368039936&amp;name=SMPC_Ferrous fumarate_Tablets.pdf</x:v>
      </x:c>
    </x:row>
    <x:row r="510">
      <x:c r="A510" s="31" t="str">
        <x:v>ferrous</x:v>
      </x:c>
      <x:c r="B510" s="31" t="str">
        <x:v>norfloxacin</x:v>
      </x:c>
      <x:c r="C510" s="31" t="str">
        <x:v>unclassified</x:v>
      </x:c>
      <x:c r="D510" s="31" t="str">
        <x:v>review</x:v>
      </x:c>
      <x:c r="E510" s="31" t="str">
        <x:v>r0144_smpc</x:v>
      </x:c>
      <x:c r="F510" s="31" t="str">
        <x:v>SMPC</x:v>
      </x:c>
      <x:c r="G510" s="31" t="n">
        <x:v>4</x:v>
      </x:c>
      <x:c r="H510" s="31" t="str">
        <x:v>norfloxacin</x:v>
      </x:c>
      <x:c r="I510" s="37" t="str">
        <x:v>rate syrup contains sugar, care must be exercised when using in patients with diabetes mellitus. Ferrous fumarate Syrup contains: &lt;Regarding the approval&gt; 4.5. Interaction with other medicinal products and other forms of interaction Iron reduces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x:v>
      </x:c>
      <x:c r="J510" s="37" t="str">
        <x:v>https://drug.fda.moph.go.th/media.php?id=810079681742249984&amp;name=SMPC_Ferrous fumarate_ syrup.pdf</x:v>
      </x:c>
    </x:row>
    <x:row r="511">
      <x:c r="A511" s="31" t="str">
        <x:v>ferrous</x:v>
      </x:c>
      <x:c r="B511" s="31" t="str">
        <x:v>norfloxacin</x:v>
      </x:c>
      <x:c r="C511" s="31" t="str">
        <x:v>unclassified</x:v>
      </x:c>
      <x:c r="D511" s="31" t="str">
        <x:v>review</x:v>
      </x:c>
      <x:c r="E511" s="31" t="str">
        <x:v>r0145_smpc</x:v>
      </x:c>
      <x:c r="F511" s="31" t="str">
        <x:v>SMPC</x:v>
      </x:c>
      <x:c r="G511" s="31" t="n">
        <x:v>4</x:v>
      </x:c>
      <x:c r="H511" s="31" t="str">
        <x:v>norfloxacin</x:v>
      </x:c>
      <x:c r="I511" s="37" t="str">
        <x:v>fatal’. This will appear on the front of the pack within a rectangle in which there is no other information. 4.5. Interaction with other medicinal products and other forms of interaction Antibacterials: Iron and tetracyclines reduce the absorption of each other when administered concomitantly. Administration of iron preparations and tetracyclines should be separated by 2 to 3 hours. The absorption of ciprofloxacin, levofloxacin, norfloxacin and ofloxacin may be reduced by oral iron.</x:v>
      </x:c>
      <x:c r="J511" s="37" t="str">
        <x:v>https://drug.fda.moph.go.th/media.php?id=810081060158316544&amp;name=SMPC_Ferrous sulfate_film-coated tablets.pdf</x:v>
      </x:c>
    </x:row>
    <x:row r="512">
      <x:c r="A512" s="31" t="str">
        <x:v>ferrous</x:v>
      </x:c>
      <x:c r="B512" s="31" t="str">
        <x:v>ofloxacin</x:v>
      </x:c>
      <x:c r="C512" s="31" t="str">
        <x:v>unclassified</x:v>
      </x:c>
      <x:c r="D512" s="31" t="str">
        <x:v>review</x:v>
      </x:c>
      <x:c r="E512" s="31" t="str">
        <x:v>r0143_smpc</x:v>
      </x:c>
      <x:c r="F512" s="31" t="str">
        <x:v>SMPC</x:v>
      </x:c>
      <x:c r="G512" s="31" t="n">
        <x:v>4</x:v>
      </x:c>
      <x:c r="H512" s="31" t="str">
        <x:v>ofloxacin</x:v>
      </x:c>
      <x:c r="I512" s="37" t="str">
        <x:v>1 Ref: Fersamal, MHRA, date 05/09/2023 4 4.5. Interaction with other medicinal products and other forms of interaction Iron reduces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x:v>
      </x:c>
      <x:c r="J512" s="37" t="str">
        <x:v>https://drug.fda.moph.go.th/media.php?id=810079316368039936&amp;name=SMPC_Ferrous fumarate_Tablets.pdf</x:v>
      </x:c>
    </x:row>
    <x:row r="513">
      <x:c r="A513" s="31" t="str">
        <x:v>ferrous</x:v>
      </x:c>
      <x:c r="B513" s="31" t="str">
        <x:v>ofloxacin</x:v>
      </x:c>
      <x:c r="C513" s="31" t="str">
        <x:v>unclassified</x:v>
      </x:c>
      <x:c r="D513" s="31" t="str">
        <x:v>review</x:v>
      </x:c>
      <x:c r="E513" s="31" t="str">
        <x:v>r0144_smpc</x:v>
      </x:c>
      <x:c r="F513" s="31" t="str">
        <x:v>SMPC</x:v>
      </x:c>
      <x:c r="G513" s="31" t="n">
        <x:v>4</x:v>
      </x:c>
      <x:c r="H513" s="31" t="str">
        <x:v>ofloxacin</x:v>
      </x:c>
      <x:c r="I513" s="37" t="str">
        <x:v>ntains sugar, care must be exercised when using in patients with diabetes mellitus. Ferrous fumarate Syrup contains: &lt;Regarding the approval&gt; 4.5. Interaction with other medicinal products and other forms of interaction Iron reduces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x:v>
      </x:c>
      <x:c r="J513" s="37" t="str">
        <x:v>https://drug.fda.moph.go.th/media.php?id=810079681742249984&amp;name=SMPC_Ferrous fumarate_ syrup.pdf</x:v>
      </x:c>
    </x:row>
    <x:row r="514">
      <x:c r="A514" s="31" t="str">
        <x:v>ferrous</x:v>
      </x:c>
      <x:c r="B514" s="31" t="str">
        <x:v>ofloxacin</x:v>
      </x:c>
      <x:c r="C514" s="31" t="str">
        <x:v>unclassified</x:v>
      </x:c>
      <x:c r="D514" s="31" t="str">
        <x:v>review</x:v>
      </x:c>
      <x:c r="E514" s="31" t="str">
        <x:v>r0145_smpc</x:v>
      </x:c>
      <x:c r="F514" s="31" t="str">
        <x:v>SMPC</x:v>
      </x:c>
      <x:c r="G514" s="31" t="n">
        <x:v>4</x:v>
      </x:c>
      <x:c r="H514" s="31" t="str">
        <x:v>ofloxacin</x:v>
      </x:c>
      <x:c r="I514" s="37" t="str">
        <x:v>will appear on the front of the pack within a rectangle in which there is no other information. 4.5. Interaction with other medicinal products and other forms of interaction Antibacterials: Iron and tetracyclines reduce the absorption of each other when administered concomitantly. Administration of iron preparations and tetracyclines should be separated by 2 to 3 hours. The absorption of ciprofloxacin, levofloxacin, norfloxacin and ofloxacin may be reduced by oral iron.</x:v>
      </x:c>
      <x:c r="J514" s="37" t="str">
        <x:v>https://drug.fda.moph.go.th/media.php?id=810081060158316544&amp;name=SMPC_Ferrous sulfate_film-coated tablets.pdf</x:v>
      </x:c>
    </x:row>
    <x:row r="515">
      <x:c r="A515" s="31" t="str">
        <x:v>ferrous</x:v>
      </x:c>
      <x:c r="B515" s="31" t="str">
        <x:v>tetracycline</x:v>
      </x:c>
      <x:c r="C515" s="31" t="str">
        <x:v>unclassified</x:v>
      </x:c>
      <x:c r="D515" s="31" t="str">
        <x:v>review</x:v>
      </x:c>
      <x:c r="E515" s="31" t="str">
        <x:v>r0143_smpc</x:v>
      </x:c>
      <x:c r="F515" s="31" t="str">
        <x:v>SMPC</x:v>
      </x:c>
      <x:c r="G515" s="31" t="n">
        <x:v>4</x:v>
      </x:c>
      <x:c r="H515" s="31" t="str">
        <x:v>tetracycline</x:v>
      </x:c>
      <x:c r="I515" s="37" t="str">
        <x:v>1 Ref: Fersamal, MHRA, date 05/09/2023 4 4.5. Interaction with other medicinal products and other forms of interaction Iron reduces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 milk. Avoid concomitant use of iron with dimercaprol. Oral iron antagonises hypotensive effect of</x:v>
      </x:c>
      <x:c r="J515" s="37" t="str">
        <x:v>https://drug.fda.moph.go.th/media.php?id=810079316368039936&amp;name=SMPC_Ferrous fumarate_Tablets.pdf</x:v>
      </x:c>
    </x:row>
    <x:row r="516">
      <x:c r="A516" s="31" t="str">
        <x:v>ferrous</x:v>
      </x:c>
      <x:c r="B516" s="31" t="str">
        <x:v>tetracycline</x:v>
      </x:c>
      <x:c r="C516" s="31" t="str">
        <x:v>unclassified</x:v>
      </x:c>
      <x:c r="D516" s="31" t="str">
        <x:v>review</x:v>
      </x:c>
      <x:c r="E516" s="31" t="str">
        <x:v>r0144_smpc</x:v>
      </x:c>
      <x:c r="F516" s="31" t="str">
        <x:v>SMPC</x:v>
      </x:c>
      <x:c r="G516" s="31" t="n">
        <x:v>4</x:v>
      </x:c>
      <x:c r="H516" s="31" t="str">
        <x:v>tetracycline</x:v>
      </x:c>
      <x:c r="I516" s="37" t="str">
        <x:v>Syrup contains: &lt;Regarding the approval&gt; 4.5. Interaction with other medicinal products and other forms of interaction Iron reduces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 milk. Avoid concomitant use of iron with dimercaprol. Oral iron antagonises hypotensive effect of met</x:v>
      </x:c>
      <x:c r="J516" s="37" t="str">
        <x:v>https://drug.fda.moph.go.th/media.php?id=810079681742249984&amp;name=SMPC_Ferrous fumarate_ syrup.pdf</x:v>
      </x:c>
    </x:row>
    <x:row r="517">
      <x:c r="A517" s="31" t="str">
        <x:v>ferrous</x:v>
      </x:c>
      <x:c r="B517" s="31" t="str">
        <x:v>zinc</x:v>
      </x:c>
      <x:c r="C517" s="31" t="str">
        <x:v>unclassified</x:v>
      </x:c>
      <x:c r="D517" s="31" t="str">
        <x:v>review</x:v>
      </x:c>
      <x:c r="E517" s="31" t="str">
        <x:v>r0143_smpc</x:v>
      </x:c>
      <x:c r="F517" s="31" t="str">
        <x:v>SMPC</x:v>
      </x:c>
      <x:c r="G517" s="31" t="n">
        <x:v>4</x:v>
      </x:c>
      <x:c r="H517" s="31" t="str">
        <x:v>zinc</x:v>
      </x:c>
      <x:c r="I517" s="37" t="str">
        <x:v>1 Ref: Fersamal, MHRA, date 05/09/2023 4 4.5. Interaction with other medicinal products and other forms of interaction Iron reduces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 m</x:v>
      </x:c>
      <x:c r="J517" s="37" t="str">
        <x:v>https://drug.fda.moph.go.th/media.php?id=810079316368039936&amp;name=SMPC_Ferrous fumarate_Tablets.pdf</x:v>
      </x:c>
    </x:row>
    <x:row r="518">
      <x:c r="A518" s="31" t="str">
        <x:v>ferrous</x:v>
      </x:c>
      <x:c r="B518" s="31" t="str">
        <x:v>zinc</x:v>
      </x:c>
      <x:c r="C518" s="31" t="str">
        <x:v>unclassified</x:v>
      </x:c>
      <x:c r="D518" s="31" t="str">
        <x:v>review</x:v>
      </x:c>
      <x:c r="E518" s="31" t="str">
        <x:v>r0144_smpc</x:v>
      </x:c>
      <x:c r="F518" s="31" t="str">
        <x:v>SMPC</x:v>
      </x:c>
      <x:c r="G518" s="31" t="n">
        <x:v>4</x:v>
      </x:c>
      <x:c r="H518" s="31" t="str">
        <x:v>zinc</x:v>
      </x:c>
      <x:c r="I518" s="37" t="str">
        <x:v>r, care must be exercised when using in patients with diabetes mellitus. Ferrous fumarate Syrup contains: &lt;Regarding the approval&gt; 4.5. Interaction with other medicinal products and other forms of interaction Iron reduces the absorption of penicillamine, bisphosphonates, ciprofloxacin, entacapone, levodopa, levofloxacin, levothyroxine (thyroxine) (give at least 2 hours apart), moxifloxacin, mycophenolate, norfloxacin, ofloxacin, zinc. Absorption of both iron and antibiotic may be reduced if ferrous fumarate is given with tetracycline. Absorption of oral iron is reduced by calcium salts, magnesium salts (as magnesium trisilicate), trientine. Chloramphenicol delays plasma iron clearance, incorporation of iron into red blood cells and interferes with erythropoiesis. Some inhibition of iron absorption may occur if it is taken with cholestyramine, tea, eggs or milk.</x:v>
      </x:c>
      <x:c r="J518" s="37" t="str">
        <x:v>https://drug.fda.moph.go.th/media.php?id=810079681742249984&amp;name=SMPC_Ferrous fumarate_ syrup.pdf</x:v>
      </x:c>
    </x:row>
    <x:row r="519">
      <x:c r="A519" s="31" t="str">
        <x:v>fluorouracil</x:v>
      </x:c>
      <x:c r="B519" s="31" t="str">
        <x:v>methotrexate</x:v>
      </x:c>
      <x:c r="C519" s="31" t="str">
        <x:v>unclassified</x:v>
      </x:c>
      <x:c r="D519" s="31" t="str">
        <x:v>review</x:v>
      </x:c>
      <x:c r="E519" s="31" t="str">
        <x:v>r0148_smpc</x:v>
      </x:c>
      <x:c r="F519" s="31" t="str">
        <x:v>SMPC</x:v>
      </x:c>
      <x:c r="G519" s="31" t="n">
        <x:v>13</x:v>
      </x:c>
      <x:c r="H519" s="31" t="str">
        <x:v>methotrexate</x:v>
      </x:c>
      <x:c r="I519" s="37" t="str">
        <x:v>1 Ref: Fluorouracil, MHRA, 25/01/2024 13 Various agents have been reported to biochemically modulate the anti - tumour efficacy or toxicity of Fluorouracil. Common drugs include methotrexate, metronidazole, folinic acid interferon alfa and allopurinol. Calcium folinate (Folinic acid) Folinic acid enhances the binding of fluorouracil to thymidylate synthase. Both the efficacy and toxicity of 5 -fluorouracil may be increased when 5-fluorouracil is used in combination with folinic acid. Side effects may be more pronounced and severe diarrh oea may occur. Life-threatening diarrhoeas have been observed if 600 mg/m2 of fluorouracil</x:v>
      </x:c>
      <x:c r="J519" s="37" t="str">
        <x:v>https://drug.fda.moph.go.th/media.php?id=810172919505362944&amp;name=SMPC_Fluorouracil_Solution for Injection or Infusion.pdf</x:v>
      </x:c>
    </x:row>
    <x:row r="520">
      <x:c r="A520" s="31" t="str">
        <x:v>fluorouracil</x:v>
      </x:c>
      <x:c r="B520" s="31" t="str">
        <x:v>methotrexate</x:v>
      </x:c>
      <x:c r="C520" s="31" t="str">
        <x:v>unclassified</x:v>
      </x:c>
      <x:c r="D520" s="31" t="str">
        <x:v>review</x:v>
      </x:c>
      <x:c r="E520" s="31" t="str">
        <x:v>r0148_smpc</x:v>
      </x:c>
      <x:c r="F520" s="31" t="str">
        <x:v>SMPC</x:v>
      </x:c>
      <x:c r="G520" s="31" t="n">
        <x:v>23</x:v>
      </x:c>
      <x:c r="H520" s="31" t="str">
        <x:v>methotrexate</x:v>
      </x:c>
      <x:c r="I520" s="37" t="str">
        <x:v>fluorouracil on peri and postnatal development have not been studied in animals. Howeve r, in rats’ fluorouracil has been found to cross the placental barrier and to cause foetal mortality. 6. PHARMACEUTICAL PARTICULARS 6.1. List of excipients &lt;REGARDING THE APPROVAL&gt; 6.2. Incompatibilities Fluorouracil is incompatible with folinic acid, Carboplatin, Cisplatin, Cytarabine, Diazepam, Doxorubicin, Droperidol, Filgrastim, Gallium nitrate, Methotrexate, Metoclopramide, Morphine, Ondansetrone, parenteral nutrition, Vinorelbin, other Anthracyclines. Formulated solutions are alkaline and it is recommended that admixture with acidic drugs or preparations should be avoided. In the absence of compatibility studies, this medicinal product must not be mixed with other medicinal products. 6.3. Shelf life &lt;REGARDING THE APPROVAL&gt; 6.4. Special precautions for storage &lt;REGARDING THE APPROVAL&gt; 6.</x:v>
      </x:c>
      <x:c r="J520" s="37" t="str">
        <x:v>https://drug.fda.moph.go.th/media.php?id=810172919505362944&amp;name=SMPC_Fluorouracil_Solution for Injection or Infusion.pdf</x:v>
      </x:c>
    </x:row>
    <x:row r="521">
      <x:c r="A521" s="31" t="str">
        <x:v>fluorouracil</x:v>
      </x:c>
      <x:c r="B521" s="31" t="str">
        <x:v>metoclopramide</x:v>
      </x:c>
      <x:c r="C521" s="31" t="str">
        <x:v>unclassified</x:v>
      </x:c>
      <x:c r="D521" s="31" t="str">
        <x:v>review</x:v>
      </x:c>
      <x:c r="E521" s="31" t="str">
        <x:v>r0148_smpc</x:v>
      </x:c>
      <x:c r="F521" s="31" t="str">
        <x:v>SMPC</x:v>
      </x:c>
      <x:c r="G521" s="31" t="n">
        <x:v>23</x:v>
      </x:c>
      <x:c r="H521" s="31" t="str">
        <x:v>metoclopramide</x:v>
      </x:c>
      <x:c r="I521" s="37" t="str">
        <x:v>on peri and postnatal development have not been studied in animals. Howeve r, in rats’ fluorouracil has been found to cross the placental barrier and to cause foetal mortality. 6. PHARMACEUTICAL PARTICULARS 6.1. List of excipients &lt;REGARDING THE APPROVAL&gt; 6.2. Incompatibilities Fluorouracil is incompatible with folinic acid, Carboplatin, Cisplatin, Cytarabine, Diazepam, Doxorubicin, Droperidol, Filgrastim, Gallium nitrate, Methotrexate, Metoclopramide, Morphine, Ondansetrone, parenteral nutrition, Vinorelbin, other Anthracyclines. Formulated solutions are alkaline and it is recommended that admixture with acidic drugs or preparations should be avoided. In the absence of compatibility studies, this medicinal product must not be mixed with other medicinal products. 6.3. Shelf life &lt;REGARDING THE APPROVAL&gt; 6.4. Special precautions for storage &lt;REGARDING THE APPROVAL&gt; 6.5. Nature and co</x:v>
      </x:c>
      <x:c r="J521" s="37" t="str">
        <x:v>https://drug.fda.moph.go.th/media.php?id=810172919505362944&amp;name=SMPC_Fluorouracil_Solution for Injection or Infusion.pdf</x:v>
      </x:c>
    </x:row>
    <x:row r="522">
      <x:c r="A522" s="31" t="str">
        <x:v>fluorouracil</x:v>
      </x:c>
      <x:c r="B522" s="31" t="str">
        <x:v>metronidazole</x:v>
      </x:c>
      <x:c r="C522" s="31" t="str">
        <x:v>unclassified</x:v>
      </x:c>
      <x:c r="D522" s="31" t="str">
        <x:v>review</x:v>
      </x:c>
      <x:c r="E522" s="31" t="str">
        <x:v>r0148_smpc</x:v>
      </x:c>
      <x:c r="F522" s="31" t="str">
        <x:v>SMPC</x:v>
      </x:c>
      <x:c r="G522" s="31" t="n">
        <x:v>13</x:v>
      </x:c>
      <x:c r="H522" s="31" t="str">
        <x:v>metronidazole</x:v>
      </x:c>
      <x:c r="I522" s="37" t="str">
        <x:v>1 Ref: Fluorouracil, MHRA, 25/01/2024 13 Various agents have been reported to biochemically modulate the anti - tumour efficacy or toxicity of Fluorouracil. Common drugs include methotrexate, metronidazole, folinic acid interferon alfa and allopurinol. Calcium folinate (Folinic acid) Folinic acid enhances the binding of fluorouracil to thymidylate synthase. Both the efficacy and toxicity of 5 -fluorouracil may be increased when 5-fluorouracil is used in combination with folinic acid. Side effects may be more pronounced and severe diarrh oea may occur. Life-threatening diarrhoeas have been observed if 600 mg/m2 of fluorouracil (i.v. bolus on</x:v>
      </x:c>
      <x:c r="J522" s="37" t="str">
        <x:v>https://drug.fda.moph.go.th/media.php?id=810172919505362944&amp;name=SMPC_Fluorouracil_Solution for Injection or Infusion.pdf</x:v>
      </x:c>
    </x:row>
    <x:row r="523">
      <x:c r="A523" s="31" t="str">
        <x:v>fluorouracil</x:v>
      </x:c>
      <x:c r="B523" s="31" t="str">
        <x:v>metronidazole</x:v>
      </x:c>
      <x:c r="C523" s="31" t="str">
        <x:v>unclassified</x:v>
      </x:c>
      <x:c r="D523" s="31" t="str">
        <x:v>review</x:v>
      </x:c>
      <x:c r="E523" s="31" t="str">
        <x:v>r0239_smpc</x:v>
      </x:c>
      <x:c r="F523" s="31" t="str">
        <x:v>SMPC</x:v>
      </x:c>
      <x:c r="G523" s="31" t="n">
        <x:v>7</x:v>
      </x:c>
      <x:c r="H523" s="31" t="str">
        <x:v>fluorouracil</x:v>
      </x:c>
      <x:c r="I523" s="37" t="str">
        <x:v>onidazole. Lithium treatment should be tapered or withdrawn before administering metronidazole. Plasma concentrat ions of lithium, creatinine and electrolytes should be monitored in patients under treatment with lithium while they receive metronidazole. Phenytoin or phenobarbital : Patients receiving phenobarbital or phenytoin metabolise metronidazole at a much greater rate than normally, reducing the half-life to approximately 3 hours. 5-fluorouracil: Metronidazole reduces the clearance of 5 -fluorouracil and can therefore result in increased toxicity of 5-fluorouracil.</x:v>
      </x:c>
      <x:c r="J523" s="37" t="str">
        <x:v>https://drug.fda.moph.go.th/media.php?id=810416555195244544&amp;name=SMPC_Metronidazole_Tablets.pdf</x:v>
      </x:c>
    </x:row>
    <x:row r="524">
      <x:c r="A524" s="31" t="str">
        <x:v>fluorouracil</x:v>
      </x:c>
      <x:c r="B524" s="31" t="str">
        <x:v>thiamine</x:v>
      </x:c>
      <x:c r="C524" s="31" t="str">
        <x:v>unclassified</x:v>
      </x:c>
      <x:c r="D524" s="31" t="str">
        <x:v>review</x:v>
      </x:c>
      <x:c r="E524" s="31" t="str">
        <x:v>r0340_smpc</x:v>
      </x:c>
      <x:c r="F524" s="31" t="str">
        <x:v>SMPC</x:v>
      </x:c>
      <x:c r="G524" s="31" t="n">
        <x:v>2</x:v>
      </x:c>
      <x:c r="H524" s="31" t="str">
        <x:v>fluorouracil</x:v>
      </x:c>
      <x:c r="I524" s="37" t="str">
        <x:v>nistration. 4.3. Contraindications Hypersensitivity to the active substance or to any of the excipients listed in section 6.1 4.4. Special warnings and precautions for use Sodium This medicine contains less than 1 mmol sodium (23mg) per tablet, that is to say essentially ‘sodium-free’. &lt;REGARDING THE APPROVAL&gt; 4.5. Interaction with other medicinal products and other forms of interaction The thiamine antagonists thiosemicarbazone and 5 -fluorouracil can neutralise the effect of thiamine. Patients using any of these treatments may need their thiamine dose adjusted. Thiamine could give false positive results for urobilinogen determination by the Ehrlich's reaction. High doses of thiamine may interfere with spectrophotometric assays of theophylline plasma concentration. Furosemide may increase urinary loss of thiamine and prolonged use of furosemide therapy may induce thiamine deficien</x:v>
      </x:c>
      <x:c r="J524" s="37" t="str">
        <x:v>https://drug.fda.moph.go.th/media.php?id=810477458427092992&amp;name=SMPC_Thiamine hydrochloride_Tablets.pdf</x:v>
      </x:c>
    </x:row>
    <x:row r="525">
      <x:c r="A525" s="31" t="str">
        <x:v>fluorouracil</x:v>
      </x:c>
      <x:c r="B525" s="31" t="str">
        <x:v>thiamine</x:v>
      </x:c>
      <x:c r="C525" s="31" t="str">
        <x:v>unclassified</x:v>
      </x:c>
      <x:c r="D525" s="31" t="str">
        <x:v>review</x:v>
      </x:c>
      <x:c r="E525" s="31" t="str">
        <x:v>r0341_smpc</x:v>
      </x:c>
      <x:c r="F525" s="31" t="str">
        <x:v>SMPC</x:v>
      </x:c>
      <x:c r="G525" s="31" t="n">
        <x:v>5</x:v>
      </x:c>
      <x:c r="H525" s="31" t="str">
        <x:v>fluorouracil</x:v>
      </x:c>
      <x:c r="I525" s="37" t="str">
        <x:v>false positive results for urobilinogen determination by the Ehrlich's reaction (urine test) and for uric acid determination by the phosphotungstene method. High doses of thiamine may interfere with Schack and Waxler spectrophotometric as says of theophylline plasma concentration. 4.5. Interaction with other medicinal products and other forms of interaction Medicines that may decrease the effect of thiamine • The thiamine antagonists: 5 -fluorouracil, other fluoropyrimidines (e.g. capecitabine) and ifosfamide. • Diuretics, e.g. furosemide that may increase urinary thiamine excretion. Thiamine deficiency can occur with the chronic use of these medicines. Consider high-dose thiamine supplementation during the treatment with these medicines. . 4.6. Fertility, pregnancy and lactation Pregnancy</x:v>
      </x:c>
      <x:c r="J525" s="37" t="str">
        <x:v>https://drug.fda.moph.go.th/media.php?id=810478221882695680&amp;name=SMPC_Thiamine hydrochloride_Solution for Injection.pdf</x:v>
      </x:c>
    </x:row>
    <x:row r="526">
      <x:c r="A526" s="31" t="str">
        <x:v>fluoxetine</x:v>
      </x:c>
      <x:c r="B526" s="31" t="str">
        <x:v>haloperidol</x:v>
      </x:c>
      <x:c r="C526" s="31" t="str">
        <x:v>unclassified</x:v>
      </x:c>
      <x:c r="D526" s="31" t="str">
        <x:v>review</x:v>
      </x:c>
      <x:c r="E526" s="31" t="str">
        <x:v>r0149_smpc</x:v>
      </x:c>
      <x:c r="F526" s="31" t="str">
        <x:v>SMPC</x:v>
      </x:c>
      <x:c r="G526" s="31" t="n">
        <x:v>13</x:v>
      </x:c>
      <x:c r="H526" s="31" t="str">
        <x:v>haloperidol</x:v>
      </x:c>
      <x:c r="I526" s="37" t="str">
        <x:v>1 Ref: Fluoxetine, MHRA, 21/06/2023 13 fluoxetine and these medicinal products cannot be excluded. Therefore, co-administration of fluoxetine with medicinal products that prolong the QT interval, such as Class IA and III antiarrhythmics, antipsychotics (e.g. phenothiazine derivatives, pimozide, haloperidol), tricyclic antidepressants, certain antimicrobial agents (e.g.sparfloxacin, moxifloxacin, erythromycin IV, pentamidine), anti -malaria treatment particularly halofantrine, certain antihistamines (astemizole, mizolastine), should be used with caution (see section 4.4, 4.8 and 4.9) Drugs affecting haemostasis (oral anticoagulants, whatever their mechanism, platelets antiaggregants including aspirin and NSAIDs): risk of increased bleeding.</x:v>
      </x:c>
      <x:c r="J526" s="37" t="str">
        <x:v>https://drug.fda.moph.go.th/media.php?id=810173242932338688&amp;name=SMPC_Fluoxetine_Capsules.pdf</x:v>
      </x:c>
    </x:row>
    <x:row r="527">
      <x:c r="A527" s="31" t="str">
        <x:v>fluoxetine</x:v>
      </x:c>
      <x:c r="B527" s="31" t="str">
        <x:v>haloperidol</x:v>
      </x:c>
      <x:c r="C527" s="31" t="str">
        <x:v>unclassified</x:v>
      </x:c>
      <x:c r="D527" s="31" t="str">
        <x:v>review</x:v>
      </x:c>
      <x:c r="E527" s="31" t="str">
        <x:v>r0172_smpc</x:v>
      </x:c>
      <x:c r="F527" s="31" t="str">
        <x:v>SMPC</x:v>
      </x:c>
      <x:c r="G527" s="31" t="n">
        <x:v>14</x:v>
      </x:c>
      <x:c r="H527" s="31" t="str">
        <x:v>fluoxetine</x:v>
      </x:c>
      <x:c r="I527" s="37" t="str">
        <x:v>edicinal products that may increase haloperidol plasma concentrations (based on clinical experience or drug interaction mechanism) include: • CYP3A4 inhibitors – alprazolam, fluvoxamine, indinavir, itraconazole, ketoconazole, nefazodone, posaconazole, saquinavir, verapamil, voriconazole. • CYP2D6 inhibitors – bupropion, chlorpromazine, duloxetine, paroxetine, promethazine, sertraline, venlafaxine. • Combined CYP3A4 and CYP2D6 inhibitors: fluoxetine, ritonavir. • Uncertain mechanism – buspirone. This list is not exhaustive. Increased haloperidol plasma concentrations may result in an increased risk of adverse events, including QTc -prolongation (see section 4.4). Increases in QTc have been observed when haloperidol was given with a combination of the metabolic inhibitors ketoc onazole (400 mg/day) and paroxetine (20 mg/day). It is recommended that patients who take haloperidol conco</x:v>
      </x:c>
      <x:c r="J527" s="37" t="str">
        <x:v>https://drug.fda.moph.go.th/media.php?id=808571302360260608&amp;name=SmPC - Haloperidol ORAL SOLUTION.pdf</x:v>
      </x:c>
    </x:row>
    <x:row r="528">
      <x:c r="A528" s="31" t="str">
        <x:v>fluoxetine</x:v>
      </x:c>
      <x:c r="B528" s="31" t="str">
        <x:v>lithium</x:v>
      </x:c>
      <x:c r="C528" s="31" t="str">
        <x:v>unclassified</x:v>
      </x:c>
      <x:c r="D528" s="31" t="str">
        <x:v>review</x:v>
      </x:c>
      <x:c r="E528" s="31" t="str">
        <x:v>r0149_smpc</x:v>
      </x:c>
      <x:c r="F528" s="31" t="str">
        <x:v>SMPC</x:v>
      </x:c>
      <x:c r="G528" s="31" t="n">
        <x:v>12</x:v>
      </x:c>
      <x:c r="H528" s="31" t="str">
        <x:v>lithium</x:v>
      </x:c>
      <x:c r="I528" s="37" t="str">
        <x:v>adverse events (such as QT prolongation) may be increased because of an inhibition of its metabolism by fluoxetine. Combinations requiring caution Phenytoin: Changes in blood levels have been observed when combined with fluoxetine. In some cases manifestations of toxicity have occurred. Consideration should be given to using conservative titration schedules of the concomitant drug and to monitoring clinical status. Serotoninergic drugs (lithium, tramadol, triptans, tryptophan, selegiline (MAOI- B), St. John’s Wort (Hypericum perforatum)): There have been reports of mild serotonin syndrome when SSRIs were given with drugs also having a serotoninergic effect. Therefore , the concomitant use of fluoxetine with these drugs should be undertaken with caution, with closer and more frequent clinical monitoring (see Section 4.4). QT interval prolongation: Pharmacokinetic and pharmacodynam</x:v>
      </x:c>
      <x:c r="J528" s="37" t="str">
        <x:v>https://drug.fda.moph.go.th/media.php?id=810173242932338688&amp;name=SMPC_Fluoxetine_Capsules.pdf</x:v>
      </x:c>
    </x:row>
    <x:row r="529">
      <x:c r="A529" s="31" t="str">
        <x:v>fluoxetine</x:v>
      </x:c>
      <x:c r="B529" s="31" t="str">
        <x:v>nimodipine</x:v>
      </x:c>
      <x:c r="C529" s="31" t="str">
        <x:v>unclassified</x:v>
      </x:c>
      <x:c r="D529" s="31" t="str">
        <x:v>review</x:v>
      </x:c>
      <x:c r="E529" s="31" t="str">
        <x:v>r0255_smpc</x:v>
      </x:c>
      <x:c r="F529" s="31" t="str">
        <x:v>SMPC</x:v>
      </x:c>
      <x:c r="G529" s="31" t="n">
        <x:v>4</x:v>
      </x:c>
      <x:c r="H529" s="31" t="str">
        <x:v>fluoxetine</x:v>
      </x:c>
      <x:c r="I529" s="37" t="str">
        <x:v>during intravenous treatment with Nimotop solution (see section 4.5). Nimodipine is metabolised via the cytochrome P450 3A4 system. Drugs which are known inhibitors of the cytochrome P450 3A4 system and, therefore, may lead to increased plasma concentrations of nimodipine are macrolide antibiotics (e.g. erythromycin), anti -HIV protease inhibitors (e.g. ritonavir), azole antimycotics (e.g. ketoconazole), the antidepressants nefazodone and fluoxetine, quinupristin/dalfopristin, cimetidine and valproic acid (see section 4.5). Upon co-administration with these drugs, the blood pressure should be monitored and, if necessary, a reduction in the nimodipine dose should be considered. Nimodipine solution contains ethanol &lt;REGARDING THE APPROVAL&gt; This medicinal product contains 23.7 vol % ethanol (alcohol), i.e. up to 50 g per daily dose (250 ml). This may be harmful for those suffering fro</x:v>
      </x:c>
      <x:c r="J529" s="37" t="str">
        <x:v>https://drug.fda.moph.go.th/media.php?id=810423093272125440&amp;name=SMPC_Nimodipine_Solution for Infusion.pdf</x:v>
      </x:c>
    </x:row>
    <x:row r="530">
      <x:c r="A530" s="31" t="str">
        <x:v>fluoxetine</x:v>
      </x:c>
      <x:c r="B530" s="31" t="str">
        <x:v>nimodipine</x:v>
      </x:c>
      <x:c r="C530" s="31" t="str">
        <x:v>unclassified</x:v>
      </x:c>
      <x:c r="D530" s="31" t="str">
        <x:v>review</x:v>
      </x:c>
      <x:c r="E530" s="31" t="str">
        <x:v>r0255_smpc</x:v>
      </x:c>
      <x:c r="F530" s="31" t="str">
        <x:v>SMPC</x:v>
      </x:c>
      <x:c r="G530" s="31" t="n">
        <x:v>5</x:v>
      </x:c>
      <x:c r="H530" s="31" t="str">
        <x:v>fluoxetine</x:v>
      </x:c>
      <x:c r="I530" s="37" t="str">
        <x:v>low or immature metabolic capacity Because this medicine is given slowly by continuous infusion, the effects of alcohol may be reduced. 4.5. Interaction with other medicinal products and other forms of interaction Nimodipine tablets should not be administered concomitantly with Nimodipine solution. Drugs that affect nimodipine Concurrent twice daily administration of 30mg nimodipine and daily administration of 20mg of the antidepressant fluoxetine to elderly patients resulted in about 50% higher nimodipine plasma levels, a marked reduction in fluoxetine levels, whilst its active metabolite norfluoxetine was not affected. Concurrent three times daily administration of 30mg nimodipine and three times daily administration of 10mg of the antidepressant nortriptyline to elderly patients resulted in a slight decrease in nimodipine plasma levels with no effect on nortriptyline plasma leve</x:v>
      </x:c>
      <x:c r="J530" s="37" t="str">
        <x:v>https://drug.fda.moph.go.th/media.php?id=810423093272125440&amp;name=SMPC_Nimodipine_Solution for Infusion.pdf</x:v>
      </x:c>
    </x:row>
    <x:row r="531">
      <x:c r="A531" s="31" t="str">
        <x:v>fluoxetine</x:v>
      </x:c>
      <x:c r="B531" s="31" t="str">
        <x:v>pimozide</x:v>
      </x:c>
      <x:c r="C531" s="31" t="str">
        <x:v>unclassified</x:v>
      </x:c>
      <x:c r="D531" s="31" t="str">
        <x:v>review</x:v>
      </x:c>
      <x:c r="E531" s="31" t="str">
        <x:v>r0149_smpc</x:v>
      </x:c>
      <x:c r="F531" s="31" t="str">
        <x:v>SMPC</x:v>
      </x:c>
      <x:c r="G531" s="31" t="n">
        <x:v>13</x:v>
      </x:c>
      <x:c r="H531" s="31" t="str">
        <x:v>pimozide</x:v>
      </x:c>
      <x:c r="I531" s="37" t="str">
        <x:v>1 Ref: Fluoxetine, MHRA, 21/06/2023 13 fluoxetine and these medicinal products cannot be excluded. Therefore, co-administration of fluoxetine with medicinal products that prolong the QT interval, such as Class IA and III antiarrhythmics, antipsychotics (e.g. phenothiazine derivatives, pimozide, haloperidol), tricyclic antidepressants, certain antimicrobial agents (e.g.sparfloxacin, moxifloxacin, erythromycin IV, pentamidine), anti -malaria treatment particularly halofantrine, certain antihistamines (astemizole, mizolastine), should be used with caution (see section 4.4, 4.8 and 4.9) Drugs affecting haemostasis (oral anticoagulants, whatever their mechanism, platelets antiaggregants including aspirin and NSAIDs): risk of increas</x:v>
      </x:c>
      <x:c r="J531" s="37" t="str">
        <x:v>https://drug.fda.moph.go.th/media.php?id=810173242932338688&amp;name=SMPC_Fluoxetine_Capsules.pdf</x:v>
      </x:c>
    </x:row>
    <x:row r="532">
      <x:c r="A532" s="31" t="str">
        <x:v>fluoxetine</x:v>
      </x:c>
      <x:c r="B532" s="31" t="str">
        <x:v>tamoxifen</x:v>
      </x:c>
      <x:c r="C532" s="31" t="str">
        <x:v>unclassified</x:v>
      </x:c>
      <x:c r="D532" s="31" t="str">
        <x:v>review</x:v>
      </x:c>
      <x:c r="E532" s="31" t="str">
        <x:v>r0149_smpc</x:v>
      </x:c>
      <x:c r="F532" s="31" t="str">
        <x:v>SMPC</x:v>
      </x:c>
      <x:c r="G532" s="31" t="n">
        <x:v>12</x:v>
      </x:c>
      <x:c r="H532" s="31" t="str">
        <x:v>tamoxifen</x:v>
      </x:c>
      <x:c r="I532" s="37" t="str">
        <x:v>1 Ref: Fluoxetine, MHRA, 21/06/2023 12 Tamoxifen: Pharmacokinetic interaction between CYP2D6 inhibitors and tamoxifen, showing a 65- 75% reduction in plasma levels of one of the more active forms of the tamoxifen, i.e. endoxifen, has been reported in the literature. Reduced efficacy of tamoxife n has been reported with concomitant usage of some SSRI antidepressants in some studies. As a reduced effect of tamoxifen cannot be excluded, co-administration with potent CYP2D6 inhibitors (inclu</x:v>
      </x:c>
      <x:c r="J532" s="37" t="str">
        <x:v>https://drug.fda.moph.go.th/media.php?id=810173242932338688&amp;name=SMPC_Fluoxetine_Capsules.pdf</x:v>
      </x:c>
    </x:row>
    <x:row r="533">
      <x:c r="A533" s="31" t="str">
        <x:v>fluoxetine</x:v>
      </x:c>
      <x:c r="B533" s="31" t="str">
        <x:v>tamoxifen</x:v>
      </x:c>
      <x:c r="C533" s="31" t="str">
        <x:v>unclassified</x:v>
      </x:c>
      <x:c r="D533" s="31" t="str">
        <x:v>review</x:v>
      </x:c>
      <x:c r="E533" s="31" t="str">
        <x:v>r0331_smpc</x:v>
      </x:c>
      <x:c r="F533" s="31" t="str">
        <x:v>SMPC</x:v>
      </x:c>
      <x:c r="G533" s="31" t="n">
        <x:v>6</x:v>
      </x:c>
      <x:c r="H533" s="31" t="str">
        <x:v>fluoxetine</x:v>
      </x:c>
      <x:c r="I533" s="37" t="str">
        <x:v>rties of tamoxifen, a causal relationship has not been established (see section 5.1). In the literature it has been shown that CYP2D6 poor metabolisers have a lowered plasma level of endoxifen, one of the most important active metabolites of tamoxifen (see section 5.2). Concomitant medications that inhibit CYP2D6 may lead to reduced concentrations of the active metabolite endoxifen. Therefore, potent inhibitors of CYP2D6 (e.g. paroxetine, fluoxetine, quinidine, cinacalcet or bupropion) should whenever possible be avoided during tamoxifen treatment (see sections 4.5 and 5.2). Radiation recall has been reported very rarely in patients on Tamoxifen who have received prior radiotherapy. The reaction is usually reversible upon temporary cessation of therapy and re -challenge may result in a milder reaction. Treatment with Tamoxifen was continued in most cases. Additional precautions rela</x:v>
      </x:c>
      <x:c r="J533" s="37" t="str">
        <x:v>https://drug.fda.moph.go.th/media.php?id=810464618991460352&amp;name=SMPC_Tamoxifen_Tablets.pdf</x:v>
      </x:c>
    </x:row>
    <x:row r="534">
      <x:c r="A534" s="31" t="str">
        <x:v>fluoxetine</x:v>
      </x:c>
      <x:c r="B534" s="31" t="str">
        <x:v>tamoxifen</x:v>
      </x:c>
      <x:c r="C534" s="31" t="str">
        <x:v>unclassified</x:v>
      </x:c>
      <x:c r="D534" s="31" t="str">
        <x:v>review</x:v>
      </x:c>
      <x:c r="E534" s="31" t="str">
        <x:v>r0331_smpc</x:v>
      </x:c>
      <x:c r="F534" s="31" t="str">
        <x:v>SMPC</x:v>
      </x:c>
      <x:c r="G534" s="31" t="n">
        <x:v>9</x:v>
      </x:c>
      <x:c r="H534" s="31" t="str">
        <x:v>fluoxetine</x:v>
      </x:c>
      <x:c r="I534" s="37" t="str">
        <x:v>cokinetic interaction with CYP2D6 inhibitors, showing a 65 - 75% reduction in plasma levels of one of the more active forms of the drug, i.e. endoxifen, has been reported in the literature. Reduced efficacy of tamoxifen has been reported with concomitant usage of some SSRI antidepressants (e.g. paroxetine) in some studies. As a reduced effect of tamoxifen cannot be excluded, co -administration with potent CYP2D6 inhibitors (e.g. paroxetine, fluoxetine, quinidine, cinacalcet or bupropion) should whenever possible be avoided (see sections 4.4 and 5.2). Primary prevention of breast cancer risk</x:v>
      </x:c>
      <x:c r="J534" s="37" t="str">
        <x:v>https://drug.fda.moph.go.th/media.php?id=810464618991460352&amp;name=SMPC_Tamoxifen_Tablets.pdf</x:v>
      </x:c>
    </x:row>
    <x:row r="535">
      <x:c r="A535" s="31" t="str">
        <x:v>fluoxetine</x:v>
      </x:c>
      <x:c r="B535" s="31" t="str">
        <x:v>timolol</x:v>
      </x:c>
      <x:c r="C535" s="31" t="str">
        <x:v>unclassified</x:v>
      </x:c>
      <x:c r="D535" s="31" t="str">
        <x:v>review</x:v>
      </x:c>
      <x:c r="E535" s="31" t="str">
        <x:v>r0345_smpc</x:v>
      </x:c>
      <x:c r="F535" s="31" t="str">
        <x:v>SMPC</x:v>
      </x:c>
      <x:c r="G535" s="31" t="n">
        <x:v>7</x:v>
      </x:c>
      <x:c r="H535" s="31" t="str">
        <x:v>fluoxetine</x:v>
      </x:c>
      <x:c r="I535" s="37" t="str">
        <x:v>darone), digitalis glycosides, rauwolfia alkaloids, parasympathomimetics, guanethidine. Although Timolol alone has little or no effect on pupil size, mydriasis resulting from concomitant use of ophthalmic beta -blockers and epinephrine (adrenaline) has been reported occasionally. Potentiated systemic beta -blockade (e.g., decreased heart rate, depression) has been reported during combined treatment with CYP2D6 inhibitors (e.g. quinidine, fluoxetine, paroxetine) and timolol. Oral beta -adrenergic blocking agents may exacerbate the rebound hypertension which can follow the withdrawal of clonidine.</x:v>
      </x:c>
      <x:c r="J535" s="37" t="str">
        <x:v>https://drug.fda.moph.go.th/media.php?id=810482237991690240&amp;name=SMPC_Timolol_Eye Drops Solution.pdf</x:v>
      </x:c>
    </x:row>
    <x:row r="536">
      <x:c r="A536" s="31" t="str">
        <x:v>fluoxetine</x:v>
      </x:c>
      <x:c r="B536" s="31" t="str">
        <x:v>tramadol</x:v>
      </x:c>
      <x:c r="C536" s="31" t="str">
        <x:v>unclassified</x:v>
      </x:c>
      <x:c r="D536" s="31" t="str">
        <x:v>review</x:v>
      </x:c>
      <x:c r="E536" s="31" t="str">
        <x:v>r0149_smpc</x:v>
      </x:c>
      <x:c r="F536" s="31" t="str">
        <x:v>SMPC</x:v>
      </x:c>
      <x:c r="G536" s="31" t="n">
        <x:v>12</x:v>
      </x:c>
      <x:c r="H536" s="31" t="str">
        <x:v>tramadol</x:v>
      </x:c>
      <x:c r="I536" s="37" t="str">
        <x:v>events (such as QT prolongation) may be increased because of an inhibition of its metabolism by fluoxetine. Combinations requiring caution Phenytoin: Changes in blood levels have been observed when combined with fluoxetine. In some cases manifestations of toxicity have occurred. Consideration should be given to using conservative titration schedules of the concomitant drug and to monitoring clinical status. Serotoninergic drugs (lithium, tramadol, triptans, tryptophan, selegiline (MAOI- B), St. John’s Wort (Hypericum perforatum)): There have been reports of mild serotonin syndrome when SSRIs were given with drugs also having a serotoninergic effect. Therefore , the concomitant use of fluoxetine with these drugs should be undertaken with caution, with closer and more frequent clinical monitoring (see Section 4.4). QT interval prolongation: Pharmacokinetic and pharmacodynamic studie</x:v>
      </x:c>
      <x:c r="J536" s="37" t="str">
        <x:v>https://drug.fda.moph.go.th/media.php?id=810173242932338688&amp;name=SMPC_Fluoxetine_Capsules.pdf</x:v>
      </x:c>
    </x:row>
    <x:row r="537">
      <x:c r="A537" s="31" t="str">
        <x:v>fluoxetine</x:v>
      </x:c>
      <x:c r="B537" s="31" t="str">
        <x:v>tramadol</x:v>
      </x:c>
      <x:c r="C537" s="31" t="str">
        <x:v>unclassified</x:v>
      </x:c>
      <x:c r="D537" s="31" t="str">
        <x:v>review</x:v>
      </x:c>
      <x:c r="E537" s="31" t="str">
        <x:v>r0149_smpc</x:v>
      </x:c>
      <x:c r="F537" s="31" t="str">
        <x:v>SMPC</x:v>
      </x:c>
      <x:c r="G537" s="31" t="n">
        <x:v>13</x:v>
      </x:c>
      <x:c r="H537" s="31" t="str">
        <x:v>tramadol</x:v>
      </x:c>
      <x:c r="I537" s="37" t="str">
        <x:v>ombination with other agents associated with hyponatremia (e.g. diuretics, desmopressin, carbamazepine and oxcarbazepine) may lead to an increased risk. (see section 4.8). Drugs lowering the epileptogenic threshold: Seizures are an undesirable effect of fluoxetine. Use in combination with other agents which may lower the seizure threshold (for example, TCAs, other SSRIs, phenothiazines, butyrophenones, mefloquine, chloroquin e, bupropion, tramadol) may lead to an increased risk. Other drugs metabolised by CYP2D6: Fluoxetine is a strong inhibitor of CYP2D6 enzyme, therefore concomitant therapy with drugs also metabolised by this enzyme system may lead to drug interactions, notably those having a narrow therapeutic index (such as fl ecainide, propafenone and nebivolol) and those that are titrated, but also with atomoxetine, carbamazepine, tricyclic antidepressants and risperidone. Th</x:v>
      </x:c>
      <x:c r="J537" s="37" t="str">
        <x:v>https://drug.fda.moph.go.th/media.php?id=810173242932338688&amp;name=SMPC_Fluoxetine_Capsules.pdf</x:v>
      </x:c>
    </x:row>
    <x:row r="538">
      <x:c r="A538" s="31" t="str">
        <x:v>fluoxetine</x:v>
      </x:c>
      <x:c r="B538" s="31" t="str">
        <x:v>trazodone</x:v>
      </x:c>
      <x:c r="C538" s="31" t="str">
        <x:v>unclassified</x:v>
      </x:c>
      <x:c r="D538" s="31" t="str">
        <x:v>review</x:v>
      </x:c>
      <x:c r="E538" s="31" t="str">
        <x:v>r0352_smpc</x:v>
      </x:c>
      <x:c r="F538" s="31" t="str">
        <x:v>SMPC</x:v>
      </x:c>
      <x:c r="G538" s="31" t="n">
        <x:v>11</x:v>
      </x:c>
      <x:c r="H538" s="31" t="str">
        <x:v>fluoxetine</x:v>
      </x:c>
      <x:c r="I538" s="37" t="str">
        <x:v>NERIC NAME&gt; therapy. &lt;GENERIC NAME&gt; has been well tolerated in depressed schizophrenic patients receiving standard phenothiazine therapy and also in depressed park insonian patients receiving therapy with levodopa. Antidepressants can accelerate the metabolism of levodopa. Tricyclic antidepressants: Concurrent administration should be avoided due to the risk of interaction. Serotonin syndrome and cardiovascular side effects are possible. Fluoxetine: Rare cases have been reported of elevated &lt;GENERIC NAME&gt; plasma levels and adverse effects when &lt;GENERIC NAME&gt; had been combined with fluoxetine, a CYP1A2/2D6 inhibitor. The mechanism underlying a pharmacokinetic interaction is not fully understood. A pharmacodynamic interaction (serotonin syndrome) could not be excluded.</x:v>
      </x:c>
      <x:c r="J538" s="37" t="str">
        <x:v>https://drug.fda.moph.go.th/media.php?id=810484413367459840&amp;name=SMPC_Trazodone_Tablets.pdf</x:v>
      </x:c>
    </x:row>
    <x:row r="539">
      <x:c r="A539" s="31" t="str">
        <x:v>furosemide</x:v>
      </x:c>
      <x:c r="B539" s="31" t="str">
        <x:v>gentamicin</x:v>
      </x:c>
      <x:c r="C539" s="31" t="str">
        <x:v>unclassified</x:v>
      </x:c>
      <x:c r="D539" s="31" t="str">
        <x:v>review</x:v>
      </x:c>
      <x:c r="E539" s="31" t="str">
        <x:v>r0156_smpc</x:v>
      </x:c>
      <x:c r="F539" s="31" t="str">
        <x:v>SMPC</x:v>
      </x:c>
      <x:c r="G539" s="31" t="n">
        <x:v>3</x:v>
      </x:c>
      <x:c r="H539" s="31" t="str">
        <x:v>furosemide</x:v>
      </x:c>
      <x:c r="I539" s="37" t="str">
        <x:v>1 Ref: Gentamicin 0.3% w/v Eye/Ear Drops, MHRA, 13/03/2024 3 &lt;REGARDING THE APPROVAL&gt; 4.5. Interaction with other medicinal products and other forms of interaction Potent diuretics such as ethacrynic acid and furosemide are believed to enhance any risk of ototoxicity whilst amphotericin B, cisplatin and cyclosporine and cephalosporins are potential enhancers of nephrotoxicity. Concurrent use with other potentially nephrotoxic or ototoxic drugs should be avoided unless considered essential by the physician. Neuromuscular blockade and respiratory paralysis have been reported in patients from the administration of aminoglycosides to patients who have recei</x:v>
      </x:c>
      <x:c r="J539" s="37" t="str">
        <x:v>https://drug.fda.moph.go.th/media.php?id=810174409145982976&amp;name=SMPC_Gentamicin_Eye Drops, Solution.pdf</x:v>
      </x:c>
    </x:row>
    <x:row r="540">
      <x:c r="A540" s="31" t="str">
        <x:v>furosemide</x:v>
      </x:c>
      <x:c r="B540" s="31" t="str">
        <x:v>indomethacin</x:v>
      </x:c>
      <x:c r="C540" s="31" t="str">
        <x:v>unclassified</x:v>
      </x:c>
      <x:c r="D540" s="31" t="str">
        <x:v>review</x:v>
      </x:c>
      <x:c r="E540" s="31" t="str">
        <x:v>r0187_smpc</x:v>
      </x:c>
      <x:c r="F540" s="31" t="str">
        <x:v>SMPC</x:v>
      </x:c>
      <x:c r="G540" s="31" t="n">
        <x:v>11</x:v>
      </x:c>
      <x:c r="H540" s="31" t="str">
        <x:v>furosemide</x:v>
      </x:c>
      <x:c r="I540" s="37" t="str">
        <x:v>1 Ref: Indometacin, MHRA, 15/03/2024 11 thiazides and furosemide in some patients. Indometacin may cause blocking of the furosemide -induced increase in plasma renin activity. Diuretics can increase the risk of nephrotoxicity of NSAIDs. • Lithium: Decreased elimination of lithium. Indometacin is an inhibitor of prostaglandin synthesis and therefore the following drug interactions may occur; indometacin may raise plasma lithium levels and reduce lithium clearance in subjects with steady st ate plasma lit</x:v>
      </x:c>
      <x:c r="J540" s="37" t="str">
        <x:v>https://drug.fda.moph.go.th/media.php?id=810384768385556480&amp;name=SMPC_Indometacin_Capsules.pdf</x:v>
      </x:c>
    </x:row>
    <x:row r="541">
      <x:c r="A541" s="31" t="str">
        <x:v>furosemide</x:v>
      </x:c>
      <x:c r="B541" s="31" t="str">
        <x:v>magnesium</x:v>
      </x:c>
      <x:c r="C541" s="31" t="str">
        <x:v>unclassified</x:v>
      </x:c>
      <x:c r="D541" s="31" t="str">
        <x:v>review</x:v>
      </x:c>
      <x:c r="E541" s="31" t="str">
        <x:v>r0217_smpc</x:v>
      </x:c>
      <x:c r="F541" s="31" t="str">
        <x:v>SMPC</x:v>
      </x:c>
      <x:c r="G541" s="31" t="n">
        <x:v>5</x:v>
      </x:c>
      <x:c r="H541" s="31" t="str">
        <x:v>furosemide</x:v>
      </x:c>
      <x:c r="I541" s="37" t="str">
        <x:v>prolonged by parenteral magnesium salts and magnesium sulfate enhances non-depolarizing muscle relaxant vecuronium action at adult muscle type nicotinic acetylcholine receptor in vitro. Nifedipine Profound hypotension has been reported. Calcium channel blockers or diuretics There is a risk of cardiopulmonary events when intravenous magnesium sulfate is used concomitantly with calcium channel blockers or diuretics (such as thiazides and furosemide). Calcium salts</x:v>
      </x:c>
      <x:c r="J541" s="37" t="str">
        <x:v>https://drug.fda.moph.go.th/media.php?id=810407556395704320&amp;name=SMPC_Magnesium sulfate_Solution for Injection or Infusion.pdf</x:v>
      </x:c>
    </x:row>
    <x:row r="542">
      <x:c r="A542" s="31" t="str">
        <x:v>furosemide</x:v>
      </x:c>
      <x:c r="B542" s="31" t="str">
        <x:v>naproxen</x:v>
      </x:c>
      <x:c r="C542" s="31" t="str">
        <x:v>unclassified</x:v>
      </x:c>
      <x:c r="D542" s="31" t="str">
        <x:v>review</x:v>
      </x:c>
      <x:c r="E542" s="31" t="str">
        <x:v>r0253_smpc</x:v>
      </x:c>
      <x:c r="F542" s="31" t="str">
        <x:v>SMPC</x:v>
      </x:c>
      <x:c r="G542" s="31" t="n">
        <x:v>9</x:v>
      </x:c>
      <x:c r="H542" s="31" t="str">
        <x:v>furosemide</x:v>
      </x:c>
      <x:c r="I542" s="37" t="str">
        <x:v>lfonamide or sulfonylurea should be observed for adjustment of dose if required. No interactions have been observed in clinical studies with naproxen and anticoagulants or sulfonylureas, but caution is nevertheless advised since interaction has been seen with other non-steroidal agents of this class. • Caution is advised when Naproxen is co -administered with diuretics as there can be a decreased diuretic effect. The natriuretic effect of furosemide has been reported to be inhibited by some drugs of this class. Diuretics can increase the risk of nephrotoxicity of NSAIDs. • Inhibition of renal lithium clearance leading to increases in plasma lithium concentrations has also been reported. • Naproxen and other non-steroidal anti-inflammatory drugs can reduce the anti-hypertensive effect of anti -hypertensives. Concomitant use of NSAIDs with ACE inhibitors or angiotensin II receptor antag</x:v>
      </x:c>
      <x:c r="J542" s="37" t="str">
        <x:v>https://drug.fda.moph.go.th/media.php?id=810422587254513664&amp;name=SMPC_Naproxen_Tablets.pdf</x:v>
      </x:c>
    </x:row>
    <x:row r="543">
      <x:c r="A543" s="31" t="str">
        <x:v>furosemide</x:v>
      </x:c>
      <x:c r="B543" s="31" t="str">
        <x:v>nimodipine</x:v>
      </x:c>
      <x:c r="C543" s="31" t="str">
        <x:v>unclassified</x:v>
      </x:c>
      <x:c r="D543" s="31" t="str">
        <x:v>review</x:v>
      </x:c>
      <x:c r="E543" s="31" t="str">
        <x:v>r0255_smpc</x:v>
      </x:c>
      <x:c r="F543" s="31" t="str">
        <x:v>SMPC</x:v>
      </x:c>
      <x:c r="G543" s="31" t="n">
        <x:v>6</x:v>
      </x:c>
      <x:c r="H543" s="31" t="str">
        <x:v>furosemide</x:v>
      </x:c>
      <x:c r="I543" s="37" t="str">
        <x:v>blocking agents, - PDE5 inhibitors - alpha-methyldopa. However, if a combination of this type proves unavoidable, particularly careful monitoring of the patient is necessary. Simultaneous intravenous administration of beta -blockers may lead to mutual potentiation of negative inotropic action going as far as decompensated heart failure Renal function can deteriorate if potentially nephrotoxic drugs (e.g. aminoglycosides, cephalosporins, furosemide) are given simultaneously and also in patients whose renal function is already impaired. Renal function must be monitored carefully in such ca ses and if deterioration is found discontinuation of the treatment should be considered (see section 4.4). Animal studies have shown that when nimodipine and zidovudine are administered concomitantly, the AUC for zidovudine was increased, and the volume of distribution and clearance rate decreased.</x:v>
      </x:c>
      <x:c r="J543" s="37" t="str">
        <x:v>https://drug.fda.moph.go.th/media.php?id=810423093272125440&amp;name=SMPC_Nimodipine_Solution for Infusion.pdf</x:v>
      </x:c>
    </x:row>
    <x:row r="544">
      <x:c r="A544" s="31" t="str">
        <x:v>furosemide</x:v>
      </x:c>
      <x:c r="B544" s="31" t="str">
        <x:v>ofloxacin</x:v>
      </x:c>
      <x:c r="C544" s="31" t="str">
        <x:v>unclassified</x:v>
      </x:c>
      <x:c r="D544" s="31" t="str">
        <x:v>review</x:v>
      </x:c>
      <x:c r="E544" s="31" t="str">
        <x:v>r0260_smpc</x:v>
      </x:c>
      <x:c r="F544" s="31" t="str">
        <x:v>SMPC</x:v>
      </x:c>
      <x:c r="G544" s="31" t="n">
        <x:v>20</x:v>
      </x:c>
      <x:c r="H544" s="31" t="str">
        <x:v>furosemide</x:v>
      </x:c>
      <x:c r="I544" s="37" t="str">
        <x:v>ound with theophylline in a clinical study. However, a pronounced lowering of the cerebral seizure threshold may occur when quinolones are given concurrently with theophylline, nonsteroidal anti -inflammato ry drugs, or other agents, which lower the seizure threshold. However, ofloxacin does not interfere with theophylline metabolism. In case of convulsive seizures, treatment with ofloxacin should be discontinued. Probenecid, cimetidine, furosemide, and methotrexate Probenecid decreased the total clearance of ofloxacin by 24%, and increased AUC by 16%. It acts at renal level by competing or inhibiting the active transport that forms the basis for tubular section. Caution should be exercised when ofloxacin is co - administered with drugs that affect the tubular renal secretion such as probenecid, cimetidine, furosemide and methotrexate. Especially when using high doses, the concomitan</x:v>
      </x:c>
      <x:c r="J544" s="37" t="str">
        <x:v>https://drug.fda.moph.go.th/media.php?id=810425338315284480&amp;name=SMPC_Ofloxacin_Film-coated Tablet.pdf</x:v>
      </x:c>
    </x:row>
    <x:row r="545">
      <x:c r="A545" s="31" t="str">
        <x:v>furosemide</x:v>
      </x:c>
      <x:c r="B545" s="31" t="str">
        <x:v>teicoplanin</x:v>
      </x:c>
      <x:c r="C545" s="31" t="str">
        <x:v>unclassified</x:v>
      </x:c>
      <x:c r="D545" s="31" t="str">
        <x:v>review</x:v>
      </x:c>
      <x:c r="E545" s="31" t="str">
        <x:v>r0332_smpc</x:v>
      </x:c>
      <x:c r="F545" s="31" t="str">
        <x:v>SMPC</x:v>
      </x:c>
      <x:c r="G545" s="31" t="n">
        <x:v>10</x:v>
      </x:c>
      <x:c r="H545" s="31" t="str">
        <x:v>furosemide</x:v>
      </x:c>
      <x:c r="I545" s="37" t="str">
        <x:v>f impaired hearing or disorders of the inner ear during treatment with teico planin should be carefully evaluated and monitored, especially in case of prolonged treatment and in patients with renal insufficiency. Patients receiving teicoplanin in conjunction with or sequentially with other medicinal products with known nephrotoxic and/or neurotoxic/ototoxic potential (e.g. aminoglycosides, colistin, amphotericin B, ciclosporin, cisplatin, furosemide and ethacrynic acid) should be carefully monitored and the benefit of teicoplanin evaluated if hearing deteriorates. Special precautions must be taken when administering teicoplanin in patients who require concomitant treatment with ototoxic and/or nephrotoxic medicinal products for which it is recommended that regular haematology, liver and kidney function tests are carried out. Superinfection As with other antibiotics, the use of teicop</x:v>
      </x:c>
      <x:c r="J545" s="37" t="str">
        <x:v>https://drug.fda.moph.go.th/media.php?id=810465319775772672&amp;name=SMPC_Teicoplanin_powder for solution for injection-infusion or oral solution.pdf</x:v>
      </x:c>
    </x:row>
    <x:row r="546">
      <x:c r="A546" s="31" t="str">
        <x:v>furosemide</x:v>
      </x:c>
      <x:c r="B546" s="31" t="str">
        <x:v>teicoplanin</x:v>
      </x:c>
      <x:c r="C546" s="31" t="str">
        <x:v>unclassified</x:v>
      </x:c>
      <x:c r="D546" s="31" t="str">
        <x:v>review</x:v>
      </x:c>
      <x:c r="E546" s="31" t="str">
        <x:v>r0332_smpc</x:v>
      </x:c>
      <x:c r="F546" s="31" t="str">
        <x:v>SMPC</x:v>
      </x:c>
      <x:c r="G546" s="31" t="n">
        <x:v>11</x:v>
      </x:c>
      <x:c r="H546" s="31" t="str">
        <x:v>furosemide</x:v>
      </x:c>
      <x:c r="I546" s="37" t="str">
        <x:v>oglycoside solutions are incompatible and must not be mixed for injection; however, they are compatible in dialysis fluid and may be freely used in the treatment of CAPD -related peritonitis. Teicoplanin should be used with care in conju nction with or sequentially with other medicinal products with known nephrotoxic and/or neurotoxic/ototoxic potential. These include e.g. aminoglycosides, colistin, amphotericin B, ciclosporin, cisplatin, furosemide, and ethacrynic acid (see section 4.4 “Nephrotoxicity” and “Ototoxicity”). However, there is no evidence of synergistic toxicity in combinations with teicoplanin. In clinical studies, teicoplanin has been administered to many patients already receiving various medications including other antibiotics, antihypertensives, anaesthetic agents, cardiac medicinal products and antidiabetic agents without evidence of adverse interaction. Paediatri</x:v>
      </x:c>
      <x:c r="J546" s="37" t="str">
        <x:v>https://drug.fda.moph.go.th/media.php?id=810465319775772672&amp;name=SMPC_Teicoplanin_powder for solution for injection-infusion or oral solution.pdf</x:v>
      </x:c>
    </x:row>
    <x:row r="547">
      <x:c r="A547" s="31" t="str">
        <x:v>furosemide</x:v>
      </x:c>
      <x:c r="B547" s="31" t="str">
        <x:v>tenoxicam</x:v>
      </x:c>
      <x:c r="C547" s="31" t="str">
        <x:v>unclassified</x:v>
      </x:c>
      <x:c r="D547" s="31" t="str">
        <x:v>review</x:v>
      </x:c>
      <x:c r="E547" s="31" t="str">
        <x:v>r0333_smpc</x:v>
      </x:c>
      <x:c r="F547" s="31" t="str">
        <x:v>SMPC</x:v>
      </x:c>
      <x:c r="G547" s="31" t="n">
        <x:v>9</x:v>
      </x:c>
      <x:c r="H547" s="31" t="str">
        <x:v>furosemide</x:v>
      </x:c>
      <x:c r="I547" s="37" t="str">
        <x:v>eroidal anti -inflammatory drugs may cause sodium, potassium and fluid retention and may interfere with the natriuretic action of diuretic agents, which can increase the risk of nephrotoxicity of NSAIDs. These properties should be kept in mind when treating patients with compromised cardiac function or hypertension since they may be responsible for a worsening of those conditions. No clinically significant interaction between Tenoxicam and furosemide was noted, but Tenoxicam attenuates the blood pressu re lowering effect of hydrochlorothiazide. Antihypertensives As known from other NSAIDs, Tenoxicam might attenuate the antihypertensive effects of alpha -adrenergic blockers beta -adrenergic blockers and ACE inhibitors. There was no clinically relevant interaction when Tenoxicam was administered together with atenolol.</x:v>
      </x:c>
      <x:c r="J547" s="37" t="str">
        <x:v>https://drug.fda.moph.go.th/media.php?id=810466026549551104&amp;name=SMPC_Tenoxicam_Tablets.pdf</x:v>
      </x:c>
    </x:row>
    <x:row r="548">
      <x:c r="A548" s="31" t="str">
        <x:v>furosemide</x:v>
      </x:c>
      <x:c r="B548" s="31" t="str">
        <x:v>thiamine</x:v>
      </x:c>
      <x:c r="C548" s="31" t="str">
        <x:v>moderate</x:v>
      </x:c>
      <x:c r="D548" s="31" t="str">
        <x:v>eligible</x:v>
      </x:c>
      <x:c r="E548" s="31" t="str">
        <x:v>r0340_smpc</x:v>
      </x:c>
      <x:c r="F548" s="31" t="str">
        <x:v>SMPC</x:v>
      </x:c>
      <x:c r="G548" s="31" t="n">
        <x:v>2</x:v>
      </x:c>
      <x:c r="H548" s="31" t="str">
        <x:v>furosemide</x:v>
      </x:c>
      <x:c r="I548" s="37" t="str">
        <x:v>her medicinal products and other forms of interaction The thiamine antagonists thiosemicarbazone and 5 -fluorouracil can neutralise the effect of thiamine. Patients using any of these treatments may need their thiamine dose adjusted. Thiamine could give false positive results for urobilinogen determination by the Ehrlich's reaction. High doses of thiamine may interfere with spectrophotometric assays of theophylline plasma concentration. Furosemide may increase urinary loss of thiamine and prolonged use of furosemide therapy may induce thiamine deficiency. Excessive alcohol intake induces thiamine deficiency.</x:v>
      </x:c>
      <x:c r="J548" s="37" t="str">
        <x:v>https://drug.fda.moph.go.th/media.php?id=810477458427092992&amp;name=SMPC_Thiamine hydrochloride_Tablets.pdf</x:v>
      </x:c>
    </x:row>
    <x:row r="549">
      <x:c r="A549" s="31" t="str">
        <x:v>furosemide</x:v>
      </x:c>
      <x:c r="B549" s="31" t="str">
        <x:v>thiamine</x:v>
      </x:c>
      <x:c r="C549" s="31" t="str">
        <x:v>unclassified</x:v>
      </x:c>
      <x:c r="D549" s="31" t="str">
        <x:v>review</x:v>
      </x:c>
      <x:c r="E549" s="31" t="str">
        <x:v>r0341_smpc</x:v>
      </x:c>
      <x:c r="F549" s="31" t="str">
        <x:v>SMPC</x:v>
      </x:c>
      <x:c r="G549" s="31" t="n">
        <x:v>5</x:v>
      </x:c>
      <x:c r="H549" s="31" t="str">
        <x:v>furosemide</x:v>
      </x:c>
      <x:c r="I549" s="37" t="str">
        <x:v>and for uric acid determination by the phosphotungstene method. High doses of thiamine may interfere with Schack and Waxler spectrophotometric as says of theophylline plasma concentration. 4.5. Interaction with other medicinal products and other forms of interaction Medicines that may decrease the effect of thiamine • The thiamine antagonists: 5 -fluorouracil, other fluoropyrimidines (e.g. capecitabine) and ifosfamide. • Diuretics, e.g. furosemide that may increase urinary thiamine excretion. Thiamine deficiency can occur with the chronic use of these medicines. Consider high-dose thiamine supplementation during the treatment with these medicines. . 4.6. Fertility, pregnancy and lactation Pregnancy</x:v>
      </x:c>
      <x:c r="J549" s="37" t="str">
        <x:v>https://drug.fda.moph.go.th/media.php?id=810478221882695680&amp;name=SMPC_Thiamine hydrochloride_Solution for Injection.pdf</x:v>
      </x:c>
    </x:row>
    <x:row r="550">
      <x:c r="A550" s="31" t="str">
        <x:v>gemfibrozil</x:v>
      </x:c>
      <x:c r="B550" s="31" t="str">
        <x:v>insulin</x:v>
      </x:c>
      <x:c r="C550" s="31" t="str">
        <x:v>unclassified</x:v>
      </x:c>
      <x:c r="D550" s="31" t="str">
        <x:v>review</x:v>
      </x:c>
      <x:c r="E550" s="31" t="str">
        <x:v>r0153_smpc</x:v>
      </x:c>
      <x:c r="F550" s="31" t="str">
        <x:v>SMPC</x:v>
      </x:c>
      <x:c r="G550" s="31" t="n">
        <x:v>7</x:v>
      </x:c>
      <x:c r="H550" s="31" t="str">
        <x:v>insulin</x:v>
      </x:c>
      <x:c r="I550" s="37" t="str">
        <x:v>CYP1A2, and UDP glucuronyltransferase (UGTA1 and UGTA3) enzymes and also inhibits organic aniontransporting polypeptide 1B1 (OATP1B1) (see section 4.5). In addition, gemfibrozil is metabolised to gemfi brozil 1-O-β-glucuronide which also inhibits CYP2C8 and OATP1B1. Concomitant use with hypoglycaemic agents There have been reports of hypoglycaemic reactions after concomitant use with gemfibrozil and hypoglycaemic agents (oral agents and insulin). Monitoring of glucose levels is recommended. Concomitant anticoagulants Gemfibrozil may potentiate the effects of coumarin type vitamin K antagonist anticoagulants such as warfarin, acenocoumarol, or phenprocoumon. The concomitant administration of gemfibrozil with these anticoagulants necessitates careful monitoring of prothr ombin time (INR - International Normalised Ratio). Caution should be exercised when such a coumarin type vitami</x:v>
      </x:c>
      <x:c r="J550" s="37" t="str">
        <x:v>https://drug.fda.moph.go.th/media.php?id=810174072020410368&amp;name=SMPC_Gemfibrozil_hard capsule.pdf</x:v>
      </x:c>
    </x:row>
    <x:row r="551">
      <x:c r="A551" s="31" t="str">
        <x:v>gemfibrozil</x:v>
      </x:c>
      <x:c r="B551" s="31" t="str">
        <x:v>itraconazole</x:v>
      </x:c>
      <x:c r="C551" s="31" t="str">
        <x:v>unclassified</x:v>
      </x:c>
      <x:c r="D551" s="31" t="str">
        <x:v>review</x:v>
      </x:c>
      <x:c r="E551" s="31" t="str">
        <x:v>r0153_smpc</x:v>
      </x:c>
      <x:c r="F551" s="31" t="str">
        <x:v>SMPC</x:v>
      </x:c>
      <x:c r="G551" s="31" t="n">
        <x:v>9</x:v>
      </x:c>
      <x:c r="H551" s="31" t="str">
        <x:v>itraconazole</x:v>
      </x:c>
      <x:c r="I551" s="37" t="str">
        <x:v>Repaglinide In healthy volunteers, co -administration with gemfibrozil increased the AUC and C max of repaglinide by 8.1 fold and 2.4 fold, respectively. In the same study, co -administration with gemfibrozil and itraconazole increased the AUC and C max of repaglinide by 19.4 fold and 2.8 fold, respectively. In addition, co -administration with gemfibrozil or with gemfibrozil and itraconazole prolonged its hypoglycaemic effects. Therefore, co -administration of gemfibrozil and repaglinide increases the risk for severe hypogl ycaemia and is contraindicated (see section 4.3). Dasabuvir Co-administration of gemfibrozil with dasabuvir increased dasabuvir AUC and</x:v>
      </x:c>
      <x:c r="J551" s="37" t="str">
        <x:v>https://drug.fda.moph.go.th/media.php?id=810174072020410368&amp;name=SMPC_Gemfibrozil_hard capsule.pdf</x:v>
      </x:c>
    </x:row>
    <x:row r="552">
      <x:c r="A552" s="31" t="str">
        <x:v>gemfibrozil</x:v>
      </x:c>
      <x:c r="B552" s="31" t="str">
        <x:v>loperamide</x:v>
      </x:c>
      <x:c r="C552" s="31" t="str">
        <x:v>unclassified</x:v>
      </x:c>
      <x:c r="D552" s="31" t="str">
        <x:v>review</x:v>
      </x:c>
      <x:c r="E552" s="31" t="str">
        <x:v>r0153_smpc</x:v>
      </x:c>
      <x:c r="F552" s="31" t="str">
        <x:v>SMPC</x:v>
      </x:c>
      <x:c r="G552" s="31" t="n">
        <x:v>8</x:v>
      </x:c>
      <x:c r="H552" s="31" t="str">
        <x:v>loperamide</x:v>
      </x:c>
      <x:c r="I552" s="37" t="str">
        <x:v>e reduced to maintain desired prothrombin time levels (see section 4.5). Dietary sodium &lt;REGARDING THE APPROV AL&gt; 4.5. Interaction with other medicinal products and other forms of interaction The interaction profile of gemfibrozil is complex. In vivo studies indicate that gemfibrozil and its metabolite gemfibrozil 1 -O-β- glucuronide are potent inhibitors of CYP2C8 (an enzyme important for the metabolism of e.g. dabrafenib, enzalutamide, loperamide, montelukast, repaglinide, rosiglitazone, pioglitazone, dasabuvir, selexipag and paclitaxel). Coadministration of gemfibrozil with repaglinide, dasabuvir or selexipag is contraindicated (see section 4.3). In addition, dosing reduction of drugs that are mainly metabolised by CYP2C8 enzyme may be required when gemfibrozil is used concomitantly. In vitro studies have shown that gemfibrozil is a strong inhibitor of CYP2C9 (an enzyme involved</x:v>
      </x:c>
      <x:c r="J552" s="37" t="str">
        <x:v>https://drug.fda.moph.go.th/media.php?id=810174072020410368&amp;name=SMPC_Gemfibrozil_hard capsule.pdf</x:v>
      </x:c>
    </x:row>
    <x:row r="553">
      <x:c r="A553" s="31" t="str">
        <x:v>gemfibrozil</x:v>
      </x:c>
      <x:c r="B553" s="31" t="str">
        <x:v>loperamide</x:v>
      </x:c>
      <x:c r="C553" s="31" t="str">
        <x:v>unclassified</x:v>
      </x:c>
      <x:c r="D553" s="31" t="str">
        <x:v>review</x:v>
      </x:c>
      <x:c r="E553" s="31" t="str">
        <x:v>r0214_smpc</x:v>
      </x:c>
      <x:c r="F553" s="31" t="str">
        <x:v>SMPC</x:v>
      </x:c>
      <x:c r="G553" s="31" t="n">
        <x:v>5</x:v>
      </x:c>
      <x:c r="H553" s="31" t="str">
        <x:v>gemfibrozil</x:v>
      </x:c>
      <x:c r="I553" s="37" t="str">
        <x:v>a 2 to 3-fold increase in loperamide plasma levels. The clinical relevance of this pharmacokinetic interaction with P - glycoprotein inhibitors, when loperamide is given at recommended dosages, is unknown. The concomitant administration of loperamide (4 mg single dose) and itraconazole, an inhibitor of CYP3A4 and P -glycoprotein, resulted in a 3 to 4 -fold increase in loperamide plasma concentrations. In the same study a CYP2C8 inhibitor, gemfibrozil, increase d loperamide by approximately 2-fold. The combination of itraconazole and gemfibrozil resulted in a 4-fold increase in peak plasma levels of loperamide and a 13-fold increase in total plasma exposure. These increases were not associated with central nervou s system (CNS) effects as measured by psychomotor tests (i.e., subjective drowsiness and the Digit Symbol Substitution Test).</x:v>
      </x:c>
      <x:c r="J553" s="37" t="str">
        <x:v>https://drug.fda.moph.go.th/media.php?id=810406546952560640&amp;name=SMPC_Loperamide_Tablets.pdf</x:v>
      </x:c>
    </x:row>
    <x:row r="554">
      <x:c r="A554" s="31" t="str">
        <x:v>gemfibrozil</x:v>
      </x:c>
      <x:c r="B554" s="31" t="str">
        <x:v>simvastatin</x:v>
      </x:c>
      <x:c r="C554" s="31" t="str">
        <x:v>unclassified</x:v>
      </x:c>
      <x:c r="D554" s="31" t="str">
        <x:v>review</x:v>
      </x:c>
      <x:c r="E554" s="31" t="str">
        <x:v>r0153_smpc</x:v>
      </x:c>
      <x:c r="F554" s="31" t="str">
        <x:v>SMPC</x:v>
      </x:c>
      <x:c r="G554" s="31" t="n">
        <x:v>3</x:v>
      </x:c>
      <x:c r="H554" s="31" t="str">
        <x:v>simvastatin</x:v>
      </x:c>
      <x:c r="I554" s="37" t="str">
        <x:v>hour before the evening meal. The 900 mg dose is taken as a single dose half an hour before the evening meal. 4.3. Contraindications • Hypersensitivity to the active substance or to any of the excipients listed in section 6.1. • Hepatic impairment • Severe renal impairment • History of/or pre -existing gall bladder or biliary tract disease, including gallstones • Concomitant use of repaglinide, dasabuvir, selexipag (see section 4.5), simvastatin, or rosuvastatin at 40 mg (see sections 4.4 and 4.5)</x:v>
      </x:c>
      <x:c r="J554" s="37" t="str">
        <x:v>https://drug.fda.moph.go.th/media.php?id=810174072020410368&amp;name=SMPC_Gemfibrozil_hard capsule.pdf</x:v>
      </x:c>
    </x:row>
    <x:row r="555">
      <x:c r="A555" s="31" t="str">
        <x:v>gemfibrozil</x:v>
      </x:c>
      <x:c r="B555" s="31" t="str">
        <x:v>simvastatin</x:v>
      </x:c>
      <x:c r="C555" s="31" t="str">
        <x:v>severe</x:v>
      </x:c>
      <x:c r="D555" s="31" t="str">
        <x:v>eligible</x:v>
      </x:c>
      <x:c r="E555" s="31" t="str">
        <x:v>r0153_smpc</x:v>
      </x:c>
      <x:c r="F555" s="31" t="str">
        <x:v>SMPC</x:v>
      </x:c>
      <x:c r="G555" s="31" t="n">
        <x:v>4</x:v>
      </x:c>
      <x:c r="H555" s="31" t="str">
        <x:v>simvastatin</x:v>
      </x:c>
      <x:c r="I555" s="37" t="str">
        <x:v>f myositis, myopathy and markedly elevated creatine phosphokinase associated with gemfibrozil. Rhabdomyolysis has also been reported rarely. Muscle damage must be considered in any patient presenting with diffuse myalgia, muscle tenderness and/or marked increase in muscle CPK levels (&gt;5x ULN); under these conditions treatment must be discontinued. Concomitant HMG CoA reductase inhibitors The concomitant administration of gemfibrozil with simvastatin, as well as with rosuvastatin at 40 mg is contraindicated. Concomitant therapy of gemfibrozil with lower doses of rosuvastatin should be used only when the benefit outweighs the risks. There ha ve been reports of severe myositis with markedly elevated creatine kinase and myoglobinuria (rhabdomyolysis) when gemfibrozil and HMG CoA reductase inhibitors were used concomitantly (see sections 4.3 and 4.5). Pharmacokinetic interactions may also</x:v>
      </x:c>
      <x:c r="J555" s="37" t="str">
        <x:v>https://drug.fda.moph.go.th/media.php?id=810174072020410368&amp;name=SMPC_Gemfibrozil_hard capsule.pdf</x:v>
      </x:c>
    </x:row>
    <x:row r="556">
      <x:c r="A556" s="31" t="str">
        <x:v>gemfibrozil</x:v>
      </x:c>
      <x:c r="B556" s="31" t="str">
        <x:v>simvastatin</x:v>
      </x:c>
      <x:c r="C556" s="31" t="str">
        <x:v>severe</x:v>
      </x:c>
      <x:c r="D556" s="31" t="str">
        <x:v>eligible</x:v>
      </x:c>
      <x:c r="E556" s="31" t="str">
        <x:v>r0153_smpc</x:v>
      </x:c>
      <x:c r="F556" s="31" t="str">
        <x:v>SMPC</x:v>
      </x:c>
      <x:c r="G556" s="31" t="n">
        <x:v>10</x:v>
      </x:c>
      <x:c r="H556" s="31" t="str">
        <x:v>simvastatin</x:v>
      </x:c>
      <x:c r="I556" s="37" t="str">
        <x:v>ion is considered necessary, the dose of enzalutamide should be reduced (see section 4.4). Rosiglitazone The combination of gemfibrozil with rosiglitazone should be approached with caution. Coadministration with rosiglitazone has resulted in 2.3 - fold increase in rosiglitazone systemic exposure, probably by inhibition of the CYP2C8 isozyme (see section 4.4). HMG CoA reductase inhibitors The concomitant administration of gemfibrozil with simvastatin, as well as with rosuvastatin at 40 mg is contraindicated (see sections 4.3 and 4.4). The combined use of gemfibrozil and a statin should generally be avoided (see section 4.4). The use of fibr ates alone is occasionally associated with myopathy. An increased risk of muscle related adverse events, including rhabdomyolysis, has been reported when fibrates are co-administered with statins.</x:v>
      </x:c>
      <x:c r="J556" s="37" t="str">
        <x:v>https://drug.fda.moph.go.th/media.php?id=810174072020410368&amp;name=SMPC_Gemfibrozil_hard capsule.pdf</x:v>
      </x:c>
    </x:row>
    <x:row r="557">
      <x:c r="A557" s="31" t="str">
        <x:v>gemfibrozil</x:v>
      </x:c>
      <x:c r="B557" s="31" t="str">
        <x:v>simvastatin</x:v>
      </x:c>
      <x:c r="C557" s="31" t="str">
        <x:v>unclassified</x:v>
      </x:c>
      <x:c r="D557" s="31" t="str">
        <x:v>review</x:v>
      </x:c>
      <x:c r="E557" s="31" t="str">
        <x:v>r0153_smpc</x:v>
      </x:c>
      <x:c r="F557" s="31" t="str">
        <x:v>SMPC</x:v>
      </x:c>
      <x:c r="G557" s="31" t="n">
        <x:v>11</x:v>
      </x:c>
      <x:c r="H557" s="31" t="str">
        <x:v>simvastatin</x:v>
      </x:c>
      <x:c r="I557" s="37" t="str">
        <x:v>Gemfibrozil has also been reported to influence the pharmacokinetics of simvastatin, lovastatin, pravastatin, rosuvastatin and atorvastatin. Gemfibrozil caused an almost 3 -fold increased in AUC of simvastatin acid possibly due to inhibition of glucoronidat ion via UGTA1 and UGTA3, and a 3-fold increase in pravastatin AUC which may be due to interference with transport proteins. One study indicated that the co - administration of a single rosuvastatin dose of 80 mg to healthy volunteers on gemfibrozil (600 mg t wice daily)</x:v>
      </x:c>
      <x:c r="J557" s="37" t="str">
        <x:v>https://drug.fda.moph.go.th/media.php?id=810174072020410368&amp;name=SMPC_Gemfibrozil_hard capsule.pdf</x:v>
      </x:c>
    </x:row>
    <x:row r="558">
      <x:c r="A558" s="31" t="str">
        <x:v>gentamicin_betamethasone_dipropionate</x:v>
      </x:c>
      <x:c r="B558" s="31" t="str">
        <x:v>liquid_paraffin</x:v>
      </x:c>
      <x:c r="C558" s="31" t="str">
        <x:v>unclassified</x:v>
      </x:c>
      <x:c r="D558" s="31" t="str">
        <x:v>review</x:v>
      </x:c>
      <x:c r="E558" s="31" t="str">
        <x:v>r0157_smpc</x:v>
      </x:c>
      <x:c r="F558" s="31" t="str">
        <x:v>SMPC</x:v>
      </x:c>
      <x:c r="G558" s="31" t="n">
        <x:v>6</x:v>
      </x:c>
      <x:c r="H558" s="31" t="str">
        <x:v>liquid paraffin</x:v>
      </x:c>
      <x:c r="I558" s="37" t="str">
        <x:v>1 Ref:Mibetin 1mg/g + 0.5 mg/g Cream, MHRA, 13/06/2024 6 If latex condoms are used concurrently during treatment with gentamicin sulfate/betamethasone dipropionate cream in the genital or anal region, their tear resistance may be reduced by the white soft paraffin and liquid paraffin excipients, thereby compromising the safety of such condoms. The label will state strong steroid. 4.5. Interaction with other medicinal products and other forms of interaction Due to possible mutual inactivation, gentamicin sulfate/betamethasone dipropionate cream should not be applied concomitantly with other topical dermatological agents. Gentamicin is incompatible with amphotericin B, heparin, sulfadiazine and beta- lactam antibiotic</x:v>
      </x:c>
      <x:c r="J558" s="37" t="str">
        <x:v>https://drug.fda.moph.go.th/media.php?id=810174762931331072&amp;name=SMPC_Gentamicin sulfate+betamethasone dipropionate_cream.pdf</x:v>
      </x:c>
    </x:row>
    <x:row r="559">
      <x:c r="A559" s="31" t="str">
        <x:v>gliclazide</x:v>
      </x:c>
      <x:c r="B559" s="31" t="str">
        <x:v>insulin</x:v>
      </x:c>
      <x:c r="C559" s="31" t="str">
        <x:v>unclassified</x:v>
      </x:c>
      <x:c r="D559" s="31" t="str">
        <x:v>review</x:v>
      </x:c>
      <x:c r="E559" s="31" t="str">
        <x:v>r0159_smpc</x:v>
      </x:c>
      <x:c r="F559" s="31" t="str">
        <x:v>SMPC</x:v>
      </x:c>
      <x:c r="G559" s="31" t="n">
        <x:v>3</x:v>
      </x:c>
      <x:c r="H559" s="31" t="str">
        <x:v>insulin</x:v>
      </x:c>
      <x:c r="I559" s="37" t="str">
        <x:v>4/2020 3 hypoglycaemia. The procedure described for initiating treatment should also be used when switching to treatment with gliclazide modified- release tablet, i.e. a starting dose of 30 mg/day, followed by a stepwise increase in dose, depending on the metabolic response. • Combination treatment with other antidiabetic agents: gliclazide modified-release tablet can be given in combination with biguanides, alpha glucosidase inhibitors or insulin. In patients not adequately controlled with gliclazide modified-release tablet, concomitant insulin therapy can be initiated under close medical supervision. Special Populations Elderly gliclazide modified-release tablet should be prescribed using the same dosing regimen recommended for patients under 65 years of age. Renal impairment In patients with mild to moderate renal insufficiency the same dosing regimen can be used as in patien</x:v>
      </x:c>
      <x:c r="J559" s="37" t="str">
        <x:v>https://drug.fda.moph.go.th/media.php?id=810175347420176384&amp;name=SMPC_Gliclazide_Modified-release Tablets.pdf</x:v>
      </x:c>
    </x:row>
    <x:row r="560">
      <x:c r="A560" s="31" t="str">
        <x:v>gliclazide</x:v>
      </x:c>
      <x:c r="B560" s="31" t="str">
        <x:v>insulin</x:v>
      </x:c>
      <x:c r="C560" s="31" t="str">
        <x:v>unclassified</x:v>
      </x:c>
      <x:c r="D560" s="31" t="str">
        <x:v>review</x:v>
      </x:c>
      <x:c r="E560" s="31" t="str">
        <x:v>r0159_smpc</x:v>
      </x:c>
      <x:c r="F560" s="31" t="str">
        <x:v>SMPC</x:v>
      </x:c>
      <x:c r="G560" s="31" t="n">
        <x:v>8</x:v>
      </x:c>
      <x:c r="H560" s="31" t="str">
        <x:v>insulin</x:v>
      </x:c>
      <x:c r="I560" s="37" t="str">
        <x:v>ticoids). Warn the patient and emphasise the impor tance of blood glucose monitoring, particularly at the start of treatment. It may be necessary to adjust the dose of the antidiabetic active substance during and after treatment with glucocorticoids. • Ritodrine, salbutamol, terbutaline: (I.V.) Increased blood glucose levels due to beta-2 agonist effects. Emphasise the importance of monitoring blood glucose levels. If necessary, switch to insulin. • Saint John’s Wort (Hypericum perforatum) preparations: Gliclazide exposure is decreased by Saint John’s Wort -Hypericum perforatum. Emphasize the importance of blood glucose levels monitoring. The following products may cause dysglycaemia Combinations requiring precautions during use • Fluoroquinolones: in case of a concomitant use of gliclazide modified-release tablet and a fluoroquinolone, the patient should be warned of the risk o</x:v>
      </x:c>
      <x:c r="J560" s="37" t="str">
        <x:v>https://drug.fda.moph.go.th/media.php?id=810175347420176384&amp;name=SMPC_Gliclazide_Modified-release Tablets.pdf</x:v>
      </x:c>
    </x:row>
    <x:row r="561">
      <x:c r="A561" s="31" t="str">
        <x:v>gliclazide</x:v>
      </x:c>
      <x:c r="B561" s="31" t="str">
        <x:v>insulin</x:v>
      </x:c>
      <x:c r="C561" s="31" t="str">
        <x:v>unclassified</x:v>
      </x:c>
      <x:c r="D561" s="31" t="str">
        <x:v>review</x:v>
      </x:c>
      <x:c r="E561" s="31" t="str">
        <x:v>r0160_smpc</x:v>
      </x:c>
      <x:c r="F561" s="31" t="str">
        <x:v>SMPC</x:v>
      </x:c>
      <x:c r="G561" s="31" t="n">
        <x:v>2</x:v>
      </x:c>
      <x:c r="H561" s="31" t="str">
        <x:v>insulin</x:v>
      </x:c>
      <x:c r="I561" s="37" t="str">
        <x:v>hould be adjusted to suit the patient’s blood glucose response, as described above. When switching from a hypoglycaemic sulfonylurea with aprolonged half-life, a treatment free period of a few days may be necessary to avoid an additive effect of the two products, which might cause hypoglycaemia. • Combination treatment with other antidiabetic agents: GLICLAZIDE can be given in combination with biguanides, alpha glucosidase inhibitors or insulin. In patients not adequately controlled with GLICLAZIDE, concomitant insulin therapy can be initiated under close medical supervision Special Populations Elderly: GLICLAZIDE should be prescribed using the same dosing regimen recommended for patients under 65 years of age. Patients with renal impairment:</x:v>
      </x:c>
      <x:c r="J561" s="37" t="str">
        <x:v>https://drug.fda.moph.go.th/media.php?id=810175662185914368&amp;name=SMPC_Gliclazide_Tablets.pdf</x:v>
      </x:c>
    </x:row>
    <x:row r="562">
      <x:c r="A562" s="31" t="str">
        <x:v>gliclazide</x:v>
      </x:c>
      <x:c r="B562" s="31" t="str">
        <x:v>insulin</x:v>
      </x:c>
      <x:c r="C562" s="31" t="str">
        <x:v>unclassified</x:v>
      </x:c>
      <x:c r="D562" s="31" t="str">
        <x:v>review</x:v>
      </x:c>
      <x:c r="E562" s="31" t="str">
        <x:v>r0160_smpc</x:v>
      </x:c>
      <x:c r="F562" s="31" t="str">
        <x:v>SMPC</x:v>
      </x:c>
      <x:c r="G562" s="31" t="n">
        <x:v>7</x:v>
      </x:c>
      <x:c r="H562" s="31" t="str">
        <x:v>insulin</x:v>
      </x:c>
      <x:c r="I562" s="37" t="str">
        <x:v>icoids). Warn the patient and emphasise the importance of blood glucose monitoring, particularly at the start of treatment. It may be necessary to adjust the dose of the antidiabetic active substance during and after treatment with glucocorticoids. • Ritodrine, salbutamol, terbutaline: (I.V.) Increased blood glucose levels due to beta -2 agonist effects. Emphasise the importance of monitoring blood glucose levels. If necessary, switch to insulin. • Saint John's Wort (Hypericum perforatum) preparations: Gliclazide exposure is decreased by Saint John's Wort -Hypericum perforatum. Emphasize the importance of blood glucose levels monitoring. The following products may cause dysglycaemia Combinations requiring precautions during use • Fluoroquinolones: in case of a concomitant use of gliclazide and a fluoroquinolone, the patient should be warned of the risk of dysglycaemia, and the</x:v>
      </x:c>
      <x:c r="J562" s="37" t="str">
        <x:v>https://drug.fda.moph.go.th/media.php?id=810175662185914368&amp;name=SMPC_Gliclazide_Tablets.pdf</x:v>
      </x:c>
    </x:row>
    <x:row r="563">
      <x:c r="A563" s="31" t="str">
        <x:v>gliclazide</x:v>
      </x:c>
      <x:c r="B563" s="31" t="str">
        <x:v>miconazole</x:v>
      </x:c>
      <x:c r="C563" s="31" t="str">
        <x:v>moderate</x:v>
      </x:c>
      <x:c r="D563" s="31" t="str">
        <x:v>eligible</x:v>
      </x:c>
      <x:c r="E563" s="31" t="str">
        <x:v>r0159_smpc</x:v>
      </x:c>
      <x:c r="F563" s="31" t="str">
        <x:v>SMPC</x:v>
      </x:c>
      <x:c r="G563" s="31" t="n">
        <x:v>6</x:v>
      </x:c>
      <x:c r="H563" s="31" t="str">
        <x:v>miconazole</x:v>
      </x:c>
      <x:c r="I563" s="37" t="str">
        <x:v>ea drugs, caution should be used in patients with G6PD-deficiency and a non -sulfonylurea alterna tive should be considered. Porphyric patients: Cases of acute porphyria have been described with some other sulfonylurea drugs, in patients who have porphyria . 4.5. Interaction with other medicinal products and other forms of interaction The following products are likely to increase the risk of hypoglycaemia Contra-indicated combination • Miconazole (systemic route, oromucosal gel): increases the hypoglycaemic effect with possible onset of hypoglycaemic symptoms, or even coma. Combinations which are not recommended • Phenylbutazone (systemic route): increases the hypoglycaemic effect of sulfonylureas (displaces their binding to plasma proteins and/or reduces their elimination).</x:v>
      </x:c>
      <x:c r="J563" s="37" t="str">
        <x:v>https://drug.fda.moph.go.th/media.php?id=810175347420176384&amp;name=SMPC_Gliclazide_Modified-release Tablets.pdf</x:v>
      </x:c>
    </x:row>
    <x:row r="564">
      <x:c r="A564" s="31" t="str">
        <x:v>gliclazide</x:v>
      </x:c>
      <x:c r="B564" s="31" t="str">
        <x:v>salbutamol</x:v>
      </x:c>
      <x:c r="C564" s="31" t="str">
        <x:v>unclassified</x:v>
      </x:c>
      <x:c r="D564" s="31" t="str">
        <x:v>review</x:v>
      </x:c>
      <x:c r="E564" s="31" t="str">
        <x:v>r0159_smpc</x:v>
      </x:c>
      <x:c r="F564" s="31" t="str">
        <x:v>SMPC</x:v>
      </x:c>
      <x:c r="G564" s="31" t="n">
        <x:v>8</x:v>
      </x:c>
      <x:c r="H564" s="31" t="str">
        <x:v>salbutamol</x:v>
      </x:c>
      <x:c r="I564" s="37" t="str">
        <x:v>intra-articular, cutaneous and rectal preparations) and tetracosactrin: increase in blood glucose levels with possible ketosis (reduced tolerance to carbohydrates due to glucocorticoids). Warn the patient and emphasise the impor tance of blood glucose monitoring, particularly at the start of treatment. It may be necessary to adjust the dose of the antidiabetic active substance during and after treatment with glucocorticoids. • Ritodrine, salbutamol, terbutaline: (I.V.) Increased blood glucose levels due to beta-2 agonist effects. Emphasise the importance of monitoring blood glucose levels. If necessary, switch to insulin. • Saint John’s Wort (Hypericum perforatum) preparations: Gliclazide exposure is decreased by Saint John’s Wort -Hypericum perforatum. Emphasize the importance of blood glucose levels monitoring. The following products may cause dysglycaemia Combinations requiring</x:v>
      </x:c>
      <x:c r="J564" s="37" t="str">
        <x:v>https://drug.fda.moph.go.th/media.php?id=810175347420176384&amp;name=SMPC_Gliclazide_Modified-release Tablets.pdf</x:v>
      </x:c>
    </x:row>
    <x:row r="565">
      <x:c r="A565" s="31" t="str">
        <x:v>gliclazide</x:v>
      </x:c>
      <x:c r="B565" s="31" t="str">
        <x:v>salbutamol</x:v>
      </x:c>
      <x:c r="C565" s="31" t="str">
        <x:v>unclassified</x:v>
      </x:c>
      <x:c r="D565" s="31" t="str">
        <x:v>review</x:v>
      </x:c>
      <x:c r="E565" s="31" t="str">
        <x:v>r0160_smpc</x:v>
      </x:c>
      <x:c r="F565" s="31" t="str">
        <x:v>SMPC</x:v>
      </x:c>
      <x:c r="G565" s="31" t="n">
        <x:v>7</x:v>
      </x:c>
      <x:c r="H565" s="31" t="str">
        <x:v>salbutamol</x:v>
      </x:c>
      <x:c r="I565" s="37" t="str">
        <x:v>intra-articular, cutaneous and rectal preparations) and tetracosactrin: increase in blood glucose levels with possible ketosis (reduced tolerance to carbohydrates due to glucocorticoids). Warn the patient and emphasise the importance of blood glucose monitoring, particularly at the start of treatment. It may be necessary to adjust the dose of the antidiabetic active substance during and after treatment with glucocorticoids. • Ritodrine, salbutamol, terbutaline: (I.V.) Increased blood glucose levels due to beta -2 agonist effects. Emphasise the importance of monitoring blood glucose levels. If necessary, switch to insulin. • Saint John's Wort (Hypericum perforatum) preparations: Gliclazide exposure is decreased by Saint John's Wort -Hypericum perforatum. Emphasize the importance of blood glucose levels monitoring. The following products may cause dysglycaemia Combinations requirin</x:v>
      </x:c>
      <x:c r="J565" s="37" t="str">
        <x:v>https://drug.fda.moph.go.th/media.php?id=810175662185914368&amp;name=SMPC_Gliclazide_Tablets.pdf</x:v>
      </x:c>
    </x:row>
    <x:row r="566">
      <x:c r="A566" s="31" t="str">
        <x:v>gliclazide</x:v>
      </x:c>
      <x:c r="B566" s="31" t="str">
        <x:v>terbutaline</x:v>
      </x:c>
      <x:c r="C566" s="31" t="str">
        <x:v>unclassified</x:v>
      </x:c>
      <x:c r="D566" s="31" t="str">
        <x:v>review</x:v>
      </x:c>
      <x:c r="E566" s="31" t="str">
        <x:v>r0159_smpc</x:v>
      </x:c>
      <x:c r="F566" s="31" t="str">
        <x:v>SMPC</x:v>
      </x:c>
      <x:c r="G566" s="31" t="n">
        <x:v>8</x:v>
      </x:c>
      <x:c r="H566" s="31" t="str">
        <x:v>terbutaline</x:v>
      </x:c>
      <x:c r="I566" s="37" t="str">
        <x:v>ular, cutaneous and rectal preparations) and tetracosactrin: increase in blood glucose levels with possible ketosis (reduced tolerance to carbohydrates due to glucocorticoids). Warn the patient and emphasise the impor tance of blood glucose monitoring, particularly at the start of treatment. It may be necessary to adjust the dose of the antidiabetic active substance during and after treatment with glucocorticoids. • Ritodrine, salbutamol, terbutaline: (I.V.) Increased blood glucose levels due to beta-2 agonist effects. Emphasise the importance of monitoring blood glucose levels. If necessary, switch to insulin. • Saint John’s Wort (Hypericum perforatum) preparations: Gliclazide exposure is decreased by Saint John’s Wort -Hypericum perforatum. Emphasize the importance of blood glucose levels monitoring. The following products may cause dysglycaemia Combinations requiring precautions</x:v>
      </x:c>
      <x:c r="J566" s="37" t="str">
        <x:v>https://drug.fda.moph.go.th/media.php?id=810175347420176384&amp;name=SMPC_Gliclazide_Modified-release Tablets.pdf</x:v>
      </x:c>
    </x:row>
    <x:row r="567">
      <x:c r="A567" s="31" t="str">
        <x:v>gliclazide</x:v>
      </x:c>
      <x:c r="B567" s="31" t="str">
        <x:v>terbutaline</x:v>
      </x:c>
      <x:c r="C567" s="31" t="str">
        <x:v>unclassified</x:v>
      </x:c>
      <x:c r="D567" s="31" t="str">
        <x:v>review</x:v>
      </x:c>
      <x:c r="E567" s="31" t="str">
        <x:v>r0160_smpc</x:v>
      </x:c>
      <x:c r="F567" s="31" t="str">
        <x:v>SMPC</x:v>
      </x:c>
      <x:c r="G567" s="31" t="n">
        <x:v>7</x:v>
      </x:c>
      <x:c r="H567" s="31" t="str">
        <x:v>terbutaline</x:v>
      </x:c>
      <x:c r="I567" s="37" t="str">
        <x:v>ular, cutaneous and rectal preparations) and tetracosactrin: increase in blood glucose levels with possible ketosis (reduced tolerance to carbohydrates due to glucocorticoids). Warn the patient and emphasise the importance of blood glucose monitoring, particularly at the start of treatment. It may be necessary to adjust the dose of the antidiabetic active substance during and after treatment with glucocorticoids. • Ritodrine, salbutamol, terbutaline: (I.V.) Increased blood glucose levels due to beta -2 agonist effects. Emphasise the importance of monitoring blood glucose levels. If necessary, switch to insulin. • Saint John's Wort (Hypericum perforatum) preparations: Gliclazide exposure is decreased by Saint John's Wort -Hypericum perforatum. Emphasize the importance of blood glucose levels monitoring. The following products may cause dysglycaemia Combinations requiring precautions</x:v>
      </x:c>
      <x:c r="J567" s="37" t="str">
        <x:v>https://drug.fda.moph.go.th/media.php?id=810175662185914368&amp;name=SMPC_Gliclazide_Tablets.pdf</x:v>
      </x:c>
    </x:row>
    <x:row r="568">
      <x:c r="A568" s="31" t="str">
        <x:v>glipizide</x:v>
      </x:c>
      <x:c r="B568" s="31" t="str">
        <x:v>miconazole</x:v>
      </x:c>
      <x:c r="C568" s="31" t="str">
        <x:v>severe</x:v>
      </x:c>
      <x:c r="D568" s="31" t="str">
        <x:v>eligible</x:v>
      </x:c>
      <x:c r="E568" s="31" t="str">
        <x:v>r0161_smpc</x:v>
      </x:c>
      <x:c r="F568" s="31" t="str">
        <x:v>SMPC</x:v>
      </x:c>
      <x:c r="G568" s="31" t="n">
        <x:v>5</x:v>
      </x:c>
      <x:c r="H568" s="31" t="str">
        <x:v>miconazole</x:v>
      </x:c>
      <x:c r="I568" s="37" t="str">
        <x:v>ents and responsible family members. Primary and secondary failure should also be explained. Laboratory Tests Blood and urine glucose should be monitored periodically. Measurement of glycosylated haemoglobin may be useful. &lt;Regarding the approval&gt; 4.5. Interaction with other medicinal products and other forms of interaction The following products are likely to increase the hypoglycaemic effect: Contraindicated combinations Miconazole: Increase in hypoglycaemic effect, possibly leading to symptoms of hypoglycaemia or even coma. Inadvisable combinations Nonsteroidal Anti-inflammatory Drugs (e.g. phenylbutazone): Increase in hypoglycaemic effect of sulfonylureas (displacement of sulfonylurea binding to plasma proteins and/or decrease in sulfonylurea elimination). Alcohol: Increase in hypoglycaemic reaction, which can lead to hypoglycaemic coma.</x:v>
      </x:c>
      <x:c r="J568" s="37" t="str">
        <x:v>https://drug.fda.moph.go.th/media.php?id=810176024078852096&amp;name=SMPC_Glipizide_Tablets.pdf</x:v>
      </x:c>
    </x:row>
    <x:row r="569">
      <x:c r="A569" s="31" t="str">
        <x:v>glipizide</x:v>
      </x:c>
      <x:c r="B569" s="31" t="str">
        <x:v>ranitidine</x:v>
      </x:c>
      <x:c r="C569" s="31" t="str">
        <x:v>unclassified</x:v>
      </x:c>
      <x:c r="D569" s="31" t="str">
        <x:v>review</x:v>
      </x:c>
      <x:c r="E569" s="31" t="str">
        <x:v>r0301_smpc</x:v>
      </x:c>
      <x:c r="F569" s="31" t="str">
        <x:v>SMPC</x:v>
      </x:c>
      <x:c r="G569" s="31" t="n">
        <x:v>8</x:v>
      </x:c>
      <x:c r="H569" s="31" t="str">
        <x:v>glipizide</x:v>
      </x:c>
      <x:c r="I569" s="37" t="str">
        <x:v>affect the clearance of other drugs eliminated by this route. High doses of ranitidine (e.g. such as those used in the treatment of Zollinger - Ellison syndrome) may reduce the excretion of procainamide and N-acetylprocainamide resulting in increased plasma level of these drugs. 3) Alteration of gastric pH: The bioavailability of certain drugs may be affected. This can result in either an increase in absorption (e.g. triazolam, midazolam, glipizide) or a decrease in absorption (e.g. ketoconazole, atazanavir, delavirdine, gefitinib). Concomitant administration of 300 mg ranitidine and erlotinib decreased erlotinib exposure [AUC] and maximum concentrations [Cmax] by 33% and 54%, respectively. However, when erlotinib was dosed in staggered manner 2 hours before or 10 hours after ranitidine 150 mg b.i.d., erlotinib exposure [AUC] and maximum concentrations [C max] decreased only by 15%</x:v>
      </x:c>
      <x:c r="J569" s="37" t="str">
        <x:v>https://drug.fda.moph.go.th/media.php?id=810446254327865344&amp;name=SMPC_Ranitidine_Tablet.pdf</x:v>
      </x:c>
    </x:row>
    <x:row r="570">
      <x:c r="A570" s="31" t="str">
        <x:v>glipizide</x:v>
      </x:c>
      <x:c r="B570" s="31" t="str">
        <x:v>ranitidine</x:v>
      </x:c>
      <x:c r="C570" s="31" t="str">
        <x:v>unclassified</x:v>
      </x:c>
      <x:c r="D570" s="31" t="str">
        <x:v>review</x:v>
      </x:c>
      <x:c r="E570" s="31" t="str">
        <x:v>r0302_smpc</x:v>
      </x:c>
      <x:c r="F570" s="31" t="str">
        <x:v>SMPC</x:v>
      </x:c>
      <x:c r="G570" s="31" t="n">
        <x:v>6</x:v>
      </x:c>
      <x:c r="H570" s="31" t="str">
        <x:v>glipizide</x:v>
      </x:c>
      <x:c r="I570" s="37" t="str">
        <x:v>affect the clearance of other drugs eliminated by this route. High doses of ranitidine (e.g. such as those used in the treatment of Zollinger - Ellison syndrome) may reduce the excretion of procainamide and N-acetylprocainamide resulting in increased plasma level of these drugs. 3) Alteration of gastric pH: The bioavailability of certain drugs may be affected. This can result in either an increase in absorption (e.g. triazolam, midazolam, glipizide) or a decrease in absorption (e.g. ketoconazole, atazanavir, delavirdine, gefitinib). 4) Erlotinib and medicinal products altering pH: Concomitant administration of 300 mg ranitidine and erlotinib decreased erlotinib exposure [AUC] and maximum concentrations [Cmax] by 33% and 54%, respectively. However, when erlotinib was dosed in a staggered manner 2 hours before or 10 hours after ranitidine 150 mg b.i.d., erlotinib exposure [AUC] and ma</x:v>
      </x:c>
      <x:c r="J570" s="37" t="str">
        <x:v>https://drug.fda.moph.go.th/media.php?id=810446887676157952&amp;name=SMPC_Ranitidine_solution for injection and infusion.pdf</x:v>
      </x:c>
    </x:row>
    <x:row r="571">
      <x:c r="A571" s="31" t="str">
        <x:v>glucose</x:v>
      </x:c>
      <x:c r="B571" s="31" t="str">
        <x:v>insulin</x:v>
      </x:c>
      <x:c r="C571" s="31" t="str">
        <x:v>unclassified</x:v>
      </x:c>
      <x:c r="D571" s="31" t="str">
        <x:v>review</x:v>
      </x:c>
      <x:c r="E571" s="31" t="str">
        <x:v>r0164_smpc</x:v>
      </x:c>
      <x:c r="F571" s="31" t="str">
        <x:v>SMPC</x:v>
      </x:c>
      <x:c r="G571" s="31" t="n">
        <x:v>3</x:v>
      </x:c>
      <x:c r="H571" s="31" t="str">
        <x:v>insulin</x:v>
      </x:c>
      <x:c r="I571" s="37" t="str">
        <x:v>1 Ref:Glucose Intravenous Infusion BP 50% w/v, MHRA, 23/10/2020 Glucose 20% w/v Solution for Infusion, MHRA, 22/06/2020 3 consciousness, especially those patients with chronic uraemia or carbohydrate intolerance. Prolonged use in parenteral nutrition may affect insulin production; blood and urine glucose should be monitored. Changed in fluid balance, electrolyte concentrations and acid -base balance should be evaluated during prolonged therapy. Intravenous administration of Glucose may result in hypokalaemia, hypophosphataemia and hypomagnesaemia. 4.5. Interaction with other medicinal products and other forms of interaction None known. 4.6. Fertility, pregnancy and lactation Intravenous glucose may r</x:v>
      </x:c>
      <x:c r="J571" s="37" t="str">
        <x:v>https://drug.fda.moph.go.th/media.php?id=810178680155414528&amp;name=SMPC_Glucose_Solution for Infusion.pdf</x:v>
      </x:c>
    </x:row>
    <x:row r="572">
      <x:c r="A572" s="31" t="str">
        <x:v>haloperidol</x:v>
      </x:c>
      <x:c r="B572" s="31" t="str">
        <x:v>hydroxyzine</x:v>
      </x:c>
      <x:c r="C572" s="31" t="str">
        <x:v>unclassified</x:v>
      </x:c>
      <x:c r="D572" s="31" t="str">
        <x:v>review</x:v>
      </x:c>
      <x:c r="E572" s="31" t="str">
        <x:v>r0179_smpc</x:v>
      </x:c>
      <x:c r="F572" s="31" t="str">
        <x:v>SMPC</x:v>
      </x:c>
      <x:c r="G572" s="31" t="n">
        <x:v>5</x:v>
      </x:c>
      <x:c r="H572" s="31" t="str">
        <x:v>haloperidol</x:v>
      </x:c>
      <x:c r="I572" s="37" t="str">
        <x:v>e should not be given to nursing mothers (see section 4.3 ‘Contraindications’). 4.5. Interaction with other medicinal products and other forms of interaction Associations contraindicated Co-administration of hydroxyzine with drugs known to prolong the QT interval and/or induce Torsade de Pointes e .g. class IA (e.g. quinidine, disopyramide) and III antiarrhythmics (e.g. amiodarone, sotalol), some antihistamines, some antipsychotics (e.g. haloperidol ), some</x:v>
      </x:c>
      <x:c r="J572" s="37" t="str">
        <x:v>https://drug.fda.moph.go.th/media.php?id=810382200729116672&amp;name=SMPC_Hydroxyzine_Film-coated tablets.pdf</x:v>
      </x:c>
    </x:row>
    <x:row r="573">
      <x:c r="A573" s="31" t="str">
        <x:v>haloperidol</x:v>
      </x:c>
      <x:c r="B573" s="31" t="str">
        <x:v>itraconazole</x:v>
      </x:c>
      <x:c r="C573" s="31" t="str">
        <x:v>unclassified</x:v>
      </x:c>
      <x:c r="D573" s="31" t="str">
        <x:v>review</x:v>
      </x:c>
      <x:c r="E573" s="31" t="str">
        <x:v>r0172_smpc</x:v>
      </x:c>
      <x:c r="F573" s="31" t="str">
        <x:v>SMPC</x:v>
      </x:c>
      <x:c r="G573" s="31" t="n">
        <x:v>14</x:v>
      </x:c>
      <x:c r="H573" s="31" t="str">
        <x:v>itraconazole</x:v>
      </x:c>
      <x:c r="I573" s="37" t="str">
        <x:v>ting information, the potential increase in haloperidol plasma concentrations when a CYP3A4 and/or CYP2D6 inhibitor is coadministered may range between 20 to 40%, although in some cases, increases of up to 100% have been reported. Examples of medicinal products that may increase haloperidol plasma concentrations (based on clinical experience or drug interaction mechanism) include: • CYP3A4 inhibitors – alprazolam, fluvoxamine, indinavir, itraconazole, ketoconazole, nefazodone, posaconazole, saquinavir, verapamil, voriconazole. • CYP2D6 inhibitors – bupropion, chlorpromazine, duloxetine, paroxetine, promethazine, sertraline, venlafaxine. • Combined CYP3A4 and CYP2D6 inhibitors: fluoxetine, ritonavir. • Uncertain mechanism – buspirone. This list is not exhaustive. Increased haloperidol plasma concentrations may result in an increased risk of adverse events, including QTc -prolongation</x:v>
      </x:c>
      <x:c r="J573" s="37" t="str">
        <x:v>https://drug.fda.moph.go.th/media.php?id=808571302360260608&amp;name=SmPC - Haloperidol ORAL SOLUTION.pdf</x:v>
      </x:c>
    </x:row>
    <x:row r="574">
      <x:c r="A574" s="31" t="str">
        <x:v>haloperidol</x:v>
      </x:c>
      <x:c r="B574" s="31" t="str">
        <x:v>ketoconazole</x:v>
      </x:c>
      <x:c r="C574" s="31" t="str">
        <x:v>unclassified</x:v>
      </x:c>
      <x:c r="D574" s="31" t="str">
        <x:v>review</x:v>
      </x:c>
      <x:c r="E574" s="31" t="str">
        <x:v>r0172_smpc</x:v>
      </x:c>
      <x:c r="F574" s="31" t="str">
        <x:v>SMPC</x:v>
      </x:c>
      <x:c r="G574" s="31" t="n">
        <x:v>14</x:v>
      </x:c>
      <x:c r="H574" s="31" t="str">
        <x:v>ketoconazole</x:v>
      </x:c>
      <x:c r="I574" s="37" t="str">
        <x:v>ion, the potential increase in haloperidol plasma concentrations when a CYP3A4 and/or CYP2D6 inhibitor is coadministered may range between 20 to 40%, although in some cases, increases of up to 100% have been reported. Examples of medicinal products that may increase haloperidol plasma concentrations (based on clinical experience or drug interaction mechanism) include: • CYP3A4 inhibitors – alprazolam, fluvoxamine, indinavir, itraconazole, ketoconazole, nefazodone, posaconazole, saquinavir, verapamil, voriconazole. • CYP2D6 inhibitors – bupropion, chlorpromazine, duloxetine, paroxetine, promethazine, sertraline, venlafaxine. • Combined CYP3A4 and CYP2D6 inhibitors: fluoxetine, ritonavir. • Uncertain mechanism – buspirone. This list is not exhaustive. Increased haloperidol plasma concentrations may result in an increased risk of adverse events, including QTc -prolongation (see section 4</x:v>
      </x:c>
      <x:c r="J574" s="37" t="str">
        <x:v>https://drug.fda.moph.go.th/media.php?id=808571302360260608&amp;name=SmPC - Haloperidol ORAL SOLUTION.pdf</x:v>
      </x:c>
    </x:row>
    <x:row r="575">
      <x:c r="A575" s="31" t="str">
        <x:v>haloperidol</x:v>
      </x:c>
      <x:c r="B575" s="31" t="str">
        <x:v>lithium</x:v>
      </x:c>
      <x:c r="C575" s="31" t="str">
        <x:v>unclassified</x:v>
      </x:c>
      <x:c r="D575" s="31" t="str">
        <x:v>review</x:v>
      </x:c>
      <x:c r="E575" s="31" t="str">
        <x:v>r0172_smpc</x:v>
      </x:c>
      <x:c r="F575" s="31" t="str">
        <x:v>SMPC</x:v>
      </x:c>
      <x:c r="G575" s="31" t="n">
        <x:v>16</x:v>
      </x:c>
      <x:c r="H575" s="31" t="str">
        <x:v>lithium</x:v>
      </x:c>
      <x:c r="I575" s="37" t="str">
        <x:v>1 Ref: HALDOL, MHRA, 03/11/2023 16 Other forms of interaction In rare cases the following symptoms were reported during the concomitant use of lithium and haloperidol: encephalopathy, extrapyramidal symptoms, tardive dyskinesia, neuroleptic malignant syndrome, acute brain syndrome and coma. Most of these symptoms were reversible. It remains unclear whether this represents a distinct clinical entity. Nonetheless, it is advised that in patients who are treated concomitantly with lithium and &lt;GENERIC NAME&gt; , therapy must be stopped immediately if such symptoms occur. Antagonism of the eff</x:v>
      </x:c>
      <x:c r="J575" s="37" t="str">
        <x:v>https://drug.fda.moph.go.th/media.php?id=808571302360260608&amp;name=SmPC - Haloperidol ORAL SOLUTION.pdf</x:v>
      </x:c>
    </x:row>
    <x:row r="576">
      <x:c r="A576" s="31" t="str">
        <x:v>haloperidol</x:v>
      </x:c>
      <x:c r="B576" s="31" t="str">
        <x:v>nimodipine</x:v>
      </x:c>
      <x:c r="C576" s="31" t="str">
        <x:v>unclassified</x:v>
      </x:c>
      <x:c r="D576" s="31" t="str">
        <x:v>review</x:v>
      </x:c>
      <x:c r="E576" s="31" t="str">
        <x:v>r0255_smpc</x:v>
      </x:c>
      <x:c r="F576" s="31" t="str">
        <x:v>SMPC</x:v>
      </x:c>
      <x:c r="G576" s="31" t="n">
        <x:v>7</x:v>
      </x:c>
      <x:c r="H576" s="31" t="str">
        <x:v>haloperidol</x:v>
      </x:c>
      <x:c r="I576" s="37" t="str">
        <x:v>f cimetidine or sodium valproate may lead to an increase in the plasma nimodipine concentration. The intake of grapefruit juice is not recommended in combination with nimodipine as it can result in increased plasma nimodipine concentrations due to the inhibition of the oxidative metabolism of dihydropyridines. Interactions shown not to exist A study examining the effects of 90mg nimodipine (in divided doses) on elderly patients receiving haloperidol did not show evidence of potential interactions. It is unclear whether this study is relevant to use in subarachnoid haemorrhage because of the higher dose of nimodipine used. Concomitant administration of oral nimodipine and diazepam, digoxin, glibenclamide, indometacin, ranitidine and warfarin did not reveal any potential for mutual interaction. 4.6. Fertility, pregnancy and lactation Pregnancy There are no adequate and well controlle</x:v>
      </x:c>
      <x:c r="J576" s="37" t="str">
        <x:v>https://drug.fda.moph.go.th/media.php?id=810423093272125440&amp;name=SMPC_Nimodipine_Solution for Infusion.pdf</x:v>
      </x:c>
    </x:row>
    <x:row r="577">
      <x:c r="A577" s="31" t="str">
        <x:v>haloperidol</x:v>
      </x:c>
      <x:c r="B577" s="31" t="str">
        <x:v>pimozide</x:v>
      </x:c>
      <x:c r="C577" s="31" t="str">
        <x:v>unclassified</x:v>
      </x:c>
      <x:c r="D577" s="31" t="str">
        <x:v>review</x:v>
      </x:c>
      <x:c r="E577" s="31" t="str">
        <x:v>r0172_smpc</x:v>
      </x:c>
      <x:c r="F577" s="31" t="str">
        <x:v>SMPC</x:v>
      </x:c>
      <x:c r="G577" s="31" t="n">
        <x:v>13</x:v>
      </x:c>
      <x:c r="H577" s="31" t="str">
        <x:v>pimozide</x:v>
      </x:c>
      <x:c r="I577" s="37" t="str">
        <x:v>interval (see section 4.3). Examples include: • Class IA antiarrhythmics (e.g. disopyramide, quinidine). • Class III antiarrhythmics (e.g. amiodarone, dofetilide, dronedarone, ibutilide, sotalol). • Certain antidepressants (e.g. citalopram, escitalopram). • Certain antibiotics (e.g. azithromycin, clarithromycin, erythromycin, levofloxacin, moxifloxacin, telithromycin). • Other antipsychotics (e.g. phenothiazine derivatives, sertindole, pimozide, ziprasidone) • Certain antifungals (e.g. pentamidine). • Certain antimalarials (e.g. halofantrine). • Certain gastrointestinal medicinal products (e.g. dolasetron). • Certain medicinal products used in cancer (e.g. toremifene, vandetanib). • Certain other medicinal products (e.g. bepridil, methadone). This list is not exhaustive. Caution is advised when &lt;GENERIC NAME&gt; is used in combination with medicinal products known to cause electr</x:v>
      </x:c>
      <x:c r="J577" s="37" t="str">
        <x:v>https://drug.fda.moph.go.th/media.php?id=808571302360260608&amp;name=SmPC - Haloperidol ORAL SOLUTION.pdf</x:v>
      </x:c>
    </x:row>
    <x:row r="578">
      <x:c r="A578" s="31" t="str">
        <x:v>haloperidol</x:v>
      </x:c>
      <x:c r="B578" s="31" t="str">
        <x:v>rifampicin</x:v>
      </x:c>
      <x:c r="C578" s="31" t="str">
        <x:v>unclassified</x:v>
      </x:c>
      <x:c r="D578" s="31" t="str">
        <x:v>review</x:v>
      </x:c>
      <x:c r="E578" s="31" t="str">
        <x:v>r0172_smpc</x:v>
      </x:c>
      <x:c r="F578" s="31" t="str">
        <x:v>SMPC</x:v>
      </x:c>
      <x:c r="G578" s="31" t="n">
        <x:v>15</x:v>
      </x:c>
      <x:c r="H578" s="31" t="str">
        <x:v>rifampicin</x:v>
      </x:c>
      <x:c r="I578" s="37" t="str">
        <x:v>1 Ref: HALDOL, MHRA, 03/11/2023 15 Coadministration of haloperidol with potent enzyme inducers of CYP3A4 may gradually decrease the plasma concentrations of haloperidol to such an extent that efficacy may be reduced. Examples include: • Carbamazepine, phenobarbital, phenytoin, rifampicin, St John’s Wort (Hypericum, perforatum). This list is not exhaustive. Enzyme induction may be observed after a few days of treatment. Maximal enzyme induction is generally seen in about 2 weeks and may then be sustained for the same period of time after the cessation of therapy with the medicinal product. During combination treatment with inducers of CYP3A4, it is recommended that patients be monitored and the &lt;GENERIC NAME&gt; dose increas</x:v>
      </x:c>
      <x:c r="J578" s="37" t="str">
        <x:v>https://drug.fda.moph.go.th/media.php?id=808571302360260608&amp;name=SmPC - Haloperidol ORAL SOLUTION.pdf</x:v>
      </x:c>
    </x:row>
    <x:row r="579">
      <x:c r="A579" s="31" t="str">
        <x:v>haloperidol</x:v>
      </x:c>
      <x:c r="B579" s="31" t="str">
        <x:v>rifampicin</x:v>
      </x:c>
      <x:c r="C579" s="31" t="str">
        <x:v>unclassified</x:v>
      </x:c>
      <x:c r="D579" s="31" t="str">
        <x:v>review</x:v>
      </x:c>
      <x:c r="E579" s="31" t="str">
        <x:v>r0305_smpc</x:v>
      </x:c>
      <x:c r="F579" s="31" t="str">
        <x:v>SMPC</x:v>
      </x:c>
      <x:c r="G579" s="31" t="n">
        <x:v>10</x:v>
      </x:c>
      <x:c r="H579" s="31" t="str">
        <x:v>haloperidol</x:v>
      </x:c>
      <x:c r="I579" s="37" t="str">
        <x:v>(Table 1). To maintain optimum therapeutic blood levels, dosages of drugs may require adjustment when starting or stopping concomitantly administered Rifampicin. Examples of drugs or drug classes affected by rifampicin: • Antiarrhythmics (e.g. disopyramide, mexiletine, quinidine, propafenone, tocainide) • Antiepileptics (e.g. phenytoin) • Hormone antagonist (anti -oestrogens e.g. tamoxifen, toremifene, gestinone) • Antipsychotics (e.g. haloperidol, aripiprazole) • Anticoagulants (e.g. coumarins) • Antivirals (e.g. saquinavir, indinavir, efavirenz, amprenavir, nelfinavir, atazanavir, lopinavir, nevirapine) • Barbiturates • Beta-blockers (e.g. bisoprolol, propanolol) • Anxiolytics and hypnotics (e.g. diazepam, benzodiazepines, zopiclone, zolpidem) • Calcium channel blockers (e.g. diltiazem, nifedipine, verapamil, nimodipine, isradipine, nicardipine, nisoldipine) • Anti -bacterials</x:v>
      </x:c>
      <x:c r="J579" s="37" t="str">
        <x:v>https://drug.fda.moph.go.th/media.php?id=810448559467012096&amp;name=SMPC_Rifampicin_Tablets.pdf</x:v>
      </x:c>
    </x:row>
    <x:row r="580">
      <x:c r="A580" s="31" t="str">
        <x:v>haloperidol</x:v>
      </x:c>
      <x:c r="B580" s="31" t="str">
        <x:v>verapamil</x:v>
      </x:c>
      <x:c r="C580" s="31" t="str">
        <x:v>unclassified</x:v>
      </x:c>
      <x:c r="D580" s="31" t="str">
        <x:v>review</x:v>
      </x:c>
      <x:c r="E580" s="31" t="str">
        <x:v>r0172_smpc</x:v>
      </x:c>
      <x:c r="F580" s="31" t="str">
        <x:v>SMPC</x:v>
      </x:c>
      <x:c r="G580" s="31" t="n">
        <x:v>14</x:v>
      </x:c>
      <x:c r="H580" s="31" t="str">
        <x:v>verapamil</x:v>
      </x:c>
      <x:c r="I580" s="37" t="str">
        <x:v>centrations when a CYP3A4 and/or CYP2D6 inhibitor is coadministered may range between 20 to 40%, although in some cases, increases of up to 100% have been reported. Examples of medicinal products that may increase haloperidol plasma concentrations (based on clinical experience or drug interaction mechanism) include: • CYP3A4 inhibitors – alprazolam, fluvoxamine, indinavir, itraconazole, ketoconazole, nefazodone, posaconazole, saquinavir, verapamil, voriconazole. • CYP2D6 inhibitors – bupropion, chlorpromazine, duloxetine, paroxetine, promethazine, sertraline, venlafaxine. • Combined CYP3A4 and CYP2D6 inhibitors: fluoxetine, ritonavir. • Uncertain mechanism – buspirone. This list is not exhaustive. Increased haloperidol plasma concentrations may result in an increased risk of adverse events, including QTc -prolongation (see section 4.4). Increases in QTc have been observed when hal</x:v>
      </x:c>
      <x:c r="J580" s="37" t="str">
        <x:v>https://drug.fda.moph.go.th/media.php?id=808571302360260608&amp;name=SmPC - Haloperidol ORAL SOLUTION.pdf</x:v>
      </x:c>
    </x:row>
    <x:row r="581">
      <x:c r="A581" s="31" t="str">
        <x:v>hydrochlorothiazide_amiloride</x:v>
      </x:c>
      <x:c r="B581" s="31" t="str">
        <x:v>insulin</x:v>
      </x:c>
      <x:c r="C581" s="31" t="str">
        <x:v>unclassified</x:v>
      </x:c>
      <x:c r="D581" s="31" t="str">
        <x:v>review</x:v>
      </x:c>
      <x:c r="E581" s="31" t="str">
        <x:v>r0173_smpc</x:v>
      </x:c>
      <x:c r="F581" s="31" t="str">
        <x:v>SMPC</x:v>
      </x:c>
      <x:c r="G581" s="31" t="n">
        <x:v>9</x:v>
      </x:c>
      <x:c r="H581" s="31" t="str">
        <x:v>insulin</x:v>
      </x:c>
      <x:c r="I581" s="37" t="str">
        <x:v>y should be used with caution and with frequent monitoring of serum potassium. Diuretic therapy should be discontinued for two to three days prior to initiation of therapy with an ACE inhibitor to reduce the likelihood of first dose hypotension. Concurrent administration of thiazides with beta-blockers or diazoxide has the potential to produce hyperglycaemia which may necessitate adjustment of the dose of antidiabetic medication including insulin. There have been reports of intravascular immune haemolysis in patients taking hydrochlorothiazide and methyldopa. Antimalarials: Hydrochlorothiazide -induced hypokalaemia may increase the risk of arrhythmias with drugs that prolong the QT interval, such as halofantrine.</x:v>
      </x:c>
      <x:c r="J581" s="37" t="str">
        <x:v>https://drug.fda.moph.go.th/media.php?id=810380894354415616&amp;name=SMPC_Amiloride+Hydrochlorothiazide _Tablets.pdf</x:v>
      </x:c>
    </x:row>
    <x:row r="582">
      <x:c r="A582" s="31" t="str">
        <x:v>hydrochlorothiazide_amiloride</x:v>
      </x:c>
      <x:c r="B582" s="31" t="str">
        <x:v>lidocaine</x:v>
      </x:c>
      <x:c r="C582" s="31" t="str">
        <x:v>unclassified</x:v>
      </x:c>
      <x:c r="D582" s="31" t="str">
        <x:v>review</x:v>
      </x:c>
      <x:c r="E582" s="31" t="str">
        <x:v>r0173_smpc</x:v>
      </x:c>
      <x:c r="F582" s="31" t="str">
        <x:v>SMPC</x:v>
      </x:c>
      <x:c r="G582" s="31" t="n">
        <x:v>8</x:v>
      </x:c>
      <x:c r="H582" s="31" t="str">
        <x:v>lidocaine</x:v>
      </x:c>
      <x:c r="I582" s="37" t="str">
        <x:v>Single doses of either cholestyramine or colestipol resins bind the hydrochlorothiazide and reduce its absorption from the gastro-intestinal tract by up to 85 and 43 %, respectively. When cholestyramine is given 4 hours after the hydrochlorothiazide, the absorption of hydrochlorothiazide is reduced by 30 to 35 %. Anti-arrhythmics: Toxicity of amiodarone, disopyramide, flecainide and quinidine is increased if hypokalaemia occurs. Action of lidocaine and mexilitine is antagonised by hypokalaemia. Hypokalaemia increases risk of ventricular arrhythmias with sotalol, a beta-blocker. The antiarrhythmic activity of quinidine may be opposed by amiloride. Antibacterials: Severe hyponatraemia may occur with concomitant administration of hydrochlorthiazide and trimethoprim. Antidepressants: Co -administration of tricyclic antidepressants may potentiate orthostatic hypotension. Enhanced hypoten</x:v>
      </x:c>
      <x:c r="J582" s="37" t="str">
        <x:v>https://drug.fda.moph.go.th/media.php?id=810380894354415616&amp;name=SMPC_Amiloride+Hydrochlorothiazide _Tablets.pdf</x:v>
      </x:c>
    </x:row>
    <x:row r="583">
      <x:c r="A583" s="31" t="str">
        <x:v>hydrochlorothiazide_amiloride</x:v>
      </x:c>
      <x:c r="B583" s="31" t="str">
        <x:v>lithium</x:v>
      </x:c>
      <x:c r="C583" s="31" t="str">
        <x:v>unclassified</x:v>
      </x:c>
      <x:c r="D583" s="31" t="str">
        <x:v>review</x:v>
      </x:c>
      <x:c r="E583" s="31" t="str">
        <x:v>r0173_smpc</x:v>
      </x:c>
      <x:c r="F583" s="31" t="str">
        <x:v>SMPC</x:v>
      </x:c>
      <x:c r="G583" s="31" t="n">
        <x:v>3</x:v>
      </x:c>
      <x:c r="H583" s="31" t="str">
        <x:v>lithium</x:v>
      </x:c>
      <x:c r="I583" s="37" t="str">
        <x:v>erkalaemia in patients with renal impairment; patients with blood urea over 10 mmol/l or those with serum creatinine over 130 μmol/l in whom serum electrolyte and blood urea levels cannot be monitored carefully and frequently • Severe hepatic failure; precoma associated with hepatic cirrhosis • Diabetic nephropathy; patients with diabetes mellitus • Addison's disease • Concomitant treatment with spironolactone or triamterene • Concurrent lithium therapy • The safety of amiloride hydrochloride for use in children under 18 years of age has not been established. Amiloride/Hydrochlorothiazide is not recommended for children. For 'Use in pregnancy' and 'Use in breast -feeding mothers', see section 4.6 'Pregnancy and Lactation'. 4.4. Special warnings and precautions for use Hyperkalaemia: Hyperkalaemia has been observed in patients receiving amiloride hydrochloride, either alone or wi</x:v>
      </x:c>
      <x:c r="J583" s="37" t="str">
        <x:v>https://drug.fda.moph.go.th/media.php?id=810380894354415616&amp;name=SMPC_Amiloride+Hydrochlorothiazide _Tablets.pdf</x:v>
      </x:c>
    </x:row>
    <x:row r="584">
      <x:c r="A584" s="31" t="str">
        <x:v>hydrochlorothiazide_amiloride</x:v>
      </x:c>
      <x:c r="B584" s="31" t="str">
        <x:v>lithium</x:v>
      </x:c>
      <x:c r="C584" s="31" t="str">
        <x:v>unclassified</x:v>
      </x:c>
      <x:c r="D584" s="31" t="str">
        <x:v>review</x:v>
      </x:c>
      <x:c r="E584" s="31" t="str">
        <x:v>r0173_smpc</x:v>
      </x:c>
      <x:c r="F584" s="31" t="str">
        <x:v>SMPC</x:v>
      </x:c>
      <x:c r="G584" s="31" t="n">
        <x:v>11</x:v>
      </x:c>
      <x:c r="H584" s="31" t="str">
        <x:v>lithium</x:v>
      </x:c>
      <x:c r="I584" s="37" t="str">
        <x:v>1 Ref:Co-amilozide tablet 5/50, MHRA, 02/07/2020 Co-amilozide tablet 2.5/25,MHRA, 22/12/2020 11 caution and with frequent monitoring of serum potassium. Increased risk of nephrotoxicity and/or hypermagnesaemia with concomitant use of ciclosporin and thiazide diuretics. Lithium: Lithium may accumulate as a result of reduced renal clearance; increased risk of lithium toxicity. Lithium generally should not be given with diuretics (see 4.3 Contraindications). Refer to the prescribing information for lithium preparations before use of such preparations. Muscle relaxants: Enhanced hypotensive effect may occur with tizanidine. Diuretic- induced hypokalaemia may potentiate the blockade of non -depolarising neuromuscular</x:v>
      </x:c>
      <x:c r="J584" s="37" t="str">
        <x:v>https://drug.fda.moph.go.th/media.php?id=810380894354415616&amp;name=SMPC_Amiloride+Hydrochlorothiazide _Tablets.pdf</x:v>
      </x:c>
    </x:row>
    <x:row r="585">
      <x:c r="A585" s="31" t="str">
        <x:v>hydrochlorothiazide_amiloride</x:v>
      </x:c>
      <x:c r="B585" s="31" t="str">
        <x:v>methyldopa</x:v>
      </x:c>
      <x:c r="C585" s="31" t="str">
        <x:v>unclassified</x:v>
      </x:c>
      <x:c r="D585" s="31" t="str">
        <x:v>review</x:v>
      </x:c>
      <x:c r="E585" s="31" t="str">
        <x:v>r0173_smpc</x:v>
      </x:c>
      <x:c r="F585" s="31" t="str">
        <x:v>SMPC</x:v>
      </x:c>
      <x:c r="G585" s="31" t="n">
        <x:v>9</x:v>
      </x:c>
      <x:c r="H585" s="31" t="str">
        <x:v>methyldopa</x:v>
      </x:c>
      <x:c r="I585" s="37" t="str">
        <x:v>ontinued for two to three days prior to initiation of therapy with an ACE inhibitor to reduce the likelihood of first dose hypotension. Concurrent administration of thiazides with beta-blockers or diazoxide has the potential to produce hyperglycaemia which may necessitate adjustment of the dose of antidiabetic medication including insulin. There have been reports of intravascular immune haemolysis in patients taking hydrochlorothiazide and methyldopa. Antimalarials: Hydrochlorothiazide -induced hypokalaemia may increase the risk of arrhythmias with drugs that prolong the QT interval, such as halofantrine.</x:v>
      </x:c>
      <x:c r="J585" s="37" t="str">
        <x:v>https://drug.fda.moph.go.th/media.php?id=810380894354415616&amp;name=SMPC_Amiloride+Hydrochlorothiazide _Tablets.pdf</x:v>
      </x:c>
    </x:row>
    <x:row r="586">
      <x:c r="A586" s="31" t="str">
        <x:v>hydrochlorothiazide_amiloride</x:v>
      </x:c>
      <x:c r="B586" s="31" t="str">
        <x:v>prazosin</x:v>
      </x:c>
      <x:c r="C586" s="31" t="str">
        <x:v>unclassified</x:v>
      </x:c>
      <x:c r="D586" s="31" t="str">
        <x:v>review</x:v>
      </x:c>
      <x:c r="E586" s="31" t="str">
        <x:v>r0173_smpc</x:v>
      </x:c>
      <x:c r="F586" s="31" t="str">
        <x:v>SMPC</x:v>
      </x:c>
      <x:c r="G586" s="31" t="n">
        <x:v>9</x:v>
      </x:c>
      <x:c r="H586" s="31" t="str">
        <x:v>prazosin</x:v>
      </x:c>
      <x:c r="I586" s="37" t="str">
        <x:v>thmias with drugs that prolong the QT interval, such as astemizole and terfenadine. Antihypertensives: Diuretics may enhance the hypotensive action of other hypotension producing medications, including angiotensin - converting enzyme (ACE) inhibitors (enhanced first-dose hypotension), angiotensin-II antagonists, calcium - channel blockers, b eta-blockers, alpha-blockers (increased risk of first -dose hypotension with alpha blockers such as prazosin), hydralazine or diazoxide. The dosage of concurrently administered antihypertensive drugs, especially adrenergic- blockers, may need to be reduced when Amiloride/Hydrochlorothiazide is added to the regimen. Enhanced hypotensive effect, risk of severe hyperkalaemia with potassium-sparing diuretics. Therefore, if concomitant use of these agents is indicated because of demonstrated hypokalaemia, they should be used with caution and with fre</x:v>
      </x:c>
      <x:c r="J586" s="37" t="str">
        <x:v>https://drug.fda.moph.go.th/media.php?id=810380894354415616&amp;name=SMPC_Amiloride+Hydrochlorothiazide _Tablets.pdf</x:v>
      </x:c>
    </x:row>
    <x:row r="587">
      <x:c r="A587" s="31" t="str">
        <x:v>hyoscine_n_butylbromide</x:v>
      </x:c>
      <x:c r="B587" s="31" t="str">
        <x:v>metoclopramide</x:v>
      </x:c>
      <x:c r="C587" s="31" t="str">
        <x:v>unclassified</x:v>
      </x:c>
      <x:c r="D587" s="31" t="str">
        <x:v>review</x:v>
      </x:c>
      <x:c r="E587" s="31" t="str">
        <x:v>r0182_smpc</x:v>
      </x:c>
      <x:c r="F587" s="31" t="str">
        <x:v>SMPC</x:v>
      </x:c>
      <x:c r="G587" s="31" t="n">
        <x:v>3</x:v>
      </x:c>
      <x:c r="H587" s="31" t="str">
        <x:v>metoclopramide</x:v>
      </x:c>
      <x:c r="I587" s="37" t="str">
        <x:v>ith other medicinal products and other forms of interaction The anticholinergic effect of drugs such as tri - and tetracyclic antidepressants, antihistamines, quinidine, amantadine, antipsychotics (e.g. butyrophenones, phenothiazines), disopyramide and other anticholinergics (e.g. tiotropium, ipratropium, atropine-like compounds) may be intensified by hyoscine butylbromide. Concomitant treatment with dopamine antagonists such as metoclopramide may result in diminution of the effects of both drugs on the gastrointestinal tract. The tachycardic effects of beta -adrenergic agents may be enhanced by hyoscine butylbromide. 4.6. Fertility, pregnancy and lactation</x:v>
      </x:c>
      <x:c r="J587" s="37" t="str">
        <x:v>https://drug.fda.moph.go.th/media.php?id=810382625893130240&amp;name=SMPC_Hyoscine butylbromide_coated tablets.pdf</x:v>
      </x:c>
    </x:row>
    <x:row r="588">
      <x:c r="A588" s="31" t="str">
        <x:v>hyoscine_n_butylbromide</x:v>
      </x:c>
      <x:c r="B588" s="31" t="str">
        <x:v>metoclopramide</x:v>
      </x:c>
      <x:c r="C588" s="31" t="str">
        <x:v>unclassified</x:v>
      </x:c>
      <x:c r="D588" s="31" t="str">
        <x:v>review</x:v>
      </x:c>
      <x:c r="E588" s="31" t="str">
        <x:v>r0183_smpc</x:v>
      </x:c>
      <x:c r="F588" s="31" t="str">
        <x:v>SMPC</x:v>
      </x:c>
      <x:c r="G588" s="31" t="n">
        <x:v>4</x:v>
      </x:c>
      <x:c r="H588" s="31" t="str">
        <x:v>metoclopramide</x:v>
      </x:c>
      <x:c r="I588" s="37" t="str">
        <x:v>1 Ref:Buscopan Ampoules 20 mg/ml solution for injection, MHRA, 01/11/2021 Hyoscine butylbromide 20 mg/mlsolution for injection, MHRA, 15/11/2023 4 Concomitant treatment with dopamine antagonists such as metoclopramide may result in diminution of the effects of both drugs on the gastrointestinal tract. 4.6. Fertility, pregnancy and lactation Pregnancy There are limited data from the use of hyoscine butylbromide in pregnant women. Animal studies are insufficient with respect to reproductive toxicity (see section 5.3). As a precautionary measure hyoscine butylbromide is not recommended during pregnancy. Lactation There is insufficient information on the</x:v>
      </x:c>
      <x:c r="J588" s="37" t="str">
        <x:v>https://drug.fda.moph.go.th/media.php?id=810383049660440576&amp;name=SMPC_Hyoscine butylbromide_Solution for Injection.pdf</x:v>
      </x:c>
    </x:row>
    <x:row r="589">
      <x:c r="A589" s="31" t="str">
        <x:v>ibuprofen</x:v>
      </x:c>
      <x:c r="B589" s="31" t="str">
        <x:v>indomethacin</x:v>
      </x:c>
      <x:c r="C589" s="31" t="str">
        <x:v>unclassified</x:v>
      </x:c>
      <x:c r="D589" s="31" t="str">
        <x:v>review</x:v>
      </x:c>
      <x:c r="E589" s="31" t="str">
        <x:v>r0187_smpc</x:v>
      </x:c>
      <x:c r="F589" s="31" t="str">
        <x:v>SMPC</x:v>
      </x:c>
      <x:c r="G589" s="31" t="n">
        <x:v>10</x:v>
      </x:c>
      <x:c r="H589" s="31" t="str">
        <x:v>ibuprofen</x:v>
      </x:c>
      <x:c r="I589" s="37" t="str">
        <x:v>1 Ref: Indometacin, MHRA, 15/03/2024 10 • Antivirals: Increased risk of haematological toxicity when NSAIDs are given with zidovudine. There is evidence of an increased risk of haemarthroses and haematoma in HIV(+) haemophiliacs receiving concurrent treatment with zidovudine and ibuprofen. Risk of indometacin toxicity with ritonavir, avoid concomitant use. • Cardiac glycosides: NSAIDs may exacerbate cardiac failure, reduce GFR and increase plasma-cardiac glycoside levels. • Ciclosporin: Increased risk of nephrotoxicity. Administration of NSAIDs concomitantly with ciclosporin has been associated with an increase in ciclosporin -induced toxicity, possibly due to decreased synthesis of renal prostacyclin. NSAIDs should be use</x:v>
      </x:c>
      <x:c r="J589" s="37" t="str">
        <x:v>https://drug.fda.moph.go.th/media.php?id=810384768385556480&amp;name=SMPC_Indometacin_Capsules.pdf</x:v>
      </x:c>
    </x:row>
    <x:row r="590">
      <x:c r="A590" s="31" t="str">
        <x:v>ibuprofen</x:v>
      </x:c>
      <x:c r="B590" s="31" t="str">
        <x:v>lithium</x:v>
      </x:c>
      <x:c r="C590" s="31" t="str">
        <x:v>unclassified</x:v>
      </x:c>
      <x:c r="D590" s="31" t="str">
        <x:v>review</x:v>
      </x:c>
      <x:c r="E590" s="31" t="str">
        <x:v>r0184_smpc</x:v>
      </x:c>
      <x:c r="F590" s="31" t="str">
        <x:v>SMPC</x:v>
      </x:c>
      <x:c r="G590" s="31" t="n">
        <x:v>7</x:v>
      </x:c>
      <x:c r="H590" s="31" t="str">
        <x:v>lithium</x:v>
      </x:c>
      <x:c r="I590" s="37" t="str">
        <x:v>apy, and periodically thereafter. Diuretics can increase the risk of nephrotoxicity of NSAIDs. Anticoagulants: NSAIDs may enhance the effects of anti -coagulants, such as warfarin (See section 4.4). Ant-platelet agents and selective serotonin reuptake inhibitors (SSRIs):increased risk of gastrointestinal bleeding (see section 4.4). Cardiac glycosides: NSAIDs may exacerbate cardiac failure, reduce GFR and increase plasma glycoside levels. Lithium: There is evidence for potential increase in plasma levels of lithium. Methotrexate: There is evidence for the potential increase in plasma levels of methotrexate. Ciclosporin: Increased risk of nephrotoxicity. Mifepristone: NSAIDs should not be used for 8 -12 days after mifepristone administration as NSAIDs can reduce the effect of mifepristone. Tacrolimus: Possible increased risk of nephrotoxicity when NSAIDs are given with tacrolimus</x:v>
      </x:c>
      <x:c r="J590" s="37" t="str">
        <x:v>https://drug.fda.moph.go.th/media.php?id=810383770954899456&amp;name=SMPC_Ibuprofen_capsules.pdf</x:v>
      </x:c>
    </x:row>
    <x:row r="591">
      <x:c r="A591" s="31" t="str">
        <x:v>ibuprofen</x:v>
      </x:c>
      <x:c r="B591" s="31" t="str">
        <x:v>methotrexate</x:v>
      </x:c>
      <x:c r="C591" s="31" t="str">
        <x:v>unclassified</x:v>
      </x:c>
      <x:c r="D591" s="31" t="str">
        <x:v>review</x:v>
      </x:c>
      <x:c r="E591" s="31" t="str">
        <x:v>r0184_smpc</x:v>
      </x:c>
      <x:c r="F591" s="31" t="str">
        <x:v>SMPC</x:v>
      </x:c>
      <x:c r="G591" s="31" t="n">
        <x:v>7</x:v>
      </x:c>
      <x:c r="H591" s="31" t="str">
        <x:v>methotrexate</x:v>
      </x:c>
      <x:c r="I591" s="37" t="str">
        <x:v>ity of NSAIDs. Anticoagulants: NSAIDs may enhance the effects of anti -coagulants, such as warfarin (See section 4.4). Ant-platelet agents and selective serotonin reuptake inhibitors (SSRIs):increased risk of gastrointestinal bleeding (see section 4.4). Cardiac glycosides: NSAIDs may exacerbate cardiac failure, reduce GFR and increase plasma glycoside levels. Lithium: There is evidence for potential increase in plasma levels of lithium. Methotrexate: There is evidence for the potential increase in plasma levels of methotrexate. Ciclosporin: Increased risk of nephrotoxicity. Mifepristone: NSAIDs should not be used for 8 -12 days after mifepristone administration as NSAIDs can reduce the effect of mifepristone. Tacrolimus: Possible increased risk of nephrotoxicity when NSAIDs are given with tacrolimus. Zidovudine: Increased risk of haematological toxicity when NSAIDs are given with z</x:v>
      </x:c>
      <x:c r="J591" s="37" t="str">
        <x:v>https://drug.fda.moph.go.th/media.php?id=810383770954899456&amp;name=SMPC_Ibuprofen_capsules.pdf</x:v>
      </x:c>
    </x:row>
    <x:row r="592">
      <x:c r="A592" s="31" t="str">
        <x:v>ibuprofen</x:v>
      </x:c>
      <x:c r="B592" s="31" t="str">
        <x:v>naproxen</x:v>
      </x:c>
      <x:c r="C592" s="31" t="str">
        <x:v>unclassified</x:v>
      </x:c>
      <x:c r="D592" s="31" t="str">
        <x:v>review</x:v>
      </x:c>
      <x:c r="E592" s="31" t="str">
        <x:v>r0253_smpc</x:v>
      </x:c>
      <x:c r="F592" s="31" t="str">
        <x:v>SMPC</x:v>
      </x:c>
      <x:c r="G592" s="31" t="n">
        <x:v>10</x:v>
      </x:c>
      <x:c r="H592" s="31" t="str">
        <x:v>ibuprofen</x:v>
      </x:c>
      <x:c r="I592" s="37" t="str">
        <x:v>section 4.4) when anti -platelet agents and selective serotonin reuptake inhibitors (SSRIs) are combined with NSAIDs. • There is a possible risk of nephrotoxicity when NSAIDs are given with tacrolimus. • There is an increased risk of haematological toxicity when NSAIDs are given with zidovudine. There is evidence of an increased risk of haemarthroses and haematoma in HIV(+) haemophiliacs receiving concurrent treatment with zidovudine and ibuprofen. • Concomitant use of bisphosphonates and NSAIDs may increase the risk of gastric mucosal damage. • It is suggested that Naproxen therapy be temporarily discontinued 48 hours before adrenal function tests are performed, because naproxen may artifactually interfere with some tests for 17 -ketogenic steroids. Similarly, naproxen may interfere with some as says of urinary 5 - hydroxyindoleacetic acid. Sporadic abnormalities in laboratory test</x:v>
      </x:c>
      <x:c r="J592" s="37" t="str">
        <x:v>https://drug.fda.moph.go.th/media.php?id=810422587254513664&amp;name=SMPC_Naproxen_Tablets.pdf</x:v>
      </x:c>
    </x:row>
    <x:row r="593">
      <x:c r="A593" s="31" t="str">
        <x:v>ibuprofen</x:v>
      </x:c>
      <x:c r="B593" s="31" t="str">
        <x:v>tenoxicam</x:v>
      </x:c>
      <x:c r="C593" s="31" t="str">
        <x:v>unclassified</x:v>
      </x:c>
      <x:c r="D593" s="31" t="str">
        <x:v>review</x:v>
      </x:c>
      <x:c r="E593" s="31" t="str">
        <x:v>r0333_smpc</x:v>
      </x:c>
      <x:c r="F593" s="31" t="str">
        <x:v>SMPC</x:v>
      </x:c>
      <x:c r="G593" s="31" t="n">
        <x:v>3</x:v>
      </x:c>
      <x:c r="H593" s="31" t="str">
        <x:v>ibuprofen</x:v>
      </x:c>
      <x:c r="I593" s="37" t="str">
        <x:v>e (two or more distinct episodes of proven ulceration or bleeding). History of gastro -intestinal bleeding (melaena, haematemesis), perforation related to previous NSAID therapy or severe gastritis. Hypersensitivity to tenoxicam or to any of the excipients. NSAIDs are contraindicated in patients who have previously shown hypersensitivity reactions (induce symptoms of asthma, rhinitis, angio- oedema or urticaria) in response to salicylates, ibuprofen, aspirin or other non-steroidal anti-inflammatory drugs (NSAIDS). Severe renal, hepatic or heart failure (see section 4.4). Tenoxicam is contraindicated during the last trimester of pregnancy (see section 4.6). 4.4. Special warnings and precautions for use Undesirable effects may be minimised by using the lowest effective dose for the shortest duration necessary to control symptoms (see section 4.2 and GI and cardiovascular risks below).</x:v>
      </x:c>
      <x:c r="J593" s="37" t="str">
        <x:v>https://drug.fda.moph.go.th/media.php?id=810466026549551104&amp;name=SMPC_Tenoxicam_Tablets.pdf</x:v>
      </x:c>
    </x:row>
    <x:row r="594">
      <x:c r="A594" s="31" t="str">
        <x:v>ibuprofen</x:v>
      </x:c>
      <x:c r="B594" s="31" t="str">
        <x:v>tenoxicam</x:v>
      </x:c>
      <x:c r="C594" s="31" t="str">
        <x:v>unclassified</x:v>
      </x:c>
      <x:c r="D594" s="31" t="str">
        <x:v>review</x:v>
      </x:c>
      <x:c r="E594" s="31" t="str">
        <x:v>r0333_smpc</x:v>
      </x:c>
      <x:c r="F594" s="31" t="str">
        <x:v>SMPC</x:v>
      </x:c>
      <x:c r="G594" s="31" t="n">
        <x:v>5</x:v>
      </x:c>
      <x:c r="H594" s="31" t="str">
        <x:v>ibuprofen</x:v>
      </x:c>
      <x:c r="I594" s="37" t="str">
        <x:v>ing concomitant therapy with diuretics or potentially nephrotoxic drugs and the elderly. Such patients should have their renal, hepatic and cardiac functions carefully monitored (see also section 4.3), and the dose should be kept as low as possible in patients with renal, hepatic or cardiac impairment. Respiratory disorders Caution is required if administered to patients suffering from, or with a previous history of bronchial asthma since ibuprofen has been reported to cause bronchospasm in such patients. Occasional elevations of serum transaminases or other indicators of liver function have been reported. In most cases these have been small and transient increases above the normal range. If the abnormality is significant or persistent, Tenoxicam should be stopped and follow -up tests carried out. Particular care is required in patients with pre-existing hepatic disease.</x:v>
      </x:c>
      <x:c r="J594" s="37" t="str">
        <x:v>https://drug.fda.moph.go.th/media.php?id=810466026549551104&amp;name=SMPC_Tenoxicam_Tablets.pdf</x:v>
      </x:c>
    </x:row>
    <x:row r="595">
      <x:c r="A595" s="31" t="str">
        <x:v>ibuprofen</x:v>
      </x:c>
      <x:c r="B595" s="31" t="str">
        <x:v>tenoxicam</x:v>
      </x:c>
      <x:c r="C595" s="31" t="str">
        <x:v>unclassified</x:v>
      </x:c>
      <x:c r="D595" s="31" t="str">
        <x:v>review</x:v>
      </x:c>
      <x:c r="E595" s="31" t="str">
        <x:v>r0333_smpc</x:v>
      </x:c>
      <x:c r="F595" s="31" t="str">
        <x:v>SMPC</x:v>
      </x:c>
      <x:c r="G595" s="31" t="n">
        <x:v>11</x:v>
      </x:c>
      <x:c r="H595" s="31" t="str">
        <x:v>ibuprofen</x:v>
      </x:c>
      <x:c r="I595" s="37" t="str">
        <x:v>nti -platelet agents and selective serotonin reuptake inhibitors (SSRIs) are combined with NSAIDs. Tacrolimus There is a possible risk of nephrotoxicity when NSAIDs are given with tacrolimus. Zidovudine There is an increased risk of haematological toxicity when NSAIDs are given with zidovudine. There is evidence of an increased risk of haemarthroses and haematoma in HIV(+) haemophiliacs receiving concurrent treatment with zidovudine and ibuprofen. Gold/penicillamine No clinically relevant interaction was found in small numbers of patients receiving treatment with penicillamine or parenteral gold. 4.6. Fertility, pregnancy and lactation Pregnancy Inhibition of prostaglandin synthesis may adversely affect the pregnancy and/or the embryo/foetal development. Data from epidemiological studies suggest an increased risk of miscarriage and of cardiac malformation and gastroschisis after</x:v>
      </x:c>
      <x:c r="J595" s="37" t="str">
        <x:v>https://drug.fda.moph.go.th/media.php?id=810466026549551104&amp;name=SMPC_Tenoxicam_Tablets.pdf</x:v>
      </x:c>
    </x:row>
    <x:row r="596">
      <x:c r="A596" s="31" t="str">
        <x:v>ibuprofen</x:v>
      </x:c>
      <x:c r="B596" s="31" t="str">
        <x:v>vancomycin</x:v>
      </x:c>
      <x:c r="C596" s="31" t="str">
        <x:v>unclassified</x:v>
      </x:c>
      <x:c r="D596" s="31" t="str">
        <x:v>review</x:v>
      </x:c>
      <x:c r="E596" s="31" t="str">
        <x:v>r0437_smpc</x:v>
      </x:c>
      <x:c r="F596" s="31" t="str">
        <x:v>SMPC</x:v>
      </x:c>
      <x:c r="G596" s="31" t="n">
        <x:v>10</x:v>
      </x:c>
      <x:c r="H596" s="31" t="str">
        <x:v>ibuprofen</x:v>
      </x:c>
      <x:c r="I596" s="37" t="str">
        <x:v>nts, because of their renal immaturity and the possible increase in the serum concentration of vancomycin. The blood concentrations of vancomycin should therefore be monitored carefully in these children. Concomitant administration of vancomycin and anaesthetic agents has been associated with erythema and histamine-like flushing in children. Similarly, concomitant use with nephrotoxic agents such as aminoglycoside antibiotics, NSAIDs (e.g., ibuprofen for closure of patent ductus arteriosus) or amphotericin B is associated with an increased risk of nephrotoxicity (see section 4.5) and therefore more frequent monitoring of vancomycin serum levels and renal function is indicated. Use in the elderly The natural decrement of glomerular filtration with increasing age may lead to elevated vancomycin serum concentrations if dosage is not adjusted (see section 4.2). Drug interactions with ana</x:v>
      </x:c>
      <x:c r="J596" s="37" t="str">
        <x:v>https://drug.fda.moph.go.th/media.php?id=904966130962145280&amp;name=5. Ref SmPC_Vancomycin.pdf</x:v>
      </x:c>
    </x:row>
    <x:row r="597">
      <x:c r="A597" s="31" t="str">
        <x:v>indapamide</x:v>
      </x:c>
      <x:c r="B597" s="31" t="str">
        <x:v>lithium</x:v>
      </x:c>
      <x:c r="C597" s="31" t="str">
        <x:v>moderate</x:v>
      </x:c>
      <x:c r="D597" s="31" t="str">
        <x:v>eligible</x:v>
      </x:c>
      <x:c r="E597" s="31" t="str">
        <x:v>r0186_smpc</x:v>
      </x:c>
      <x:c r="F597" s="31" t="str">
        <x:v>SMPC</x:v>
      </x:c>
      <x:c r="G597" s="31" t="n">
        <x:v>6</x:v>
      </x:c>
      <x:c r="H597" s="31" t="str">
        <x:v>lithium</x:v>
      </x:c>
      <x:c r="I597" s="37" t="str">
        <x:v>1 Ref:Indapamide 2.5 mg Tablets, MHRA, 16/05/2022 6 The attention of athletes is drawn to the fact that this drug contains an active ingredient which may give a positive reaction in doping tests. . 4.5. Interaction with other medicinal products and other forms of interaction Combinations that are not recommended: Lithium: Increased plasma Lithium with signs of overdose, as with a salt-free diet (decreased urinaryLithium secretion). However, if the use of diuretics is necessary, careful monitoring of plasma Lithium and dose adjustment are required. Combinations requiring precautions for use: Torsades de pointes-inducing drugs: Class Ia antiarrhythmic drugs (Quinidine, Hydroquinidine, Disopyramide), Class III antiarrhythmics (Amiodarone, Bretylium, Sotalo</x:v>
      </x:c>
      <x:c r="J597" s="37" t="str">
        <x:v>https://drug.fda.moph.go.th/media.php?id=810384338393899008&amp;name=SMPC_Indapamide_Tablets.pdf</x:v>
      </x:c>
    </x:row>
    <x:row r="598">
      <x:c r="A598" s="31" t="str">
        <x:v>indapamide</x:v>
      </x:c>
      <x:c r="B598" s="31" t="str">
        <x:v>magnesium</x:v>
      </x:c>
      <x:c r="C598" s="31" t="str">
        <x:v>unclassified</x:v>
      </x:c>
      <x:c r="D598" s="31" t="str">
        <x:v>review</x:v>
      </x:c>
      <x:c r="E598" s="31" t="str">
        <x:v>r0186_smpc</x:v>
      </x:c>
      <x:c r="F598" s="31" t="str">
        <x:v>SMPC</x:v>
      </x:c>
      <x:c r="G598" s="31" t="n">
        <x:v>8</x:v>
      </x:c>
      <x:c r="H598" s="31" t="str">
        <x:v>magnesium</x:v>
      </x:c>
      <x:c r="I598" s="37" t="str">
        <x:v>1 Ref:Indapamide 2.5 mg Tablets, MHRA, 16/05/2022 8 Hydrate the patient; monitor renal function at the start of treatment. Digitalis preparations: Hypokalaemia and/or hypomagnesaemia predispose to the toxic effects of digitalis. Monitoring of plasma potassium, magnesium and ECG is recommended and, if necessary, adjusting the treatment. Combinations requiring special care: Allopurinol: Concomitant treatment with indapamide may increase the incidence of hypersensitivityreactions to allopurinol. Combinations to be taken into consideration: Potassium-sparing diuretics (Amiloride, Spironolactone, Triamterene): Whilst rational combinations are useful in some patients, hypokalaemia or hyperkalaemia particula</x:v>
      </x:c>
      <x:c r="J598" s="37" t="str">
        <x:v>https://drug.fda.moph.go.th/media.php?id=810384338393899008&amp;name=SMPC_Indapamide_Tablets.pdf</x:v>
      </x:c>
    </x:row>
    <x:row r="599">
      <x:c r="A599" s="31" t="str">
        <x:v>indapamide</x:v>
      </x:c>
      <x:c r="B599" s="31" t="str">
        <x:v>metformin</x:v>
      </x:c>
      <x:c r="C599" s="31" t="str">
        <x:v>unclassified</x:v>
      </x:c>
      <x:c r="D599" s="31" t="str">
        <x:v>review</x:v>
      </x:c>
      <x:c r="E599" s="31" t="str">
        <x:v>r0186_smpc</x:v>
      </x:c>
      <x:c r="F599" s="31" t="str">
        <x:v>SMPC</x:v>
      </x:c>
      <x:c r="G599" s="31" t="n">
        <x:v>8</x:v>
      </x:c>
      <x:c r="H599" s="31" t="str">
        <x:v>metformin</x:v>
      </x:c>
      <x:c r="I599" s="37" t="str">
        <x:v>ndapamide may increase the incidence of hypersensitivityreactions to allopurinol. Combinations to be taken into consideration: Potassium-sparing diuretics (Amiloride, Spironolactone, Triamterene): Whilst rational combinations are useful in some patients, hypokalaemia or hyperkalaemia particularly in patients with renal failure or diabetes may still occur. Plasma potassium andECG should be monitored and, if necessary, treatment reviewed. Metformin Increased risk of metformin induced lactic acidosis due to the possibility of functional renalfailure associated with diuretics and more particularly with loop diuretics. Do not use metformin when plasma creatinine exceeds15mg / litre (135μmol / litre) in men and 12mg /litre (110μmol / litre) in women. Iodinated contrast media: In the presence of dehydration caused by diuretics, increased risk of acute renal failure, inparticular when la</x:v>
      </x:c>
      <x:c r="J599" s="37" t="str">
        <x:v>https://drug.fda.moph.go.th/media.php?id=810384338393899008&amp;name=SMPC_Indapamide_Tablets.pdf</x:v>
      </x:c>
    </x:row>
    <x:row r="600">
      <x:c r="A600" s="31" t="str">
        <x:v>indapamide</x:v>
      </x:c>
      <x:c r="B600" s="31" t="str">
        <x:v>methyldopa</x:v>
      </x:c>
      <x:c r="C600" s="31" t="str">
        <x:v>unclassified</x:v>
      </x:c>
      <x:c r="D600" s="31" t="str">
        <x:v>review</x:v>
      </x:c>
      <x:c r="E600" s="31" t="str">
        <x:v>r0186_smpc</x:v>
      </x:c>
      <x:c r="F600" s="31" t="str">
        <x:v>SMPC</x:v>
      </x:c>
      <x:c r="G600" s="31" t="n">
        <x:v>2</x:v>
      </x:c>
      <x:c r="H600" s="31" t="str">
        <x:v>methyldopa</x:v>
      </x:c>
      <x:c r="I600" s="37" t="str">
        <x:v>1 Ref:Indapamide 2.5 mg Tablets, MHRA, 16/05/2022 2 indapamide daily is not recommended, as there is no appreciable additional anti -hypertensive effect but a diuretic effect may become apparent. If a single daily tablet of indapamide does not achieve a sufficient reduction in blood pressure, another anti -hypertensive agent may be added such as beta -blockers, ACE inhibitors, methyldopa, clonidine and other adrenergic blocking agents. The co-administration of indapamide with diuretics which may cause hypokalaemia is not recommended. There is no evidence of rebound hypertension on withdrawal of indapamide Renal impairment (see sections 4.3 and 4.4): In severe renal failure (creatinine clearance below 30 ml/min), treatment is contraindicated. Thiazide and related diuretics are fully effective only when renal function is</x:v>
      </x:c>
      <x:c r="J600" s="37" t="str">
        <x:v>https://drug.fda.moph.go.th/media.php?id=810384338393899008&amp;name=SMPC_Indapamide_Tablets.pdf</x:v>
      </x:c>
    </x:row>
    <x:row r="601">
      <x:c r="A601" s="31" t="str">
        <x:v>indapamide</x:v>
      </x:c>
      <x:c r="B601" s="31" t="str">
        <x:v>thioridazine</x:v>
      </x:c>
      <x:c r="C601" s="31" t="str">
        <x:v>unclassified</x:v>
      </x:c>
      <x:c r="D601" s="31" t="str">
        <x:v>review</x:v>
      </x:c>
      <x:c r="E601" s="31" t="str">
        <x:v>r0186_smpc</x:v>
      </x:c>
      <x:c r="F601" s="31" t="str">
        <x:v>SMPC</x:v>
      </x:c>
      <x:c r="G601" s="31" t="n">
        <x:v>6</x:v>
      </x:c>
      <x:c r="H601" s="31" t="str">
        <x:v>thioridazine</x:v>
      </x:c>
      <x:c r="I601" s="37" t="str">
        <x:v>on). However, if the use of diuretics is necessary, careful monitoring of plasma Lithium and dose adjustment are required. Combinations requiring precautions for use: Torsades de pointes-inducing drugs: Class Ia antiarrhythmic drugs (Quinidine, Hydroquinidine, Disopyramide), Class III antiarrhythmics (Amiodarone, Bretylium, Sotalol dofetilide, ibutilide) Some antipsychotics: phenothiazines (chlorpromazine, cyamemazine, levomepromazine, thioridazine, trifluoperazine), benzamides (amisulpride, sulpiride, tiapride) butyrophenones (droperidol,haloperidol) others: bepridil, cisapride, diphemanil, mizolastine, sparfloxacin, moxifloxacin, IV-erythromycin, Halofantrine, Pentamidine, SultoprideTerfenadine, Vincamine IV. Increased risk of ventricular arrhythmias, particularly Torsade de pointes (hypokalaemia is arisk factor) Monitor for hypokalaemia and correct, if required, before introducin</x:v>
      </x:c>
      <x:c r="J601" s="37" t="str">
        <x:v>https://drug.fda.moph.go.th/media.php?id=810384338393899008&amp;name=SMPC_Indapamide_Tablets.pdf</x:v>
      </x:c>
    </x:row>
    <x:row r="602">
      <x:c r="A602" s="31" t="str">
        <x:v>indapamide</x:v>
      </x:c>
      <x:c r="B602" s="31" t="str">
        <x:v>trifluoperazine</x:v>
      </x:c>
      <x:c r="C602" s="31" t="str">
        <x:v>unclassified</x:v>
      </x:c>
      <x:c r="D602" s="31" t="str">
        <x:v>review</x:v>
      </x:c>
      <x:c r="E602" s="31" t="str">
        <x:v>r0186_smpc</x:v>
      </x:c>
      <x:c r="F602" s="31" t="str">
        <x:v>SMPC</x:v>
      </x:c>
      <x:c r="G602" s="31" t="n">
        <x:v>6</x:v>
      </x:c>
      <x:c r="H602" s="31" t="str">
        <x:v>trifluoperazine</x:v>
      </x:c>
      <x:c r="I602" s="37" t="str">
        <x:v>if the use of diuretics is necessary, careful monitoring of plasma Lithium and dose adjustment are required. Combinations requiring precautions for use: Torsades de pointes-inducing drugs: Class Ia antiarrhythmic drugs (Quinidine, Hydroquinidine, Disopyramide), Class III antiarrhythmics (Amiodarone, Bretylium, Sotalol dofetilide, ibutilide) Some antipsychotics: phenothiazines (chlorpromazine, cyamemazine, levomepromazine, thioridazine, trifluoperazine), benzamides (amisulpride, sulpiride, tiapride) butyrophenones (droperidol,haloperidol) others: bepridil, cisapride, diphemanil, mizolastine, sparfloxacin, moxifloxacin, IV-erythromycin, Halofantrine, Pentamidine, SultoprideTerfenadine, Vincamine IV. Increased risk of ventricular arrhythmias, particularly Torsade de pointes (hypokalaemia is arisk factor) Monitor for hypokalaemia and correct, if required, before introducing this combinati</x:v>
      </x:c>
      <x:c r="J602" s="37" t="str">
        <x:v>https://drug.fda.moph.go.th/media.php?id=810384338393899008&amp;name=SMPC_Indapamide_Tablets.pdf</x:v>
      </x:c>
    </x:row>
    <x:row r="603">
      <x:c r="A603" s="31" t="str">
        <x:v>indomethacin</x:v>
      </x:c>
      <x:c r="B603" s="31" t="str">
        <x:v>lithium</x:v>
      </x:c>
      <x:c r="C603" s="31" t="str">
        <x:v>unclassified</x:v>
      </x:c>
      <x:c r="D603" s="31" t="str">
        <x:v>review</x:v>
      </x:c>
      <x:c r="E603" s="31" t="str">
        <x:v>r0187_smpc</x:v>
      </x:c>
      <x:c r="F603" s="31" t="str">
        <x:v>SMPC</x:v>
      </x:c>
      <x:c r="G603" s="31" t="n">
        <x:v>11</x:v>
      </x:c>
      <x:c r="H603" s="31" t="str">
        <x:v>lithium</x:v>
      </x:c>
      <x:c r="I603" s="37" t="str">
        <x:v>1 Ref: Indometacin, MHRA, 15/03/2024 11 thiazides and furosemide in some patients. Indometacin may cause blocking of the furosemide -induced increase in plasma renin activity. Diuretics can increase the risk of nephrotoxicity of NSAIDs. • Lithium: Decreased elimination of lithium. Indometacin is an inhibitor of prostaglandin synthesis and therefore the following drug interactions may occur; indometacin may raise plasma lithium levels and reduce lithium clearance in subjects with steady st ate plasma lithium concentrations. At the onset of such combined therapy, plasma lithium concentration should be monitored more frequently. • Methotrexate: Decreased elimination of methotrexate.</x:v>
      </x:c>
      <x:c r="J603" s="37" t="str">
        <x:v>https://drug.fda.moph.go.th/media.php?id=810384768385556480&amp;name=SMPC_Indometacin_Capsules.pdf</x:v>
      </x:c>
    </x:row>
    <x:row r="604">
      <x:c r="A604" s="31" t="str">
        <x:v>indomethacin</x:v>
      </x:c>
      <x:c r="B604" s="31" t="str">
        <x:v>methotrexate</x:v>
      </x:c>
      <x:c r="C604" s="31" t="str">
        <x:v>unclassified</x:v>
      </x:c>
      <x:c r="D604" s="31" t="str">
        <x:v>review</x:v>
      </x:c>
      <x:c r="E604" s="31" t="str">
        <x:v>r0187_smpc</x:v>
      </x:c>
      <x:c r="F604" s="31" t="str">
        <x:v>SMPC</x:v>
      </x:c>
      <x:c r="G604" s="31" t="n">
        <x:v>10</x:v>
      </x:c>
      <x:c r="H604" s="31" t="str">
        <x:v>methotrexate</x:v>
      </x:c>
      <x:c r="I604" s="37" t="str">
        <x:v>n. NSAIDs should be used with caution in patients taking ciclosporin, and renal function should be monitored carefully. • Corticosteroids: Increased risk of gastro -intestinal ulceration or bleeding (see section 4.4). If the patient is receiving corticosteroids concomitantly, a reduction in dosage of these may be possible but should only be effected slowly under supervision. • Cytotoxics: indometacin may decrease the tubular secretion of methotrexate thus potentiating toxicity; simultaneous use should be undertaken with caution. • Desmopressin: effect potentiated by indometacin. • Diflunisal: avoid concomitant use. Increased plasma levels of indometacin by about a third with a concomitant decrease in renal clearance. Fatal gastro-intestinal haemorrhage has occurred. • Diuretics: NSAIDs may reduce the effect of diuretics and antihypertensive medicinal products. The risk of acute renal</x:v>
      </x:c>
      <x:c r="J604" s="37" t="str">
        <x:v>https://drug.fda.moph.go.th/media.php?id=810384768385556480&amp;name=SMPC_Indometacin_Capsules.pdf</x:v>
      </x:c>
    </x:row>
    <x:row r="605">
      <x:c r="A605" s="31" t="str">
        <x:v>indomethacin</x:v>
      </x:c>
      <x:c r="B605" s="31" t="str">
        <x:v>methotrexate</x:v>
      </x:c>
      <x:c r="C605" s="31" t="str">
        <x:v>unclassified</x:v>
      </x:c>
      <x:c r="D605" s="31" t="str">
        <x:v>review</x:v>
      </x:c>
      <x:c r="E605" s="31" t="str">
        <x:v>r0187_smpc</x:v>
      </x:c>
      <x:c r="F605" s="31" t="str">
        <x:v>SMPC</x:v>
      </x:c>
      <x:c r="G605" s="31" t="n">
        <x:v>11</x:v>
      </x:c>
      <x:c r="H605" s="31" t="str">
        <x:v>methotrexate</x:v>
      </x:c>
      <x:c r="I605" s="37" t="str">
        <x:v>rease the risk of nephrotoxicity of NSAIDs. • Lithium: Decreased elimination of lithium. Indometacin is an inhibitor of prostaglandin synthesis and therefore the following drug interactions may occur; indometacin may raise plasma lithium levels and reduce lithium clearance in subjects with steady st ate plasma lithium concentrations. At the onset of such combined therapy, plasma lithium concentration should be monitored more frequently. • Methotrexate: Decreased elimination of methotrexate. • Mifepristone: NSAIDs should not be used for 8 -12 days after mifepristone administration as NSAIDs can reduce the effect of mifepristone. • Muscle Relaxants: increased risk of baclofen toxicity due to reduced rate of excretion. • Pentoxifylline: possible increased risk of bleeding when taken with NSAIDs. • Probenecid: co -administration of probenecid may increase indometacin plasma levels. When</x:v>
      </x:c>
      <x:c r="J605" s="37" t="str">
        <x:v>https://drug.fda.moph.go.th/media.php?id=810384768385556480&amp;name=SMPC_Indometacin_Capsules.pdf</x:v>
      </x:c>
    </x:row>
    <x:row r="606">
      <x:c r="A606" s="31" t="str">
        <x:v>indomethacin</x:v>
      </x:c>
      <x:c r="B606" s="31" t="str">
        <x:v>prazosin</x:v>
      </x:c>
      <x:c r="C606" s="31" t="str">
        <x:v>unclassified</x:v>
      </x:c>
      <x:c r="D606" s="31" t="str">
        <x:v>review</x:v>
      </x:c>
      <x:c r="E606" s="31" t="str">
        <x:v>r0289_smpc</x:v>
      </x:c>
      <x:c r="F606" s="31" t="str">
        <x:v>SMPC</x:v>
      </x:c>
      <x:c r="G606" s="31" t="n">
        <x:v>8</x:v>
      </x:c>
      <x:c r="H606" s="31" t="str">
        <x:v>indomethacin</x:v>
      </x:c>
      <x:c r="I606" s="37" t="str">
        <x:v>ollowing: Cardiac glycosides: digitalis and digoxin. Hypoglycaemic agents: insulin, chlorpropamide, phenformin, tolazamide and tolbutamide. Tranquillizers and sedatives: chlordiazapoxide, diazepam and phenobarbital. Agents for treatment of gout: allopurinol, colchicine and probenecid. Anti-arrhythmic agents: procainamide and quinidine. Analgesic, antipyretic and anti-inflammatory agents: dextropropoxyphene, aspirin, indomethacin and phenylbutazone. There is evidence that adding prazosin hydrochloride to beta-adrenergic antagonist or calcium antagonist therapy may produce a substantial reduction in blood pressure. Therefore the low initial dosage regimen is recommended. PDE-5 Inhibitors: Concomitant use of PDE-5 inhibitors (e.g. sildenafil, tadalafil, vardenafil) and prazosin hydrochloride may lead to symptomatic hypotension in some patients (see sectio</x:v>
      </x:c>
      <x:c r="J606" s="37" t="str">
        <x:v>https://drug.fda.moph.go.th/media.php?id=810438580303437824&amp;name=SMPC_Prazosin_Tablets.pdf</x:v>
      </x:c>
    </x:row>
    <x:row r="607">
      <x:c r="A607" s="31" t="str">
        <x:v>indomethacin</x:v>
      </x:c>
      <x:c r="B607" s="31" t="str">
        <x:v>tramadol</x:v>
      </x:c>
      <x:c r="C607" s="31" t="str">
        <x:v>unclassified</x:v>
      </x:c>
      <x:c r="D607" s="31" t="str">
        <x:v>review</x:v>
      </x:c>
      <x:c r="E607" s="31" t="str">
        <x:v>r0351_smpc</x:v>
      </x:c>
      <x:c r="F607" s="31" t="str">
        <x:v>SMPC</x:v>
      </x:c>
      <x:c r="G607" s="31" t="n">
        <x:v>19</x:v>
      </x:c>
      <x:c r="H607" s="31" t="str">
        <x:v>indomethacin</x:v>
      </x:c>
      <x:c r="I607" s="37" t="str">
        <x:v>pulmonary tumours in females of all dosage groups (significant, but not dose-dependent). 6. PHARMACEUTICAL PARTICULARS 6.1. List of excipients &lt;REGARDING THE APPROVAL&gt; 6.2. Incompatibilities This medicinal product must not be mixed with other medicinal products except those mentioned in section 6.6. Precipitation will occur if tramadol hydrochloride injection is mixed in the same syringe with injections of diazepam, diclofenac sodium, indomethacin, midazolam and piroxicam. 6.3. Shelf life &lt;REGARDING THE APPROVAL&gt; 6.4. Special precautions for storage &lt;REGARDING THE APPROVAL&gt;</x:v>
      </x:c>
      <x:c r="J607" s="37" t="str">
        <x:v>https://drug.fda.moph.go.th/media.php?id=810484035766853632&amp;name=SMPC_Tramadol_solution for injection or infusion.pdf</x:v>
      </x:c>
    </x:row>
    <x:row r="608">
      <x:c r="A608" s="31" t="str">
        <x:v>indomethacin</x:v>
      </x:c>
      <x:c r="B608" s="31" t="str">
        <x:v>vancomycin</x:v>
      </x:c>
      <x:c r="C608" s="31" t="str">
        <x:v>unclassified</x:v>
      </x:c>
      <x:c r="D608" s="31" t="str">
        <x:v>review</x:v>
      </x:c>
      <x:c r="E608" s="31" t="str">
        <x:v>r0187_smpc</x:v>
      </x:c>
      <x:c r="F608" s="31" t="str">
        <x:v>SMPC</x:v>
      </x:c>
      <x:c r="G608" s="31" t="n">
        <x:v>12</x:v>
      </x:c>
      <x:c r="H608" s="31" t="str">
        <x:v>vancomycin</x:v>
      </x:c>
      <x:c r="I608" s="37" t="str">
        <x:v>1 Ref: Indometacin, MHRA, 15/03/2024 12 • Laboratory tests: false -negative results in the dexamethasone suppression test (DST) in patients being treated with indometacin have been reported. Thus, results of this test should be used with caution in these patients. • Vancomycin: Studies in premature neonates being treated for patent ductus arteriosus have shown that concomitant administration of indometacin and vancomycin may have additive nephrotoxic effects. As such, caution is advised during concurrent or subseque nt use of indometacin and vancomycin, as indometacin may increase the risk of vancomycin related toxicities. Where possible, monitor vancomycin levels and adjust the vancomycin dose and/or dosing int</x:v>
      </x:c>
      <x:c r="J608" s="37" t="str">
        <x:v>https://drug.fda.moph.go.th/media.php?id=810384768385556480&amp;name=SMPC_Indometacin_Capsules.pdf</x:v>
      </x:c>
    </x:row>
    <x:row r="609">
      <x:c r="A609" s="31" t="str">
        <x:v>indomethacin</x:v>
      </x:c>
      <x:c r="B609" s="31" t="str">
        <x:v>zidovudine</x:v>
      </x:c>
      <x:c r="C609" s="31" t="str">
        <x:v>unclassified</x:v>
      </x:c>
      <x:c r="D609" s="31" t="str">
        <x:v>review</x:v>
      </x:c>
      <x:c r="E609" s="31" t="str">
        <x:v>r0187_smpc</x:v>
      </x:c>
      <x:c r="F609" s="31" t="str">
        <x:v>SMPC</x:v>
      </x:c>
      <x:c r="G609" s="31" t="n">
        <x:v>10</x:v>
      </x:c>
      <x:c r="H609" s="31" t="str">
        <x:v>zidovudine</x:v>
      </x:c>
      <x:c r="I609" s="37" t="str">
        <x:v>1 Ref: Indometacin, MHRA, 15/03/2024 10 • Antivirals: Increased risk of haematological toxicity when NSAIDs are given with zidovudine. There is evidence of an increased risk of haemarthroses and haematoma in HIV(+) haemophiliacs receiving concurrent treatment with zidovudine and ibuprofen. Risk of indometacin toxicity with ritonavir, avoid concomitant use. • Cardiac glycosides: NSAIDs may exacerbate cardiac failure, reduce GFR and increase plasma-cardiac glycoside levels. • Ciclosporin: Increased risk of nephrotoxicity. Administration of NSAIDs concomitantly with ciclos</x:v>
      </x:c>
      <x:c r="J609" s="37" t="str">
        <x:v>https://drug.fda.moph.go.th/media.php?id=810384768385556480&amp;name=SMPC_Indometacin_Capsules.pdf</x:v>
      </x:c>
    </x:row>
    <x:row r="610">
      <x:c r="A610" s="31" t="str">
        <x:v>insulin</x:v>
      </x:c>
      <x:c r="B610" s="31" t="str">
        <x:v>lisinopril</x:v>
      </x:c>
      <x:c r="C610" s="31" t="str">
        <x:v>unclassified</x:v>
      </x:c>
      <x:c r="D610" s="31" t="str">
        <x:v>review</x:v>
      </x:c>
      <x:c r="E610" s="31" t="str">
        <x:v>r0213_smpc</x:v>
      </x:c>
      <x:c r="F610" s="31" t="str">
        <x:v>SMPC</x:v>
      </x:c>
      <x:c r="G610" s="31" t="n">
        <x:v>12</x:v>
      </x:c>
      <x:c r="H610" s="31" t="str">
        <x:v>insulin</x:v>
      </x:c>
      <x:c r="I610" s="37" t="str">
        <x:v>rimoxazole also known as trime thoprim/sulfamethoxazole) and especially aldosterone antagonists or angiotensin -receptor blockers, hyperkalemia can occur. Potassium -sparing diuretics and angiotensin - receptor blockers should be used with caution in patients receiving ACE inhibitors, and serum potassium and renal function should be monitored (see section 4.5). Diabetic patients In diabetic patients treated with oral antidiabetic agents or insulin, glycaemic control should be closely monitored during the first month of treatment with an ACE inhibitor (see 4.5 Interaction with other medicinal products and other forms of interaction). Lithium The combination of lithium and lisinopril is generally not recommended (see section 4.5). Pregnancy ACE inhibitors should not be initiated during pregnancy. Unless continued ACE inhibitor therapy is considered essential, patients planning pre</x:v>
      </x:c>
      <x:c r="J610" s="37" t="str">
        <x:v>https://drug.fda.moph.go.th/media.php?id=810405133153345536&amp;name=SMPC_Lisinopril_Tablets.pdf</x:v>
      </x:c>
    </x:row>
    <x:row r="611">
      <x:c r="A611" s="31" t="str">
        <x:v>insulin</x:v>
      </x:c>
      <x:c r="B611" s="31" t="str">
        <x:v>metformin</x:v>
      </x:c>
      <x:c r="C611" s="31" t="str">
        <x:v>unclassified</x:v>
      </x:c>
      <x:c r="D611" s="31" t="str">
        <x:v>review</x:v>
      </x:c>
      <x:c r="E611" s="31" t="str">
        <x:v>r0228_smpc</x:v>
      </x:c>
      <x:c r="F611" s="31" t="str">
        <x:v>SMPC</x:v>
      </x:c>
      <x:c r="G611" s="31" t="n">
        <x:v>6</x:v>
      </x:c>
      <x:c r="H611" s="31" t="str">
        <x:v>insulin</x:v>
      </x:c>
      <x:c r="I611" s="37" t="str">
        <x:v>uld be monitored. Periodic vitamin B12 monitoring could be necessary in patients with risk factors for vitamin B12 deficiency. Metformin therapy should be continued for as long as it i s tolerated and not contra -indicated and appropriate corrective treatment for vitamin B12 deficiency provided in line with current clinical guidelines. Metformin alone does not cause hypoglycaemia, but caution is advised when it is used in combination with insulin or other oral antidiabetics (e.g. sulfonylureas or meglitinides). 4.5. Interaction with other medicinal products and other forms of interaction Concomitant use not recommended Alcohol</x:v>
      </x:c>
      <x:c r="J611" s="37" t="str">
        <x:v>https://drug.fda.moph.go.th/media.php?id=810411685197258752&amp;name=SMPC_Metformin_Film-coated Tablet.pdf</x:v>
      </x:c>
    </x:row>
    <x:row r="612">
      <x:c r="A612" s="31" t="str">
        <x:v>insulin</x:v>
      </x:c>
      <x:c r="B612" s="31" t="str">
        <x:v>metformin</x:v>
      </x:c>
      <x:c r="C612" s="31" t="str">
        <x:v>unclassified</x:v>
      </x:c>
      <x:c r="D612" s="31" t="str">
        <x:v>review</x:v>
      </x:c>
      <x:c r="E612" s="31" t="str">
        <x:v>r0228_smpc</x:v>
      </x:c>
      <x:c r="F612" s="31" t="str">
        <x:v>SMPC</x:v>
      </x:c>
      <x:c r="G612" s="31" t="n">
        <x:v>11</x:v>
      </x:c>
      <x:c r="H612" s="31" t="str">
        <x:v>insulin</x:v>
      </x:c>
      <x:c r="I612" s="37" t="str">
        <x:v>tic acidosis is a medical emergency and must be treated in hospital. The most effective method to remove lactate and metformin is haemodialysis. 5. PHARMACOLOGICAL PROPERTIES 5.1. Pharmacodynamic properties Pharmacotherapeutic group: Blood glucose lowering drugs. Biguanides; ATC code: A10BA02 Mechanism of action Metformin is a biguanide with antihyperglycaemic effects, on both basal and postprandial hyperglycaemia. It does not stimulate insulin secretion and therefore does not cause hypoglycaemia. Metformin exerts its antihyperglycaemic effect via multiple mechanisms: Metformin reduces hepatic glucose production. Metformin facilitates peripheral glucose uptake and utilization, in part by increasing insulin action. Metformin reduces basal hyperinsulinemia, and in combination with insulin, reduces insulin requirement. Metformin alters glucose turnover in the gut: Uptake from cir</x:v>
      </x:c>
      <x:c r="J612" s="37" t="str">
        <x:v>https://drug.fda.moph.go.th/media.php?id=810411685197258752&amp;name=SMPC_Metformin_Film-coated Tablet.pdf</x:v>
      </x:c>
    </x:row>
    <x:row r="613">
      <x:c r="A613" s="31" t="str">
        <x:v>insulin</x:v>
      </x:c>
      <x:c r="B613" s="31" t="str">
        <x:v>ofloxacin</x:v>
      </x:c>
      <x:c r="C613" s="31" t="str">
        <x:v>unclassified</x:v>
      </x:c>
      <x:c r="D613" s="31" t="str">
        <x:v>review</x:v>
      </x:c>
      <x:c r="E613" s="31" t="str">
        <x:v>r0260_smpc</x:v>
      </x:c>
      <x:c r="F613" s="31" t="str">
        <x:v>SMPC</x:v>
      </x:c>
      <x:c r="G613" s="31" t="n">
        <x:v>18</x:v>
      </x:c>
      <x:c r="H613" s="31" t="str">
        <x:v>insulin</x:v>
      </x:c>
      <x:c r="I613" s="37" t="str">
        <x:v>Dysglycaemia As with all quinolones, disturbances in blood glucose, including both hypoglycaemia and hyperglycaemia have been reported more frequently in the elderly usually in diabetic patients receiving concomitant treatment with an oral hypoglycaemic agent (e.g., glibenclamide) or with insulin. Cases of hypoglycaemic coma have been reported. In diabetic patients, careful monitoring of blood glucose is recommended (see Section 4.8). Ofloxacin treatment should be stopped immediately if a patient reports disturbance in blood glucose, and alternative non - fluoroquinolone antibacterial therapy should be considered. Peripheral neuropathy Sensory or sensorimotor reactions have been reported in patients receiving quinolones and fluoro</x:v>
      </x:c>
      <x:c r="J613" s="37" t="str">
        <x:v>https://drug.fda.moph.go.th/media.php?id=810425338315284480&amp;name=SMPC_Ofloxacin_Film-coated Tablet.pdf</x:v>
      </x:c>
    </x:row>
    <x:row r="614">
      <x:c r="A614" s="31" t="str">
        <x:v>insulin</x:v>
      </x:c>
      <x:c r="B614" s="31" t="str">
        <x:v>ofloxacin</x:v>
      </x:c>
      <x:c r="C614" s="31" t="str">
        <x:v>unclassified</x:v>
      </x:c>
      <x:c r="D614" s="31" t="str">
        <x:v>review</x:v>
      </x:c>
      <x:c r="E614" s="31" t="str">
        <x:v>r0261_smpc</x:v>
      </x:c>
      <x:c r="F614" s="31" t="str">
        <x:v>SMPC</x:v>
      </x:c>
      <x:c r="G614" s="31" t="n">
        <x:v>13</x:v>
      </x:c>
      <x:c r="H614" s="31" t="str">
        <x:v>insulin</x:v>
      </x:c>
      <x:c r="I614" s="37" t="str">
        <x:v>as pain, burning, tingling, numbness, or weakness develop in order to prevent the development of potentially irreversible condition (see section 4.8). Dysglycaemia As with all quinolones, disturbances in blood glucose, including both hyperglycaemia and hypoglycaemia have been reported more frequently in the elderly, usually in diabetic patients receiving concomitant treatment with an oral hypoglycaemic agent (e.g. glibenclamide) or with insulin. Cases of hypoglycaemic coma have been reported. In these diabetic patients, careful monitoring of blood glucose is recommended (see section 4.8). Ofloxacin treatment should be stopped immediately if a patient reports disturbance in blood glucose, and alternative non -fluoroquinolone antibacterial therapy should be considered. Patients with glucose-6-phosphate-dehydrogenase deficiency Patients with latent or diagnosed glucose -6-phosphate</x:v>
      </x:c>
      <x:c r="J614" s="37" t="str">
        <x:v>https://drug.fda.moph.go.th/media.php?id=810425581312286720&amp;name=SMPC_Ofloxacin_Tablet.pdf</x:v>
      </x:c>
    </x:row>
    <x:row r="615">
      <x:c r="A615" s="31" t="str">
        <x:v>insulin</x:v>
      </x:c>
      <x:c r="B615" s="31" t="str">
        <x:v>oxytetracycline</x:v>
      </x:c>
      <x:c r="C615" s="31" t="str">
        <x:v>unclassified</x:v>
      </x:c>
      <x:c r="D615" s="31" t="str">
        <x:v>review</x:v>
      </x:c>
      <x:c r="E615" s="31" t="str">
        <x:v>r0264_smpc</x:v>
      </x:c>
      <x:c r="F615" s="31" t="str">
        <x:v>SMPC</x:v>
      </x:c>
      <x:c r="G615" s="31" t="n">
        <x:v>6</x:v>
      </x:c>
      <x:c r="H615" s="31" t="str">
        <x:v>insulin</x:v>
      </x:c>
      <x:c r="I615" s="37" t="str">
        <x:v>on. A few cases of pregnancy or breakthrough bleeding have been attributed to the concurrent use of oxytetracycline with oral contraceptives and alternate contraceptive advice should be sought where necessary. Oxytetracycline should not be given concurrently with bactericidal drugs such as penicillins as bacteriostatic drugs may interfere with the bactericidal action of penicillin. Oxytetracycline may increase the hypoglycaemic effects of insulin and sulfonylureas in patients with diabetes mellitus. Oxytetracycline may cause an increase in serum lithium levels when taken concomitantly with lithium -containing medications (e.g. anti - depressants/medicines to treat bi -polar disorder). The lithium dosage should either be adjusted or concomitant treatment s topped, as appropriate. 4.6. Fertility, pregnancy and lactation</x:v>
      </x:c>
      <x:c r="J615" s="37" t="str">
        <x:v>https://drug.fda.moph.go.th/media.php?id=810426784758767616&amp;name=SMPC_Oxytetracycline_Capsules.pdf</x:v>
      </x:c>
    </x:row>
    <x:row r="616">
      <x:c r="A616" s="31" t="str">
        <x:v>insulin</x:v>
      </x:c>
      <x:c r="B616" s="31" t="str">
        <x:v>prazosin</x:v>
      </x:c>
      <x:c r="C616" s="31" t="str">
        <x:v>unclassified</x:v>
      </x:c>
      <x:c r="D616" s="31" t="str">
        <x:v>review</x:v>
      </x:c>
      <x:c r="E616" s="31" t="str">
        <x:v>r0289_smpc</x:v>
      </x:c>
      <x:c r="F616" s="31" t="str">
        <x:v>SMPC</x:v>
      </x:c>
      <x:c r="G616" s="31" t="n">
        <x:v>8</x:v>
      </x:c>
      <x:c r="H616" s="31" t="str">
        <x:v>insulin</x:v>
      </x:c>
      <x:c r="I616" s="37" t="str">
        <x:v>Excipient information Prazosin hydrochloride 0.5 mg tablets contain less than 1 mmol sodium (23 mg) per tablet, that is to say essentially ‘sodium-free’. 4.5. Interaction with other medicinal products and other forms of interaction Prazosin hydrochloride has been administered without any adverse drug interaction in clinical experience to date with the following: Cardiac glycosides: digitalis and digoxin. Hypoglycaemic agents: insulin, chlorpropamide, phenformin, tolazamide and tolbutamide. Tranquillizers and sedatives: chlordiazapoxide, diazepam and phenobarbital. Agents for treatment of gout: allopurinol, colchicine and probenecid. Anti-arrhythmic agents: procainamide and quinidine. Analgesic, antipyretic and anti-inflammatory agents: dextropropoxyphene, aspirin, indomethacin and phenylbutazone. There is evidence that adding prazosin hydrochloride</x:v>
      </x:c>
      <x:c r="J616" s="37" t="str">
        <x:v>https://drug.fda.moph.go.th/media.php?id=810438580303437824&amp;name=SMPC_Prazosin_Tablets.pdf</x:v>
      </x:c>
    </x:row>
    <x:row r="617">
      <x:c r="A617" s="31" t="str">
        <x:v>insulin</x:v>
      </x:c>
      <x:c r="B617" s="31" t="str">
        <x:v>salbutamol</x:v>
      </x:c>
      <x:c r="C617" s="31" t="str">
        <x:v>unclassified</x:v>
      </x:c>
      <x:c r="D617" s="31" t="str">
        <x:v>review</x:v>
      </x:c>
      <x:c r="E617" s="31" t="str">
        <x:v>r0191_smpc</x:v>
      </x:c>
      <x:c r="F617" s="31" t="str">
        <x:v>SMPC</x:v>
      </x:c>
      <x:c r="G617" s="31" t="n">
        <x:v>5</x:v>
      </x:c>
      <x:c r="H617" s="31" t="str">
        <x:v>salbutamol</x:v>
      </x:c>
      <x:c r="I617" s="37" t="str">
        <x:v>should be consulted when using other medications in addition to human insulin (see section 4.4). The physician must therefore take possible interactions into account and should always ask his patients about any medicinal products they take. Insulin requirements may be increased by substances with hyperglycaemic activity, such as glucocorticoids, thyroid hormones, growth hormone, danazol, beta2-sympatomimetics (such as ritodrine, salbutamol, terbutaline), thiazides. Insulin requirements may be reduced in the presence of substances with hypoglycaemic activity, such as oral hypoglycaemics (OHA), salicylates (for example, acetylsalicylic acid), certain antidepressants (monoamine oxidase inhibitors), certain angiotensin converting enzyme (ACE) inhibitors (captopril, enalapril), angiotensin II receptor blockers, non - selective beta-blocking agents and alcohol. Somatost</x:v>
      </x:c>
      <x:c r="J617" s="37" t="str">
        <x:v>https://drug.fda.moph.go.th/media.php?id=810385239439450112&amp;name=SMPC_Insulin_suspension for injection in vial.pdf</x:v>
      </x:c>
    </x:row>
    <x:row r="618">
      <x:c r="A618" s="31" t="str">
        <x:v>insulin</x:v>
      </x:c>
      <x:c r="B618" s="31" t="str">
        <x:v>terbutaline</x:v>
      </x:c>
      <x:c r="C618" s="31" t="str">
        <x:v>unclassified</x:v>
      </x:c>
      <x:c r="D618" s="31" t="str">
        <x:v>review</x:v>
      </x:c>
      <x:c r="E618" s="31" t="str">
        <x:v>r0191_smpc</x:v>
      </x:c>
      <x:c r="F618" s="31" t="str">
        <x:v>SMPC</x:v>
      </x:c>
      <x:c r="G618" s="31" t="n">
        <x:v>5</x:v>
      </x:c>
      <x:c r="H618" s="31" t="str">
        <x:v>terbutaline</x:v>
      </x:c>
      <x:c r="I618" s="37" t="str">
        <x:v>onsulted when using other medications in addition to human insulin (see section 4.4). The physician must therefore take possible interactions into account and should always ask his patients about any medicinal products they take. Insulin requirements may be increased by substances with hyperglycaemic activity, such as glucocorticoids, thyroid hormones, growth hormone, danazol, beta2-sympatomimetics (such as ritodrine, salbutamol, terbutaline), thiazides. Insulin requirements may be reduced in the presence of substances with hypoglycaemic activity, such as oral hypoglycaemics (OHA), salicylates (for example, acetylsalicylic acid), certain antidepressants (monoamine oxidase inhibitors), certain angiotensin converting enzyme (ACE) inhibitors (captopril, enalapril), angiotensin II receptor blockers, non - selective beta-blocking agents and alcohol. Somatostatin analogue</x:v>
      </x:c>
      <x:c r="J618" s="37" t="str">
        <x:v>https://drug.fda.moph.go.th/media.php?id=810385239439450112&amp;name=SMPC_Insulin_suspension for injection in vial.pdf</x:v>
      </x:c>
    </x:row>
    <x:row r="619">
      <x:c r="A619" s="31" t="str">
        <x:v>insulin</x:v>
      </x:c>
      <x:c r="B619" s="31" t="str">
        <x:v>tetracycline</x:v>
      </x:c>
      <x:c r="C619" s="31" t="str">
        <x:v>unclassified</x:v>
      </x:c>
      <x:c r="D619" s="31" t="str">
        <x:v>review</x:v>
      </x:c>
      <x:c r="E619" s="31" t="str">
        <x:v>r0338_smpc</x:v>
      </x:c>
      <x:c r="F619" s="31" t="str">
        <x:v>SMPC</x:v>
      </x:c>
      <x:c r="G619" s="31" t="n">
        <x:v>7</x:v>
      </x:c>
      <x:c r="H619" s="31" t="str">
        <x:v>insulin</x:v>
      </x:c>
      <x:c r="I619" s="37" t="str">
        <x:v>1 Ref: Tetracycline, MHRA, 25/06/2023 7 There have been reports of nephrotoxicity (increased blood urea nitrogen and serum creatinine) and death in some cases when tetracycline therapy has been combined with methoxyflurane. Tetracycline may increase the hypoglycaemic effects of insulin and sulphonylureas in patients with diabetes mellitus. The absorption of tetracycline may be reduced by the concomitant administration of sucralfate. Separating administration should be considered. Tetracycline may cause an increase in serum lithium levels. Tetracycline may cause an increase in serum digoxin levels. Tetracycline may cause an increase the risk of methotrexate toxicity. Regular monitoring of toxicity is necessary when take</x:v>
      </x:c>
      <x:c r="J619" s="37" t="str">
        <x:v>https://drug.fda.moph.go.th/media.php?id=810476861875429376&amp;name=SMPC_Tetracycline_Tablets.pdf</x:v>
      </x:c>
    </x:row>
    <x:row r="620">
      <x:c r="A620" s="31" t="str">
        <x:v>insulin</x:v>
      </x:c>
      <x:c r="B620" s="31" t="str">
        <x:v>triamcinolone_acetonide</x:v>
      </x:c>
      <x:c r="C620" s="31" t="str">
        <x:v>unclassified</x:v>
      </x:c>
      <x:c r="D620" s="31" t="str">
        <x:v>review</x:v>
      </x:c>
      <x:c r="E620" s="31" t="str">
        <x:v>r0355_smpc</x:v>
      </x:c>
      <x:c r="F620" s="31" t="str">
        <x:v>SMPC</x:v>
      </x:c>
      <x:c r="G620" s="31" t="n">
        <x:v>7</x:v>
      </x:c>
      <x:c r="H620" s="31" t="str">
        <x:v>insulin</x:v>
      </x:c>
      <x:c r="I620" s="37" t="str">
        <x:v>effects including Cushing’s syndrome and adrenal suppression. Therefore, co - administration of triamcinolone acetonide and ritonavir is not recommended unless the potential benefit of treatment outweighs the risk of systemic corticosteroid effects (see section 4.5). Corticosteroid effects may be enhanced in patients with hypothyroidism or cirrhosis and decreased in hyperthyroid patients. Diabetes may be aggravated, necessitating a higher insulin dosage. Latent diabetes mellitus may be precipitated. Menstrual irregularities may occur and in postmenopausal women vaginal bleeding has been observed. This possibility should be mentioned to female patients but should not deter appropriate investigations as indicated.</x:v>
      </x:c>
      <x:c r="J620" s="37" t="str">
        <x:v>https://drug.fda.moph.go.th/media.php?id=810493020255428608&amp;name=SMPC_Triamcinolone_Suspensions for injections or infusions.pdf</x:v>
      </x:c>
    </x:row>
    <x:row r="621">
      <x:c r="A621" s="31" t="str">
        <x:v>insulin</x:v>
      </x:c>
      <x:c r="B621" s="31" t="str">
        <x:v>triamcinolone_acetonide</x:v>
      </x:c>
      <x:c r="C621" s="31" t="str">
        <x:v>unclassified</x:v>
      </x:c>
      <x:c r="D621" s="31" t="str">
        <x:v>review</x:v>
      </x:c>
      <x:c r="E621" s="31" t="str">
        <x:v>r0356_smpc</x:v>
      </x:c>
      <x:c r="F621" s="31" t="str">
        <x:v>SMPC</x:v>
      </x:c>
      <x:c r="G621" s="31" t="n">
        <x:v>7</x:v>
      </x:c>
      <x:c r="H621" s="31" t="str">
        <x:v>insulin</x:v>
      </x:c>
      <x:c r="I621" s="37" t="str">
        <x:v>effects including Cushing’s syndrome and adrenal suppression. Therefore, co - administration of triamcinolone acetonide and ritonavir is not recommended unless the potential benefit of treatment outweighs the risk of systemic corticosteroid effects (see section 4.5). Corticosteroid effects may be enhanced in patients with hypothyroidism or cirrhosis and decreased in hyperthyroid patients. Diabetes may be aggravated, necessitating a higher insulin dosage. Latent diabetes mellitus may be precipitated. Menstrual irregularities may occur and in postmenopausal women vaginal bleeding has been observed. This possibility should be mentioned to female patients but should not deter appropriate investigations as indicated.</x:v>
      </x:c>
      <x:c r="J621" s="37" t="str">
        <x:v>https://drug.fda.moph.go.th/media.php?id=810493020255428608&amp;name=SMPC_Triamcinolone_Suspensions for injections or infusions.pdf</x:v>
      </x:c>
    </x:row>
    <x:row r="622">
      <x:c r="A622" s="31" t="str">
        <x:v>iobitridol</x:v>
      </x:c>
      <x:c r="B622" s="31" t="str">
        <x:v>metformin</x:v>
      </x:c>
      <x:c r="C622" s="31" t="str">
        <x:v>unclassified</x:v>
      </x:c>
      <x:c r="D622" s="31" t="str">
        <x:v>review</x:v>
      </x:c>
      <x:c r="E622" s="31" t="str">
        <x:v>r0193_smpc</x:v>
      </x:c>
      <x:c r="F622" s="31" t="str">
        <x:v>SMPC</x:v>
      </x:c>
      <x:c r="G622" s="31" t="n">
        <x:v>7</x:v>
      </x:c>
      <x:c r="H622" s="31" t="str">
        <x:v>metformin</x:v>
      </x:c>
      <x:c r="I622" s="37" t="str">
        <x:v>rexate, pentamidine, foscarnet and certain antivirals (aciclovir, ganciclovir, valaciclovir, adefovir, cidofovir, tenofovir), vancomycin, amphotericin B, immunosuppressants such ciclosporin or tacrolimus, ifosfamide.] • Allow at least 48 hours between two radiological examinations with injection of contrast agents, or postpone any new examination until renal function returns to baseline. • Prevent lactic acidosis in diabetics treated with metformin, by monitoring serum creatinine levels. Normal renal function: treatment</x:v>
      </x:c>
      <x:c r="J622" s="37" t="str">
        <x:v>https://drug.fda.moph.go.th/media.php?id=810386169421504512&amp;name=SMPC_Iobitridol_Solution for Injection.pdf</x:v>
      </x:c>
    </x:row>
    <x:row r="623">
      <x:c r="A623" s="31" t="str">
        <x:v>iobitridol</x:v>
      </x:c>
      <x:c r="B623" s="31" t="str">
        <x:v>metformin</x:v>
      </x:c>
      <x:c r="C623" s="31" t="str">
        <x:v>unclassified</x:v>
      </x:c>
      <x:c r="D623" s="31" t="str">
        <x:v>review</x:v>
      </x:c>
      <x:c r="E623" s="31" t="str">
        <x:v>r0194_smpc</x:v>
      </x:c>
      <x:c r="F623" s="31" t="str">
        <x:v>SMPC</x:v>
      </x:c>
      <x:c r="G623" s="31" t="n">
        <x:v>10</x:v>
      </x:c>
      <x:c r="H623" s="31" t="str">
        <x:v>metformin</x:v>
      </x:c>
      <x:c r="I623" s="37" t="str">
        <x:v>ngs and precautions for use specific to ERCP In case of ERCP there is a potential risk of pancreatitis and/or increase in amylase and lipase blood levels post-examination. Warning about excipients This medicinal product contains less than 1 mmol sodium (23 mg) per 100 ml, i.e. is essentially “sodium -free”. &lt;REGARDING THE APPROVAL&gt; 4.5. Interaction with other medicinal products and other forms of interaction 4.5.1. Medicinal products • Metformin in diabetics (see Section 4.4 Precautions for use — renal insufficiency). • Radiopharmaceuticals (see section 4.4 Special warnings and precaution for use) Iodinated contrast media may affect the uptake of radioactive iodine by the thyroid for several weeks. This may lead to impaired uptake in thyroid scintigraphy, and/or to a decrease in the efficacy of Iodine 131 treatment. In patients due to undergo renal scintigraphy with injection of</x:v>
      </x:c>
      <x:c r="J623" s="37" t="str">
        <x:v>https://drug.fda.moph.go.th/media.php?id=810386659307823104&amp;name=SMPC_Iobitridol_350_Solution for Injection.pdf</x:v>
      </x:c>
    </x:row>
    <x:row r="624">
      <x:c r="A624" s="31" t="str">
        <x:v>iobitridol</x:v>
      </x:c>
      <x:c r="B624" s="31" t="str">
        <x:v>methotrexate</x:v>
      </x:c>
      <x:c r="C624" s="31" t="str">
        <x:v>unclassified</x:v>
      </x:c>
      <x:c r="D624" s="31" t="str">
        <x:v>review</x:v>
      </x:c>
      <x:c r="E624" s="31" t="str">
        <x:v>r0193_smpc</x:v>
      </x:c>
      <x:c r="F624" s="31" t="str">
        <x:v>SMPC</x:v>
      </x:c>
      <x:c r="G624" s="31" t="n">
        <x:v>7</x:v>
      </x:c>
      <x:c r="H624" s="31" t="str">
        <x:v>methotrexate</x:v>
      </x:c>
      <x:c r="I624" s="37" t="str">
        <x:v>failure, monoclonal gammapathy (multiple myeloma, Waldenström’s disease), history of renal failure after contrast agent administration; infants below the age of one year and elderly subjects with atheroma. • Hydrate when necessary using a saline solution. • Avoid concomitant use of nephrotoxic drugs. If this cannot be avoided, reinforce monitoring of renal laboratory parameters. [Includes aminosides, organoplatinum compounds, high -dose methotrexate, pentamidine, foscarnet and certain antivirals (aciclovir, ganciclovir, valaciclovir, adefovir, cidofovir, tenofovir), vancomycin, amphotericin B, immunosuppressants such ciclosporin or tacrolimus, ifosfamide.] • Allow at least 48 hours between two radiological examinations with injection of contrast agents, or postpone any new examination until renal function returns to baseline. • Prevent lactic acidosis in diabetics treated with metfor</x:v>
      </x:c>
      <x:c r="J624" s="37" t="str">
        <x:v>https://drug.fda.moph.go.th/media.php?id=810386169421504512&amp;name=SMPC_Iobitridol_Solution for Injection.pdf</x:v>
      </x:c>
    </x:row>
    <x:row r="625">
      <x:c r="A625" s="31" t="str">
        <x:v>iobitridol</x:v>
      </x:c>
      <x:c r="B625" s="31" t="str">
        <x:v>methotrexate</x:v>
      </x:c>
      <x:c r="C625" s="31" t="str">
        <x:v>unclassified</x:v>
      </x:c>
      <x:c r="D625" s="31" t="str">
        <x:v>review</x:v>
      </x:c>
      <x:c r="E625" s="31" t="str">
        <x:v>r0194_smpc</x:v>
      </x:c>
      <x:c r="F625" s="31" t="str">
        <x:v>SMPC</x:v>
      </x:c>
      <x:c r="G625" s="31" t="n">
        <x:v>6</x:v>
      </x:c>
      <x:c r="H625" s="31" t="str">
        <x:v>methotrexate</x:v>
      </x:c>
      <x:c r="I625" s="37" t="str">
        <x:v>failure, monoclonal gammapathy (multiple myeloma, Waldenström’s disease), history of renal failure after contrast agent administration; infants below the age of one year and elderly subjects with atheroma. • Hydrate when necessary using a saline solution. • Avoid concomitant use of nephrotoxic drugs. If this cannot be avoided, reinforce monitoring of renal laboratory parameters. [Includes aminosides, organoplatinum compounds, high -dose methotrexate, pentamidine, foscarnet and certain antivirals (aciclovir, ganciclovir, valaciclovir, adefovir, cidofovir, tenofovir),</x:v>
      </x:c>
      <x:c r="J625" s="37" t="str">
        <x:v>https://drug.fda.moph.go.th/media.php?id=810386659307823104&amp;name=SMPC_Iobitridol_350_Solution for Injection.pdf</x:v>
      </x:c>
    </x:row>
    <x:row r="626">
      <x:c r="A626" s="31" t="str">
        <x:v>iobitridol</x:v>
      </x:c>
      <x:c r="B626" s="31" t="str">
        <x:v>vancomycin</x:v>
      </x:c>
      <x:c r="C626" s="31" t="str">
        <x:v>unclassified</x:v>
      </x:c>
      <x:c r="D626" s="31" t="str">
        <x:v>review</x:v>
      </x:c>
      <x:c r="E626" s="31" t="str">
        <x:v>r0193_smpc</x:v>
      </x:c>
      <x:c r="F626" s="31" t="str">
        <x:v>SMPC</x:v>
      </x:c>
      <x:c r="G626" s="31" t="n">
        <x:v>7</x:v>
      </x:c>
      <x:c r="H626" s="31" t="str">
        <x:v>vancomycin</x:v>
      </x:c>
      <x:c r="I626" s="37" t="str">
        <x:v>ion; infants below the age of one year and elderly subjects with atheroma. • Hydrate when necessary using a saline solution. • Avoid concomitant use of nephrotoxic drugs. If this cannot be avoided, reinforce monitoring of renal laboratory parameters. [Includes aminosides, organoplatinum compounds, high -dose methotrexate, pentamidine, foscarnet and certain antivirals (aciclovir, ganciclovir, valaciclovir, adefovir, cidofovir, tenofovir), vancomycin, amphotericin B, immunosuppressants such ciclosporin or tacrolimus, ifosfamide.] • Allow at least 48 hours between two radiological examinations with injection of contrast agents, or postpone any new examination until renal function returns to baseline. • Prevent lactic acidosis in diabetics treated with metformin, by monitoring serum creatinine levels. Normal renal function: treatment</x:v>
      </x:c>
      <x:c r="J626" s="37" t="str">
        <x:v>https://drug.fda.moph.go.th/media.php?id=810386169421504512&amp;name=SMPC_Iobitridol_Solution for Injection.pdf</x:v>
      </x:c>
    </x:row>
    <x:row r="627">
      <x:c r="A627" s="31" t="str">
        <x:v>isoniazid</x:v>
      </x:c>
      <x:c r="B627" s="31" t="str">
        <x:v>itraconazole</x:v>
      </x:c>
      <x:c r="C627" s="31" t="str">
        <x:v>unclassified</x:v>
      </x:c>
      <x:c r="D627" s="31" t="str">
        <x:v>review</x:v>
      </x:c>
      <x:c r="E627" s="31" t="str">
        <x:v>r0201_smpc</x:v>
      </x:c>
      <x:c r="F627" s="31" t="str">
        <x:v>SMPC</x:v>
      </x:c>
      <x:c r="G627" s="31" t="n">
        <x:v>11</x:v>
      </x:c>
      <x:c r="H627" s="31" t="str">
        <x:v>isoniazid</x:v>
      </x:c>
      <x:c r="I627" s="37" t="str">
        <x:v>1 Ref:Itraconazole 100mg Capsule, hard, MHRA, 06/10/2023 11 Coadministration of itraconazole with potent enzyme inducers of CYP3A4 may decrease the bioavailability of itraconazole and hydroxy- itraconazole to such an extent that efficacy may be largely reduced. Examples include: - Antibacterials: isoniazid, rifabutin (see also under Drugs that may have their plasma concentrations increased by itraconazole), rifampicin. - Anticonvulsants: carbamazepine, (see also under Drugs that may have their plasma concentrations increased by itraconazole), phenobarbital, phenytoin. - Antivirals: efavirenz, nevirapine. Therefore, administration of potent enzyme inducers of CYP3A4 with itraconazole is not recommended. It is recommended that the use of th</x:v>
      </x:c>
      <x:c r="J627" s="37" t="str">
        <x:v>https://drug.fda.moph.go.th/media.php?id=810398699489468416&amp;name=SMPC_Itraconazole_Hard capsules.pdf</x:v>
      </x:c>
    </x:row>
    <x:row r="628">
      <x:c r="A628" s="31" t="str">
        <x:v>isoniazid</x:v>
      </x:c>
      <x:c r="B628" s="31" t="str">
        <x:v>magnesium_hydroxide</x:v>
      </x:c>
      <x:c r="C628" s="31" t="str">
        <x:v>unclassified</x:v>
      </x:c>
      <x:c r="D628" s="31" t="str">
        <x:v>review</x:v>
      </x:c>
      <x:c r="E628" s="31" t="str">
        <x:v>r0216_smpc</x:v>
      </x:c>
      <x:c r="F628" s="31" t="str">
        <x:v>SMPC</x:v>
      </x:c>
      <x:c r="G628" s="31" t="n">
        <x:v>2</x:v>
      </x:c>
      <x:c r="H628" s="31" t="str">
        <x:v>isoniazid</x:v>
      </x:c>
      <x:c r="I628" s="37" t="str">
        <x:v>al or hepatic impairment. 4.4. Special warnings and precautions for use Label warnings: - Store below 25°C. - Do not freeze. - Shake well before use. - Keep out of the sight and reach of children. - Chronic use may result in hypermagnesia. 4.5. Interaction with other medicinal products and other forms of interaction The antacid properties of this preparation can lead to reduced absorption of diflusinal, azithromycin, ciprofloxacin, isoniazid, norfloxacin, ofloxacin, pivampicillin, rifampicin and most tetracyclines. Also reduces absorption of phenytoin, itraconazole, ketoconazole, fosinopril, chloroquine, hydroxychloroquine, phenothiazines, biphosphonates and penicillamine. The use of this product is not advised during dipyridamole therapy. The excretion of aspirin is increased and quinidine is decreased in alkaline urine which may occur with use of this product. 4.6. Fe</x:v>
      </x:c>
      <x:c r="J628" s="37" t="str">
        <x:v>https://drug.fda.moph.go.th/media.php?id=810406985441878016&amp;name=SMPC_Magnesium hydroxide_Oral suspension.pdf</x:v>
      </x:c>
    </x:row>
    <x:row r="629">
      <x:c r="A629" s="31" t="str">
        <x:v>isoniazid</x:v>
      </x:c>
      <x:c r="B629" s="31" t="str">
        <x:v>magnesium_trisilicate</x:v>
      </x:c>
      <x:c r="C629" s="31" t="str">
        <x:v>unclassified</x:v>
      </x:c>
      <x:c r="D629" s="31" t="str">
        <x:v>review</x:v>
      </x:c>
      <x:c r="E629" s="31" t="str">
        <x:v>r0219_smpc</x:v>
      </x:c>
      <x:c r="F629" s="31" t="str">
        <x:v>SMPC</x:v>
      </x:c>
      <x:c r="G629" s="31" t="n">
        <x:v>2</x:v>
      </x:c>
      <x:c r="H629" s="31" t="str">
        <x:v>isoniazid</x:v>
      </x:c>
      <x:c r="I629" s="37" t="str">
        <x:v>e taken at the same time as other medicines. Examples of other medications which may be affected include, but are not limited to ACE inhibitors, salicylates e.g. aspirin, atazanavir, azithromycin, barbiturates, bile acids, bisphosphonates, cephalosporin antibiotics, fluoroquinolone antibiotics, chloroquine and hydroxychloroquine, deflazacort, digoxin, dipyridamole, eltrombopag, erlotinib, fexofenadine, gabapentin, iron p reparations, isoniazid, itraconazole, ketoconazole, lansoprazole, levothyroxine, lithium, methenamine, mycophenolate, nitrofurantoin, penicillamine, phenothiazines, phenytoin, proguanil, rifampicin, rosuvastatin, sulpiride, tetracyclines, tipranavir, ulipristal (avoid use with antacids). With quinidine plasma concentrations may be increased.</x:v>
      </x:c>
      <x:c r="J629" s="37" t="str">
        <x:v>https://drug.fda.moph.go.th/media.php?id=810408508334940160&amp;name=SMPC_Magnesium trisilicate_Chewable Tablets.pdf</x:v>
      </x:c>
    </x:row>
    <x:row r="630">
      <x:c r="A630" s="31" t="str">
        <x:v>isoniazid</x:v>
      </x:c>
      <x:c r="B630" s="31" t="str">
        <x:v>methylprednisolone</x:v>
      </x:c>
      <x:c r="C630" s="31" t="str">
        <x:v>unclassified</x:v>
      </x:c>
      <x:c r="D630" s="31" t="str">
        <x:v>review</x:v>
      </x:c>
      <x:c r="E630" s="31" t="str">
        <x:v>r0233_smpc</x:v>
      </x:c>
      <x:c r="F630" s="31" t="str">
        <x:v>SMPC</x:v>
      </x:c>
      <x:c r="G630" s="31" t="n">
        <x:v>17</x:v>
      </x:c>
      <x:c r="H630" s="31" t="str">
        <x:v>isoniazid</x:v>
      </x:c>
      <x:c r="I630" s="37" t="str">
        <x:v>e may be more likely to occur with co-administration. NON-CYP3A4-MEDIATED EFFECTS – Other interactions and effects that occur with methylprednisolone are described in Table 1 below. Table 1 provides a list and descriptions of the most common and/or clinically important drug interactions or effects with methylprednisolone Drug Class or Type - DRUG or SUBSTANCE Interaction Effect Macrolide Antibacterial -TROLEANDOMYCIN Antibacterial - ISONIAZID - GRAPEFRUIT JUICE CYP3A4 INHIBITOR CYP3A4 INHIBITOR. An increase in the plasma concentration of methylprednisolone may occur. The dose of methylprednisolone may need to be titrated to avoid steroid toxicity. In addition, there is a potential effect of</x:v>
      </x:c>
      <x:c r="J630" s="37" t="str">
        <x:v>https://drug.fda.moph.go.th/media.php?id=810412748335882240&amp;name=SMPC_Methylprednisolone_Powders for solutions for injections or infusions.pdf</x:v>
      </x:c>
    </x:row>
    <x:row r="631">
      <x:c r="A631" s="31" t="str">
        <x:v>isoniazid</x:v>
      </x:c>
      <x:c r="B631" s="31" t="str">
        <x:v>methylprednisolone</x:v>
      </x:c>
      <x:c r="C631" s="31" t="str">
        <x:v>unclassified</x:v>
      </x:c>
      <x:c r="D631" s="31" t="str">
        <x:v>review</x:v>
      </x:c>
      <x:c r="E631" s="31" t="str">
        <x:v>r0233_smpc</x:v>
      </x:c>
      <x:c r="F631" s="31" t="str">
        <x:v>SMPC</x:v>
      </x:c>
      <x:c r="G631" s="31" t="n">
        <x:v>18</x:v>
      </x:c>
      <x:c r="H631" s="31" t="str">
        <x:v>isoniazid</x:v>
      </x:c>
      <x:c r="I631" s="37" t="str">
        <x:v>1 Ref: Solu-Medrone, EMC, 06/24 18 methylprednisolone to increase the acetylation rate and clearance of isoniazid. Antibiotic, Antitubercular - RIFAMPIN Anticonvulsants - PHENOBARBITAL - PHENYTOIN CYP3A4 INDUCER CYP3A4 INDUCER A decrease in the plasma concentration of methylprednisolone may occur. Co-administration may require an increase in methylprednisolone dosage to achieve the desired result. Antiemetic - APREPITANT - FOSAPREPITANT Antifungal - ITRACONAZOLE - KETOCONAZOLE Antivirals - HIV-PROTEASE INHIBITORS Pharmacokinetic en</x:v>
      </x:c>
      <x:c r="J631" s="37" t="str">
        <x:v>https://drug.fda.moph.go.th/media.php?id=810412748335882240&amp;name=SMPC_Methylprednisolone_Powders for solutions for injections or infusions.pdf</x:v>
      </x:c>
    </x:row>
    <x:row r="632">
      <x:c r="A632" s="31" t="str">
        <x:v>isoniazid</x:v>
      </x:c>
      <x:c r="B632" s="31" t="str">
        <x:v>paracetamol</x:v>
      </x:c>
      <x:c r="C632" s="31" t="str">
        <x:v>unclassified</x:v>
      </x:c>
      <x:c r="D632" s="31" t="str">
        <x:v>review</x:v>
      </x:c>
      <x:c r="E632" s="31" t="str">
        <x:v>r0266_smpc</x:v>
      </x:c>
      <x:c r="F632" s="31" t="str">
        <x:v>SMPC</x:v>
      </x:c>
      <x:c r="G632" s="31" t="n">
        <x:v>9</x:v>
      </x:c>
      <x:c r="H632" s="31" t="str">
        <x:v>isoniazid</x:v>
      </x:c>
      <x:c r="I632" s="37" t="str">
        <x:v>the manufacturer of diflunisal cautions that concomitant administration with paracetamol produces an approximate 50% increase in plasma levels of paracetamol in normal volunteers. Paracetamol had no effect on diflunisal plasma levels. The clinical significance of these findings has not been established. However, caution should be used with concomitant administration of diflunisal and paracetamol and patients should be monitored carefully. Isoniazid: Some reports suggest that patients on chronic isoniazid therapy may be at risk for developing hepatotoxicity from an paracetamol overdose. Since patients on isoniazid therapy may develop hepatic effects from isoniazid alone, data from individual case reports are unclear as to whether chronic administration of isoniazid may increase the risk of paracetamol toxicity. Isoniazid is primarily metabolized by CYP2E1 and induces CYP2E1. Studies i</x:v>
      </x:c>
      <x:c r="J632" s="37" t="str">
        <x:v>https://drug.fda.moph.go.th/media.php?id=810427720377966592&amp;name=SMPC_Paracetamol_Capsules.pdf</x:v>
      </x:c>
    </x:row>
    <x:row r="633">
      <x:c r="A633" s="31" t="str">
        <x:v>isoniazid</x:v>
      </x:c>
      <x:c r="B633" s="31" t="str">
        <x:v>paracetamol</x:v>
      </x:c>
      <x:c r="C633" s="31" t="str">
        <x:v>unclassified</x:v>
      </x:c>
      <x:c r="D633" s="31" t="str">
        <x:v>review</x:v>
      </x:c>
      <x:c r="E633" s="31" t="str">
        <x:v>r0267_smpc</x:v>
      </x:c>
      <x:c r="F633" s="31" t="str">
        <x:v>SMPC</x:v>
      </x:c>
      <x:c r="G633" s="31" t="n">
        <x:v>9</x:v>
      </x:c>
      <x:c r="H633" s="31" t="str">
        <x:v>isoniazid</x:v>
      </x:c>
      <x:c r="I633" s="37" t="str">
        <x:v>the manufacturer of diflunisal cautions that concomitant administration with paracetamol produces an approximate 50% increase in plasma levels of paracetamol in normal volunteers. Paracetamol had no effect on diflunisal plasma levels. The clinical significance of these findings has not been established. However, caution should be used with concomitant administration of diflunisal and paracetamol and patients should be monitored carefully. Isoniazid: Some reports suggest that patients on chronic isoniazid therapy may be at risk for developing hepatotoxicity from an paracetamol overdose. Since patients on isoniazid therapy may develop hepatic effects from isoniazid alone, data from individual case reports are unclear as to whether chronic administration of isoniazid may increase the risk of paracetamol toxicity. Isoniazid is primarily metabolized by CYP2E1 and induces CYP2E1. Studies i</x:v>
      </x:c>
      <x:c r="J633" s="37" t="str">
        <x:v>https://drug.fda.moph.go.th/media.php?id=810428236826812416&amp;name=SMPC_Paracetamol_Elixir.pdf</x:v>
      </x:c>
    </x:row>
    <x:row r="634">
      <x:c r="A634" s="31" t="str">
        <x:v>isoniazid</x:v>
      </x:c>
      <x:c r="B634" s="31" t="str">
        <x:v>paracetamol</x:v>
      </x:c>
      <x:c r="C634" s="31" t="str">
        <x:v>unclassified</x:v>
      </x:c>
      <x:c r="D634" s="31" t="str">
        <x:v>review</x:v>
      </x:c>
      <x:c r="E634" s="31" t="str">
        <x:v>r0268_smpc</x:v>
      </x:c>
      <x:c r="F634" s="31" t="str">
        <x:v>SMPC</x:v>
      </x:c>
      <x:c r="G634" s="31" t="n">
        <x:v>11</x:v>
      </x:c>
      <x:c r="H634" s="31" t="str">
        <x:v>isoniazid</x:v>
      </x:c>
      <x:c r="I634" s="37" t="str">
        <x:v>the manufacturer of diflunisal cautions that concomitant administration with paracetamol produces an approximate 50% increase in plasma levels of paracetamol in normal volunteers. Paracetamol had no effect on diflunisal plasma levels. The clinical significance of these findings has not been established. However, caution should be used with concomitant administration of diflunisal and paracetamol and patients should be monitored carefully. Isoniazid: Some reports suggest that patients on chronic isoniazid therapy may be at risk for developing hepatotoxicity from an paracetamol overdose. Since patients on isoniazid therapy may develop hepatic effects from isoniazid alone, data from individual case reports are unclear as to whether chronic administration of isoniazid may increase the risk of paracetamol toxicity. Isoniazid is primarily metabolized by CYP2E1 and induces CYP2E1. Studies i</x:v>
      </x:c>
      <x:c r="J634" s="37" t="str">
        <x:v>https://drug.fda.moph.go.th/media.php?id=810428697118121984&amp;name=SMPC_Paracetamol_Solutions for injections or infusions.pdf</x:v>
      </x:c>
    </x:row>
    <x:row r="635">
      <x:c r="A635" s="31" t="str">
        <x:v>isoniazid</x:v>
      </x:c>
      <x:c r="B635" s="31" t="str">
        <x:v>paracetamol</x:v>
      </x:c>
      <x:c r="C635" s="31" t="str">
        <x:v>unclassified</x:v>
      </x:c>
      <x:c r="D635" s="31" t="str">
        <x:v>review</x:v>
      </x:c>
      <x:c r="E635" s="31" t="str">
        <x:v>r0269_smpc</x:v>
      </x:c>
      <x:c r="F635" s="31" t="str">
        <x:v>SMPC</x:v>
      </x:c>
      <x:c r="G635" s="31" t="n">
        <x:v>9</x:v>
      </x:c>
      <x:c r="H635" s="31" t="str">
        <x:v>isoniazid</x:v>
      </x:c>
      <x:c r="I635" s="37" t="str">
        <x:v>the manufacturer of diflunisal cautions that concomitant administration with paracetamol produces an approximate 50% increase in plasma levels of paracetamol in normal volunteers. Paracetamol had no effect on diflunisal plasma levels. The clinical significance of these findings has not been established. However, caution should be used with concomitant administration of diflunisal and paracetamol and patients should be monitored carefully. Isoniazid: Some reports suggest that patients on chronic isoniazid therapy may be at risk for developing hepatotoxicity from an paracetamol overdose. Since patients on isoniazid therapy may develop hepatic effects from isoniazid alone, data from individual case reports are unclear as to whether chronic administration of isoniazid may increase the risk of paracetamol toxicity. Isoniazid is primarily metabolized by CYP2E1 and induces CYP2E1. Studies i</x:v>
      </x:c>
      <x:c r="J635" s="37" t="str">
        <x:v>https://drug.fda.moph.go.th/media.php?id=810429112165474304&amp;name=SMPC_Paracetamol_Syrup.pdf</x:v>
      </x:c>
    </x:row>
    <x:row r="636">
      <x:c r="A636" s="31" t="str">
        <x:v>isoniazid</x:v>
      </x:c>
      <x:c r="B636" s="31" t="str">
        <x:v>paracetamol</x:v>
      </x:c>
      <x:c r="C636" s="31" t="str">
        <x:v>unclassified</x:v>
      </x:c>
      <x:c r="D636" s="31" t="str">
        <x:v>review</x:v>
      </x:c>
      <x:c r="E636" s="31" t="str">
        <x:v>r0273_smpc</x:v>
      </x:c>
      <x:c r="F636" s="31" t="str">
        <x:v>SMPC</x:v>
      </x:c>
      <x:c r="G636" s="31" t="n">
        <x:v>9</x:v>
      </x:c>
      <x:c r="H636" s="31" t="str">
        <x:v>isoniazid</x:v>
      </x:c>
      <x:c r="I636" s="37" t="str">
        <x:v>the manufacturer of diflunisal cautions that concomitant administration with paracetamol produces an approximate 50% increase in plasma levels of paracetamol in normal volunteers. Paracetamol had no effect on diflunisal plasma levels. The clinical significance of these findings has not been established. However, caution should be used with concomitant administration of diflunisal and paracetamol and patients should be monitored carefully. Isoniazid: Some reports suggest that patients on chronic isoniazid therapy may be at risk for developing hepatotoxicity from an paracetamol overdose. Since patients on isoniazid therapy may develop hepatic effects from isoniazid alone, data from individual case reports are unclear as to whether chronic administration of isoniazid may increase the risk of paracetamol toxicity. Isoniazid is primarily metabolized by CYP2E1 and induces CYP2E1. Studies i</x:v>
      </x:c>
      <x:c r="J636" s="37" t="str">
        <x:v>https://drug.fda.moph.go.th/media.php?id=810429959502962688&amp;name=SMPC_Paracetamol_suspension.pdf</x:v>
      </x:c>
    </x:row>
    <x:row r="637">
      <x:c r="A637" s="31" t="str">
        <x:v>isoniazid</x:v>
      </x:c>
      <x:c r="B637" s="31" t="str">
        <x:v>paracetamol</x:v>
      </x:c>
      <x:c r="C637" s="31" t="str">
        <x:v>unclassified</x:v>
      </x:c>
      <x:c r="D637" s="31" t="str">
        <x:v>review</x:v>
      </x:c>
      <x:c r="E637" s="31" t="str">
        <x:v>r0274_smpc</x:v>
      </x:c>
      <x:c r="F637" s="31" t="str">
        <x:v>SMPC</x:v>
      </x:c>
      <x:c r="G637" s="31" t="n">
        <x:v>9</x:v>
      </x:c>
      <x:c r="H637" s="31" t="str">
        <x:v>isoniazid</x:v>
      </x:c>
      <x:c r="I637" s="37" t="str">
        <x:v>the manufacturer of diflunisal cautions that concomitant administration with paracetamol produces an approximate 50% increase in plasma levels of paracetamol in normal volunteers. Paracetamol had no effect on diflunisal plasma levels. The clinical significance of these findings has not been established. However, caution should be used with concomitant administration of diflunisal and paracetamol and patients should be monitored carefully. Isoniazid: Some reports suggest that patients on chronic isoniazid therapy may be at risk for developing hepatotoxicity from an paracetamol overdose. Since patients on isoniazid therapy may develop hepatic effects from isoniazid alone, data from individual case reports are unclear as to whether chronic administration of isoniazid may increase the risk of paracetamol toxicity. Isoniazid is primarily metabolized by CYP2E1 and induces CYP2E1. Studies i</x:v>
      </x:c>
      <x:c r="J637" s="37" t="str">
        <x:v>https://drug.fda.moph.go.th/media.php?id=810430466103582720&amp;name=SMPC_Paracetamol_Tablet.pdf</x:v>
      </x:c>
    </x:row>
    <x:row r="638">
      <x:c r="A638" s="31" t="str">
        <x:v>isoniazid</x:v>
      </x:c>
      <x:c r="B638" s="31" t="str">
        <x:v>pyridoxine</x:v>
      </x:c>
      <x:c r="C638" s="31" t="str">
        <x:v>unclassified</x:v>
      </x:c>
      <x:c r="D638" s="31" t="str">
        <x:v>review</x:v>
      </x:c>
      <x:c r="E638" s="31" t="str">
        <x:v>r0299_smpc</x:v>
      </x:c>
      <x:c r="F638" s="31" t="str">
        <x:v>SMPC</x:v>
      </x:c>
      <x:c r="G638" s="31" t="n">
        <x:v>2</x:v>
      </x:c>
      <x:c r="H638" s="31" t="str">
        <x:v>isoniazid</x:v>
      </x:c>
      <x:c r="I638" s="37" t="str">
        <x:v>ents appear to be similar to those for young adults pyridoxine 50 mg tablets BP 4.3. Contraindications Hypersensitivity to any of the ingredients. 4.4. Special warnings and precautions for use If symptoms persist or worsen, seek medical advice. Do not exceed the stated dose. 4.5. Interaction with other medicinal products and other forms of interaction Many drugs may alter the metabolism or bioavailability of pyridoxine, including isoniazid, penicillamine and oral contraceptives, which may increase the requirements for pyridoxine. Pyridoxine hydrochloride may reduce the effect of levodopa, a drug used in the treatment of Parkinsons Disease unless a dopa decarboxylase inhibitor is also given. 4.6. Fertility, pregnancy and lactation Data on exposed pregnancies indicate no adverse effects of pyridoxine in therapeutic doses on pregnancy or the health of the foetus or newborn</x:v>
      </x:c>
      <x:c r="J638" s="37" t="str">
        <x:v>https://drug.fda.moph.go.th/media.php?id=810444996493844480&amp;name=SMPC_Pyridoxine_Tablet.pdf</x:v>
      </x:c>
    </x:row>
    <x:row r="639">
      <x:c r="A639" s="31" t="str">
        <x:v>isoniazid</x:v>
      </x:c>
      <x:c r="B639" s="31" t="str">
        <x:v>rifampicin</x:v>
      </x:c>
      <x:c r="C639" s="31" t="str">
        <x:v>unclassified</x:v>
      </x:c>
      <x:c r="D639" s="31" t="str">
        <x:v>review</x:v>
      </x:c>
      <x:c r="E639" s="31" t="str">
        <x:v>r0195_smpc</x:v>
      </x:c>
      <x:c r="F639" s="31" t="str">
        <x:v>SMPC</x:v>
      </x:c>
      <x:c r="G639" s="31" t="n">
        <x:v>4</x:v>
      </x:c>
      <x:c r="H639" s="31" t="str">
        <x:v>rifampicin</x:v>
      </x:c>
      <x:c r="I639" s="37" t="str">
        <x:v>gs, in some cases leading to increased toxicity. These include the antiepileptics carbamazepine, ethosuximide, primidone, and phenyto in, the benzodiazepines diazepam and triazolam, chlorzoxazone, theophylline, and disulfiram. Plasma levels of these drugs should be monitored if concurrent therapy with Isoniazid is necessary. Isoniazid may induce abnormalities in liver function; this may be more likely when it is administered together with rifampicin (see section 4.4). The adverse CNS effects of cycloserine are increased by isoniazid. Isoniazid is an inhibitor of monoamine oxidase (MAO) and diamine oxidase (DAO), therefore can reduce tyramine and histamine metabolism, causing symptoms such as headache, sweating, palpitations, flushing and hypotension. Patients should be advised against ingesting foods rich in tyramine and/or histamine during treatment with isoniazid, such as cured mea</x:v>
      </x:c>
      <x:c r="J639" s="37" t="str">
        <x:v>https://drug.fda.moph.go.th/media.php?id=810387533576937472&amp;name=SMPC_Isoniazid_Solutions for injections or infusions.pdf</x:v>
      </x:c>
    </x:row>
    <x:row r="640">
      <x:c r="A640" s="31" t="str">
        <x:v>isoniazid</x:v>
      </x:c>
      <x:c r="B640" s="31" t="str">
        <x:v>rifampicin</x:v>
      </x:c>
      <x:c r="C640" s="31" t="str">
        <x:v>unclassified</x:v>
      </x:c>
      <x:c r="D640" s="31" t="str">
        <x:v>review</x:v>
      </x:c>
      <x:c r="E640" s="31" t="str">
        <x:v>r0305_smpc</x:v>
      </x:c>
      <x:c r="F640" s="31" t="str">
        <x:v>SMPC</x:v>
      </x:c>
      <x:c r="G640" s="31" t="n">
        <x:v>9</x:v>
      </x:c>
      <x:c r="H640" s="31" t="str">
        <x:v>isoniazid</x:v>
      </x:c>
      <x:c r="I640" s="37" t="str">
        <x:v>ompetition for biliary excretion. Therefore, these tests should be performed before the morning dose of rifampicin. Pharmacodynamic Interactions When rifampicin is given concomitantly with the combination saquinavir/ritonavir, the potential for hepatotoxicity is increased. Therefore, concomitant use of Rifampicin with saquinvir/ritonavir is contraindicated (see section 4.3). When rifampicin is given concomitantly with either halothane or isoniazid, the potential for hepatotoxicity is increased. The concomitant use of rifampicin and halothane should be avoided. Patients receiving both rifampicin and isoniazid should be monitore d closely for hepatotoxicity. The concomitant use of rifampicin with other antibiotics causing vitamin K dependent coagulopathy such as cefazolin (or other cephalosporins with N -methyl-thiotetrazole side chain) should be avoided as it may lead to severe coag</x:v>
      </x:c>
      <x:c r="J640" s="37" t="str">
        <x:v>https://drug.fda.moph.go.th/media.php?id=810448559467012096&amp;name=SMPC_Rifampicin_Tablets.pdf</x:v>
      </x:c>
    </x:row>
    <x:row r="641">
      <x:c r="A641" s="31" t="str">
        <x:v>isoniazid</x:v>
      </x:c>
      <x:c r="B641" s="31" t="str">
        <x:v>sodium_bicarbonate</x:v>
      </x:c>
      <x:c r="C641" s="31" t="str">
        <x:v>unclassified</x:v>
      </x:c>
      <x:c r="D641" s="31" t="str">
        <x:v>review</x:v>
      </x:c>
      <x:c r="E641" s="31" t="str">
        <x:v>r0314_smpc</x:v>
      </x:c>
      <x:c r="F641" s="31" t="str">
        <x:v>SMPC</x:v>
      </x:c>
      <x:c r="G641" s="31" t="n">
        <x:v>3</x:v>
      </x:c>
      <x:c r="H641" s="31" t="str">
        <x:v>isoniazid</x:v>
      </x:c>
      <x:c r="I641" s="37" t="str">
        <x:v>As a precaution for antacids, in order to minimise the risk of interactions affecting pharmacokinetics of concomitantly administered products, drug administrations should be separated by approximately 2 to 3 hours. Sodium bicarbonate reduces the absorption of a number of other drugs taken concomitantly. These include ACE inhibitors (captopril, enalapril, and fosinopril), antibacterials and antifungals (azithromycin, cefaclor, cefpodoxime, isoniazid, itraconazole, rif ampicin, tetracyclines, ketoconazole and the quinolone group of antibacterials); antivirals(atazanivir, fosamprenavir, tipranavir); antihistamines (fexofenadine); bisphosponates, corticosteroids (deflazacort); digoxin, dipyridamole, antiepileptics (gabapen tin and phenytoin), ulcer healing drugs (lansoprazole); levothyroxine, mycophenolate, lipid regulating drugs (rosuvastatin); antipsychotics (sulpiride, phenothiazines)</x:v>
      </x:c>
      <x:c r="J641" s="37" t="str">
        <x:v>https://drug.fda.moph.go.th/media.php?id=810453894575562752&amp;name=SMPC_Sodium Bicarbonate_powder.pdf</x:v>
      </x:c>
    </x:row>
    <x:row r="642">
      <x:c r="A642" s="31" t="str">
        <x:v>isoniazid</x:v>
      </x:c>
      <x:c r="B642" s="31" t="str">
        <x:v>theophylline</x:v>
      </x:c>
      <x:c r="C642" s="31" t="str">
        <x:v>unclassified</x:v>
      </x:c>
      <x:c r="D642" s="31" t="str">
        <x:v>review</x:v>
      </x:c>
      <x:c r="E642" s="31" t="str">
        <x:v>r0195_smpc</x:v>
      </x:c>
      <x:c r="F642" s="31" t="str">
        <x:v>SMPC</x:v>
      </x:c>
      <x:c r="G642" s="31" t="n">
        <x:v>4</x:v>
      </x:c>
      <x:c r="H642" s="31" t="str">
        <x:v>theophylline</x:v>
      </x:c>
      <x:c r="I642" s="37" t="str">
        <x:v>pient information &lt;REGARDING THE APPROVAL&gt; 4.5. Interaction with other medicinal products and other forms of interaction Isoniazid is known to inhibit certain cytochrome P -450 enzymes and therefore can inhibit the hepatic metabolism of some drugs, in some cases leading to increased toxicity. These include the antiepileptics carbamazepine, ethosuximide, primidone, and phenyto in, the benzodiazepines diazepam and triazolam, chlorzoxazone, theophylline, and disulfiram. Plasma levels of these drugs should be monitored if concurrent therapy with Isoniazid is necessary. Isoniazid may induce abnormalities in liver function; this may be more likely when it is administered together with rifampicin (see section 4.4). The adverse CNS effects of cycloserine are increased by isoniazid. Isoniazid is an inhibitor of monoamine oxidase (MAO) and diamine oxidase (DAO), therefore can reduce tyramine an</x:v>
      </x:c>
      <x:c r="J642" s="37" t="str">
        <x:v>https://drug.fda.moph.go.th/media.php?id=810387533576937472&amp;name=SMPC_Isoniazid_Solutions for injections or infusions.pdf</x:v>
      </x:c>
    </x:row>
    <x:row r="643">
      <x:c r="A643" s="31" t="str">
        <x:v>isoniazid</x:v>
      </x:c>
      <x:c r="B643" s="31" t="str">
        <x:v>triamcinolone_acetonide</x:v>
      </x:c>
      <x:c r="C643" s="31" t="str">
        <x:v>unclassified</x:v>
      </x:c>
      <x:c r="D643" s="31" t="str">
        <x:v>review</x:v>
      </x:c>
      <x:c r="E643" s="31" t="str">
        <x:v>r0355_smpc</x:v>
      </x:c>
      <x:c r="F643" s="31" t="str">
        <x:v>SMPC</x:v>
      </x:c>
      <x:c r="G643" s="31" t="n">
        <x:v>9</x:v>
      </x:c>
      <x:c r="H643" s="31" t="str">
        <x:v>isoniazid</x:v>
      </x:c>
      <x:c r="I643" s="37" t="str">
        <x:v>osteroids should therefore be closely monitored. Antidiabetics: Corticosteroids may increase blood glucose; diabetic control should be monitored, especially when corticosteroids are initiated, discontinued, or changed in dosage. Antihypertensives, including diuretics: corticosteroids antagonise the effects of antihypertensives and diuretics. The hypokalaemic effect of diuretics, including acetazolamide, is enhanced. Anti-tubercular drugs: Isoniazid serum concentrations may be decreased. Cyclosporin: Monitor for evidence of increased toxicity of cyclosporin when the two are used concurrently. Digitalis glycosides: Co-administration may enhance the possibility of digitalis toxicity. Oestrogens, including oral contraceptives: Corticosteroid half -life and concentration may be increased and clearance decreased. Hepatic Enzyme Inducers (e.g. barbiturates, phenytoin, carbamazepine, rifa</x:v>
      </x:c>
      <x:c r="J643" s="37" t="str">
        <x:v>https://drug.fda.moph.go.th/media.php?id=810493020255428608&amp;name=SMPC_Triamcinolone_Suspensions for injections or infusions.pdf</x:v>
      </x:c>
    </x:row>
    <x:row r="644">
      <x:c r="A644" s="31" t="str">
        <x:v>isoniazid</x:v>
      </x:c>
      <x:c r="B644" s="31" t="str">
        <x:v>triamcinolone_acetonide</x:v>
      </x:c>
      <x:c r="C644" s="31" t="str">
        <x:v>unclassified</x:v>
      </x:c>
      <x:c r="D644" s="31" t="str">
        <x:v>review</x:v>
      </x:c>
      <x:c r="E644" s="31" t="str">
        <x:v>r0356_smpc</x:v>
      </x:c>
      <x:c r="F644" s="31" t="str">
        <x:v>SMPC</x:v>
      </x:c>
      <x:c r="G644" s="31" t="n">
        <x:v>9</x:v>
      </x:c>
      <x:c r="H644" s="31" t="str">
        <x:v>isoniazid</x:v>
      </x:c>
      <x:c r="I644" s="37" t="str">
        <x:v>osteroids should therefore be closely monitored. Antidiabetics: Corticosteroids may increase blood glucose; diabetic control should be monitored, especially when corticosteroids are initiated, discontinued, or changed in dosage. Antihypertensives, including diuretics: corticosteroids antagonise the effects of antihypertensives and diuretics. The hypokalaemic effect of diuretics, including acetazolamide, is enhanced. Anti-tubercular drugs: Isoniazid serum concentrations may be decreased. Cyclosporin: Monitor for evidence of increased toxicity of cyclosporin when the two are used concurrently. Digitalis glycosides: Co-administration may enhance the possibility of digitalis toxicity. Oestrogens, including oral contraceptives: Corticosteroid half -life and concentration may be increased and clearance decreased. Hepatic Enzyme Inducers (e.g. barbiturates, phenytoin, carbamazepine, rifa</x:v>
      </x:c>
      <x:c r="J644" s="37" t="str">
        <x:v>https://drug.fda.moph.go.th/media.php?id=810493020255428608&amp;name=SMPC_Triamcinolone_Suspensions for injections or infusions.pdf</x:v>
      </x:c>
    </x:row>
    <x:row r="645">
      <x:c r="A645" s="31" t="str">
        <x:v>isosorbide_dinitrate</x:v>
      </x:c>
      <x:c r="B645" s="31" t="str">
        <x:v>isosorbide_mononitrate</x:v>
      </x:c>
      <x:c r="C645" s="31" t="str">
        <x:v>unclassified</x:v>
      </x:c>
      <x:c r="D645" s="31" t="str">
        <x:v>review</x:v>
      </x:c>
      <x:c r="E645" s="31" t="str">
        <x:v>r0197_smpc</x:v>
      </x:c>
      <x:c r="F645" s="31" t="str">
        <x:v>SMPC</x:v>
      </x:c>
      <x:c r="G645" s="31" t="n">
        <x:v>5</x:v>
      </x:c>
      <x:c r="H645" s="31" t="str">
        <x:v>isosorbide mononitrate</x:v>
      </x:c>
      <x:c r="I645" s="37" t="str">
        <x:v>trates may increase the blood level of dihydroergotamine and its hypertensive effect. Saproterin ( tetrahydrobioterine, BH4) is a cofactor for nitric oxide sythetase. Caution is recommended during concomitant use of saproterin-containing medicine with all agents that cause vasodilation by affecting nitric oxide (NO) metabolism or action, including classical NO donors (e.g. glyceryl trinitrate (GTN), isosorbide dinitrate (ISDN), isosorbide mononitrate (ISMN) and others). The use of isosorbide dinitrate with riociguat, a soluble guanylate cyclase stimulator, is contraindicated (see section 4.3) since concomitant use can cause hypotension. 4.6. Fertility, pregnancy and lactation Pregnancy and breast-feeding This product should not be used during pregnancy or lactation unless considered essential by the physician. Fertility There is no data available on the effect of ISDN on</x:v>
      </x:c>
      <x:c r="J645" s="37" t="str">
        <x:v>https://drug.fda.moph.go.th/media.php?id=810397718936690688&amp;name=SMPC_Isosorbide dinitrate_Tablets.pdf</x:v>
      </x:c>
    </x:row>
    <x:row r="646">
      <x:c r="A646" s="31" t="str">
        <x:v>itraconazole</x:v>
      </x:c>
      <x:c r="B646" s="31" t="str">
        <x:v>loperamide</x:v>
      </x:c>
      <x:c r="C646" s="31" t="str">
        <x:v>unclassified</x:v>
      </x:c>
      <x:c r="D646" s="31" t="str">
        <x:v>review</x:v>
      </x:c>
      <x:c r="E646" s="31" t="str">
        <x:v>r0214_smpc</x:v>
      </x:c>
      <x:c r="F646" s="31" t="str">
        <x:v>SMPC</x:v>
      </x:c>
      <x:c r="G646" s="31" t="n">
        <x:v>5</x:v>
      </x:c>
      <x:c r="H646" s="31" t="str">
        <x:v>itraconazole</x:v>
      </x:c>
      <x:c r="I646" s="37" t="str">
        <x:v>lycoprotein substrate. Concomitant administration of loperamide (16 mg single dose) with quinidine, or ritonavir, which are both P -glycoprotein inhibitors, resulted in a 2 to 3-fold increase in loperamide plasma levels. The clinical relevance of this pharmacokinetic interaction with P - glycoprotein inhibitors, when loperamide is given at recommended dosages, is unknown. The concomitant administration of loperamide (4 mg single dose) and itraconazole, an inhibitor of CYP3A4 and P -glycoprotein, resulted in a 3 to 4 -fold increase in loperamide plasma concentrations. In the same study a CYP2C8 inhibitor, gemfibrozil, increase d loperamide by approximately 2-fold. The combination of itraconazole and gemfibrozil resulted in a 4-fold increase in peak plasma levels of loperamide and a 13-fold increase in total plasma exposure. These increases were not associated with central nervou s system</x:v>
      </x:c>
      <x:c r="J646" s="37" t="str">
        <x:v>https://drug.fda.moph.go.th/media.php?id=810406546952560640&amp;name=SMPC_Loperamide_Tablets.pdf</x:v>
      </x:c>
    </x:row>
    <x:row r="647">
      <x:c r="A647" s="31" t="str">
        <x:v>itraconazole</x:v>
      </x:c>
      <x:c r="B647" s="31" t="str">
        <x:v>magnesium_hydroxide</x:v>
      </x:c>
      <x:c r="C647" s="31" t="str">
        <x:v>unclassified</x:v>
      </x:c>
      <x:c r="D647" s="31" t="str">
        <x:v>review</x:v>
      </x:c>
      <x:c r="E647" s="31" t="str">
        <x:v>r0216_smpc</x:v>
      </x:c>
      <x:c r="F647" s="31" t="str">
        <x:v>SMPC</x:v>
      </x:c>
      <x:c r="G647" s="31" t="n">
        <x:v>2</x:v>
      </x:c>
      <x:c r="H647" s="31" t="str">
        <x:v>itraconazole</x:v>
      </x:c>
      <x:c r="I647" s="37" t="str">
        <x:v>e. - Shake well before use. - Keep out of the sight and reach of children. - Chronic use may result in hypermagnesia. 4.5. Interaction with other medicinal products and other forms of interaction The antacid properties of this preparation can lead to reduced absorption of diflusinal, azithromycin, ciprofloxacin, isoniazid, norfloxacin, ofloxacin, pivampicillin, rifampicin and most tetracyclines. Also reduces absorption of phenytoin, itraconazole, ketoconazole, fosinopril, chloroquine, hydroxychloroquine, phenothiazines, biphosphonates and penicillamine. The use of this product is not advised during dipyridamole therapy. The excretion of aspirin is increased and quinidine is decreased in alkaline urine which may occur with use of this product. 4.6. Fertility, pregnancy and lactation There is not or inadequate evidence of safety of use during pregnancy and lactation but has b</x:v>
      </x:c>
      <x:c r="J647" s="37" t="str">
        <x:v>https://drug.fda.moph.go.th/media.php?id=810406985441878016&amp;name=SMPC_Magnesium hydroxide_Oral suspension.pdf</x:v>
      </x:c>
    </x:row>
    <x:row r="648">
      <x:c r="A648" s="31" t="str">
        <x:v>itraconazole</x:v>
      </x:c>
      <x:c r="B648" s="31" t="str">
        <x:v>magnesium_trisilicate</x:v>
      </x:c>
      <x:c r="C648" s="31" t="str">
        <x:v>moderate</x:v>
      </x:c>
      <x:c r="D648" s="31" t="str">
        <x:v>eligible</x:v>
      </x:c>
      <x:c r="E648" s="31" t="str">
        <x:v>r0218_smpc</x:v>
      </x:c>
      <x:c r="F648" s="31" t="str">
        <x:v>SMPC</x:v>
      </x:c>
      <x:c r="G648" s="31" t="n">
        <x:v>2</x:v>
      </x:c>
      <x:c r="H648" s="31" t="str">
        <x:v>itraconazole</x:v>
      </x:c>
      <x:c r="I648" s="37" t="str">
        <x:v>, consult your doctor. Patients with rare hereditary problems of fructose or galactose intolerance, the LAPP lactase deficiency, glucose-galactose malabsorption or sucrase-isomaltase insufficiency should not take this medicine. 4.5. Interaction with other medicinal products and other forms of interaction Concurrent administration of antacids reduces the absorption of ciprofloxacin, pivampicillin, rifampicin, most tetracyclines, itraconazole, ketoconazole, chloroquine, hydroxychloroquine, phenothiazines, phenytoin, oral iron, penicillamine and diflunisal. Concurrent use of antacids reduces the effectiveness of the ulcer healing drug sucralfate.</x:v>
      </x:c>
      <x:c r="J648" s="37" t="str">
        <x:v>https://drug.fda.moph.go.th/media.php?id=810407998043332608&amp;name=SMPC_Magnesium trisilicate_Tablets.pdf</x:v>
      </x:c>
    </x:row>
    <x:row r="649">
      <x:c r="A649" s="31" t="str">
        <x:v>itraconazole</x:v>
      </x:c>
      <x:c r="B649" s="31" t="str">
        <x:v>magnesium_trisilicate</x:v>
      </x:c>
      <x:c r="C649" s="31" t="str">
        <x:v>unclassified</x:v>
      </x:c>
      <x:c r="D649" s="31" t="str">
        <x:v>review</x:v>
      </x:c>
      <x:c r="E649" s="31" t="str">
        <x:v>r0219_smpc</x:v>
      </x:c>
      <x:c r="F649" s="31" t="str">
        <x:v>SMPC</x:v>
      </x:c>
      <x:c r="G649" s="31" t="n">
        <x:v>2</x:v>
      </x:c>
      <x:c r="H649" s="31" t="str">
        <x:v>itraconazole</x:v>
      </x:c>
      <x:c r="I649" s="37" t="str">
        <x:v>the same time as other medicines. Examples of other medications which may be affected include, but are not limited to ACE inhibitors, salicylates e.g. aspirin, atazanavir, azithromycin, barbiturates, bile acids, bisphosphonates, cephalosporin antibiotics, fluoroquinolone antibiotics, chloroquine and hydroxychloroquine, deflazacort, digoxin, dipyridamole, eltrombopag, erlotinib, fexofenadine, gabapentin, iron p reparations, isoniazid, itraconazole, ketoconazole, lansoprazole, levothyroxine, lithium, methenamine, mycophenolate, nitrofurantoin, penicillamine, phenothiazines, phenytoin, proguanil, rifampicin, rosuvastatin, sulpiride, tetracyclines, tipranavir, ulipristal (avoid use with antacids). With quinidine plasma concentrations may be increased.</x:v>
      </x:c>
      <x:c r="J649" s="37" t="str">
        <x:v>https://drug.fda.moph.go.th/media.php?id=810408508334940160&amp;name=SMPC_Magnesium trisilicate_Chewable Tablets.pdf</x:v>
      </x:c>
    </x:row>
    <x:row r="650">
      <x:c r="A650" s="31" t="str">
        <x:v>itraconazole</x:v>
      </x:c>
      <x:c r="B650" s="31" t="str">
        <x:v>methylprednisolone</x:v>
      </x:c>
      <x:c r="C650" s="31" t="str">
        <x:v>unclassified</x:v>
      </x:c>
      <x:c r="D650" s="31" t="str">
        <x:v>review</x:v>
      </x:c>
      <x:c r="E650" s="31" t="str">
        <x:v>r0233_smpc</x:v>
      </x:c>
      <x:c r="F650" s="31" t="str">
        <x:v>SMPC</x:v>
      </x:c>
      <x:c r="G650" s="31" t="n">
        <x:v>18</x:v>
      </x:c>
      <x:c r="H650" s="31" t="str">
        <x:v>itraconazole</x:v>
      </x:c>
      <x:c r="I650" s="37" t="str">
        <x:v>24 18 methylprednisolone to increase the acetylation rate and clearance of isoniazid. Antibiotic, Antitubercular - RIFAMPIN Anticonvulsants - PHENOBARBITAL - PHENYTOIN CYP3A4 INDUCER CYP3A4 INDUCER A decrease in the plasma concentration of methylprednisolone may occur. Co-administration may require an increase in methylprednisolone dosage to achieve the desired result. Antiemetic - APREPITANT - FOSAPREPITANT Antifungal - ITRACONAZOLE - KETOCONAZOLE Antivirals - HIV-PROTEASE INHIBITORS Pharmacokinetic enhancers - COBICISTAT Calcium Channel Blocker - DILTIAZEM Contraceptives (oral) - ETHINYLESTRADIOL/ NORETHISTERONE Immunosuppressant - CICLOSPORIN Macrolide Antibacterial - CLARITHROMYCIN - ERYTHROMYCIN CYP3A4 INHIBITORS (and SUBSTRATES) CYP3A4 INHIBITORS (and SUBSTRATES) The hepatic clearance of methylprednisolone may be inhibited or induced, resultin</x:v>
      </x:c>
      <x:c r="J650" s="37" t="str">
        <x:v>https://drug.fda.moph.go.th/media.php?id=810412748335882240&amp;name=SMPC_Methylprednisolone_Powders for solutions for injections or infusions.pdf</x:v>
      </x:c>
    </x:row>
    <x:row r="651">
      <x:c r="A651" s="31" t="str">
        <x:v>itraconazole</x:v>
      </x:c>
      <x:c r="B651" s="31" t="str">
        <x:v>nortriptyline</x:v>
      </x:c>
      <x:c r="C651" s="31" t="str">
        <x:v>unclassified</x:v>
      </x:c>
      <x:c r="D651" s="31" t="str">
        <x:v>review</x:v>
      </x:c>
      <x:c r="E651" s="31" t="str">
        <x:v>r0257_smpc</x:v>
      </x:c>
      <x:c r="F651" s="31" t="str">
        <x:v>SMPC</x:v>
      </x:c>
      <x:c r="G651" s="31" t="n">
        <x:v>11</x:v>
      </x:c>
      <x:c r="H651" s="31" t="str">
        <x:v>itraconazole</x:v>
      </x:c>
      <x:c r="I651" s="37" t="str">
        <x:v>1 Ref:Nortriptyline 50 mg film-coated tablet, MHRA, 27/04/2022 11 concomitant use of nortriptyline and strong CYP3A4 inhibitors such as ketoconazole, itraconazole and ritonavir. Valproic Acid Nortriptyline plasma concentration can be increased by valproic acid. Clinical monitoring is therefore recommended. 4.6. Fertility, pregnancy and lactation Pregnancy There is a moderate amount of data from the use of nortriptyline in pregnant women. Animal studies are insufficient with respect to reproductive toxicity (see section 5.3). Therefore, the drug should not be administered to pregnant patients or</x:v>
      </x:c>
      <x:c r="J651" s="37" t="str">
        <x:v>https://drug.fda.moph.go.th/media.php?id=810424052261986304&amp;name=SMPC_Nortriptyline_Film-coated Tablet.pdf</x:v>
      </x:c>
    </x:row>
    <x:row r="652">
      <x:c r="A652" s="31" t="str">
        <x:v>itraconazole</x:v>
      </x:c>
      <x:c r="B652" s="31" t="str">
        <x:v>omeprazole</x:v>
      </x:c>
      <x:c r="C652" s="31" t="str">
        <x:v>unclassified</x:v>
      </x:c>
      <x:c r="D652" s="31" t="str">
        <x:v>review</x:v>
      </x:c>
      <x:c r="E652" s="31" t="str">
        <x:v>r0262_smpc</x:v>
      </x:c>
      <x:c r="F652" s="31" t="str">
        <x:v>SMPC</x:v>
      </x:c>
      <x:c r="G652" s="31" t="n">
        <x:v>11</x:v>
      </x:c>
      <x:c r="H652" s="31" t="str">
        <x:v>itraconazole</x:v>
      </x:c>
      <x:c r="I652" s="37" t="str">
        <x:v>on of (ADP induced) platelet aggregation by an average of 16%. Inconsistent data on the clinical implications of a PK/PD interaction of omeprazole in terms of major cardiovascular events have been reported from both observational and clinical studies. As a precaution, concomitant use of omeprazole and clopidogrel shou ld be discouraged (see section 4.4). Other active substances The absorption of posaconazole, erlotinib, ketoconazole and itraconazole is significantly reduced and thus clinical efficacy may be impaired. For posaconazole and erlotinib concomitant use should be avoided. Active substances metabolised by CYP2C19</x:v>
      </x:c>
      <x:c r="J652" s="37" t="str">
        <x:v>https://drug.fda.moph.go.th/media.php?id=810426319253938176&amp;name=SMPC_Omeprazole_Hard Gastro-resistant Capsule.pdf</x:v>
      </x:c>
    </x:row>
    <x:row r="653">
      <x:c r="A653" s="31" t="str">
        <x:v>itraconazole</x:v>
      </x:c>
      <x:c r="B653" s="31" t="str">
        <x:v>omeprazole</x:v>
      </x:c>
      <x:c r="C653" s="31" t="str">
        <x:v>unclassified</x:v>
      </x:c>
      <x:c r="D653" s="31" t="str">
        <x:v>review</x:v>
      </x:c>
      <x:c r="E653" s="31" t="str">
        <x:v>r0435_smpc</x:v>
      </x:c>
      <x:c r="F653" s="31" t="str">
        <x:v>SMPC</x:v>
      </x:c>
      <x:c r="G653" s="31" t="n">
        <x:v>7</x:v>
      </x:c>
      <x:c r="H653" s="31" t="str">
        <x:v>itraconazole</x:v>
      </x:c>
      <x:c r="I653" s="37" t="str">
        <x:v>kely to be driven by the inhibitory effect of omeprazole on CYP2C19. Inconsistent data on the clinical implications of this PK/PD interaction in terms of major cardiovascular events have been reported from observational and clinical studies. As a precautionary measure, the concomitant use of omeprazole and clopidogrel should be avoided (see section 4.4). Other active substances The absorption of posaconazole, erlotinib, ketoconazole and itraconazole is significantly reduced and thus clinical efficacy may be impaired. For posaconazole and erlotinib concomitant use should be avoided. Active substances metabolised by CYP2C19 Omeprazole is a moderate inhibitor of CYP2C19, the major omeprazole metabolising enzyme. Thus, the metabolism of concomitant active substances also</x:v>
      </x:c>
      <x:c r="J653" s="37" t="str">
        <x:v>https://drug.fda.moph.go.th/media.php?id=904966130538520576&amp;name=3. Ref SmPC_Omeprazole.pdf</x:v>
      </x:c>
    </x:row>
    <x:row r="654">
      <x:c r="A654" s="31" t="str">
        <x:v>itraconazole</x:v>
      </x:c>
      <x:c r="B654" s="31" t="str">
        <x:v>rifampicin</x:v>
      </x:c>
      <x:c r="C654" s="31" t="str">
        <x:v>unclassified</x:v>
      </x:c>
      <x:c r="D654" s="31" t="str">
        <x:v>review</x:v>
      </x:c>
      <x:c r="E654" s="31" t="str">
        <x:v>r0201_smpc</x:v>
      </x:c>
      <x:c r="F654" s="31" t="str">
        <x:v>SMPC</x:v>
      </x:c>
      <x:c r="G654" s="31" t="n">
        <x:v>11</x:v>
      </x:c>
      <x:c r="H654" s="31" t="str">
        <x:v>rifampicin</x:v>
      </x:c>
      <x:c r="I654" s="37" t="str">
        <x:v>1 Ref:Itraconazole 100mg Capsule, hard, MHRA, 06/10/2023 11 Coadministration of itraconazole with potent enzyme inducers of CYP3A4 may decrease the bioavailability of itraconazole and hydroxy- itraconazole to such an extent that efficacy may be largely reduced. Examples include: - Antibacterials: isoniazid, rifabutin (see also under Drugs that may have their plasma concentrations increased by itraconazole), rifampicin. - Anticonvulsants: carbamazepine, (see also under Drugs that may have their plasma concentrations increased by itraconazole), phenobarbital, phenytoin. - Antivirals: efavirenz, nevirapine. Therefore, administration of potent enzyme inducers of CYP3A4 with itraconazole is not recommended. It is recommended that the use of these drugs be avoided from 2 weeks before and during treatment with itraconazole, unless the benefits outweigh the r</x:v>
      </x:c>
      <x:c r="J654" s="37" t="str">
        <x:v>https://drug.fda.moph.go.th/media.php?id=810398699489468416&amp;name=SMPC_Itraconazole_Hard capsules.pdf</x:v>
      </x:c>
    </x:row>
    <x:row r="655">
      <x:c r="A655" s="31" t="str">
        <x:v>itraconazole</x:v>
      </x:c>
      <x:c r="B655" s="31" t="str">
        <x:v>sodium_bicarbonate</x:v>
      </x:c>
      <x:c r="C655" s="31" t="str">
        <x:v>unclassified</x:v>
      </x:c>
      <x:c r="D655" s="31" t="str">
        <x:v>review</x:v>
      </x:c>
      <x:c r="E655" s="31" t="str">
        <x:v>r0314_smpc</x:v>
      </x:c>
      <x:c r="F655" s="31" t="str">
        <x:v>SMPC</x:v>
      </x:c>
      <x:c r="G655" s="31" t="n">
        <x:v>3</x:v>
      </x:c>
      <x:c r="H655" s="31" t="str">
        <x:v>itraconazole</x:v>
      </x:c>
      <x:c r="I655" s="37" t="str">
        <x:v>ution for antacids, in order to minimise the risk of interactions affecting pharmacokinetics of concomitantly administered products, drug administrations should be separated by approximately 2 to 3 hours. Sodium bicarbonate reduces the absorption of a number of other drugs taken concomitantly. These include ACE inhibitors (captopril, enalapril, and fosinopril), antibacterials and antifungals (azithromycin, cefaclor, cefpodoxime, isoniazid, itraconazole, rif ampicin, tetracyclines, ketoconazole and the quinolone group of antibacterials); antivirals(atazanivir, fosamprenavir, tipranavir); antihistamines (fexofenadine); bisphosponates, corticosteroids (deflazacort); digoxin, dipyridamole, antiepileptics (gabapen tin and phenytoin), ulcer healing drugs (lansoprazole); levothyroxine, mycophenolate, lipid regulating drugs (rosuvastatin); antipsychotics (sulpiride, phenothiazines), chloroquine</x:v>
      </x:c>
      <x:c r="J655" s="37" t="str">
        <x:v>https://drug.fda.moph.go.th/media.php?id=810453894575562752&amp;name=SMPC_Sodium Bicarbonate_powder.pdf</x:v>
      </x:c>
    </x:row>
    <x:row r="656">
      <x:c r="A656" s="31" t="str">
        <x:v>itraconazole</x:v>
      </x:c>
      <x:c r="B656" s="31" t="str">
        <x:v>trazodone</x:v>
      </x:c>
      <x:c r="C656" s="31" t="str">
        <x:v>unclassified</x:v>
      </x:c>
      <x:c r="D656" s="31" t="str">
        <x:v>review</x:v>
      </x:c>
      <x:c r="E656" s="31" t="str">
        <x:v>r0352_smpc</x:v>
      </x:c>
      <x:c r="F656" s="31" t="str">
        <x:v>SMPC</x:v>
      </x:c>
      <x:c r="G656" s="31" t="n">
        <x:v>10</x:v>
      </x:c>
      <x:c r="H656" s="31" t="str">
        <x:v>itraconazole</x:v>
      </x:c>
      <x:c r="I656" s="37" t="str">
        <x:v>ommended in such instances. The metabolism of antidepressants is accelerated due to hepatic effects by oral contraceptives, phenytoin, carbamazepine and barbiturates. The metabolism of antidepressants is inhibited by cimetidine and some other antipsychotics. In vitro drug metabolism studies suggest that there is a potential for drug interactions when &lt;GENERIC NAME&gt; is given with potent CYP3A4 inhibitors such as erythromycin, ketoconazole, itraconazole, ritonavir, indinavir, and nefazodone. It is likely that potent CYP3A4 inhibitors may lead to substantial increases in trazodone plasma concentrations with the potential for adverse effects. Exposure to ritonavir during initiation or resumption of treatment in patients receiving &lt;GENERIC NAME&gt; will increase the po tential for excessive sedation, cardiovascular, and gastrointestinal effects. It has been confirmed in in-vivo-studies in heal</x:v>
      </x:c>
      <x:c r="J656" s="37" t="str">
        <x:v>https://drug.fda.moph.go.th/media.php?id=810484413367459840&amp;name=SMPC_Trazodone_Tablets.pdf</x:v>
      </x:c>
    </x:row>
    <x:row r="657">
      <x:c r="A657" s="31" t="str">
        <x:v>itraconazole</x:v>
      </x:c>
      <x:c r="B657" s="31" t="str">
        <x:v>triamcinolone_acetonide</x:v>
      </x:c>
      <x:c r="C657" s="31" t="str">
        <x:v>unclassified</x:v>
      </x:c>
      <x:c r="D657" s="31" t="str">
        <x:v>review</x:v>
      </x:c>
      <x:c r="E657" s="31" t="str">
        <x:v>r0355_smpc</x:v>
      </x:c>
      <x:c r="F657" s="31" t="str">
        <x:v>SMPC</x:v>
      </x:c>
      <x:c r="G657" s="31" t="n">
        <x:v>10</x:v>
      </x:c>
      <x:c r="H657" s="31" t="str">
        <x:v>itraconazole</x:v>
      </x:c>
      <x:c r="I657" s="37" t="str">
        <x:v>1 Ref: Kenalog, MHRA, 08/09/2023 10 CYP 3A4 inhibitors: Triamcinolone acetonide is a substrate of CYP3A4. Co -administration with strong CYP3A4 inhibitors (eg, ritonavir, atazanavir, clarithromycin, indinavir, itraconazole, nefazodone, nelfinavir, saquinavir, ketoconazole, telithromycin) with triamcinolone is not recommended because increased systemic corticosteroid adverse effects may occur (see section 4.8). If the potential benefit of co-administration outweighs the increased risk of systemic corticosteroid side-effects, patients should be monitored for these effects. During post marketing use, there have been reports of clinically significant drug inter</x:v>
      </x:c>
      <x:c r="J657" s="37" t="str">
        <x:v>https://drug.fda.moph.go.th/media.php?id=810493020255428608&amp;name=SMPC_Triamcinolone_Suspensions for injections or infusions.pdf</x:v>
      </x:c>
    </x:row>
    <x:row r="658">
      <x:c r="A658" s="31" t="str">
        <x:v>itraconazole</x:v>
      </x:c>
      <x:c r="B658" s="31" t="str">
        <x:v>triamcinolone_acetonide</x:v>
      </x:c>
      <x:c r="C658" s="31" t="str">
        <x:v>unclassified</x:v>
      </x:c>
      <x:c r="D658" s="31" t="str">
        <x:v>review</x:v>
      </x:c>
      <x:c r="E658" s="31" t="str">
        <x:v>r0356_smpc</x:v>
      </x:c>
      <x:c r="F658" s="31" t="str">
        <x:v>SMPC</x:v>
      </x:c>
      <x:c r="G658" s="31" t="n">
        <x:v>10</x:v>
      </x:c>
      <x:c r="H658" s="31" t="str">
        <x:v>itraconazole</x:v>
      </x:c>
      <x:c r="I658" s="37" t="str">
        <x:v>1 Ref: Kenalog, MHRA, 08/09/2023 10 CYP 3A4 inhibitors: Triamcinolone acetonide is a substrate of CYP3A4. Co -administration with strong CYP3A4 inhibitors (eg, ritonavir, atazanavir, clarithromycin, indinavir, itraconazole, nefazodone, nelfinavir, saquinavir, ketoconazole, telithromycin) with triamcinolone is not recommended because increased systemic corticosteroid adverse effects may occur (see section 4.8). If the potential benefit of co-administration outweighs the increased risk of systemic corticosteroid side-effects, patients should be monitored for these effects. During post marketing use, there have been reports of clinically significant drug inter</x:v>
      </x:c>
      <x:c r="J658" s="37" t="str">
        <x:v>https://drug.fda.moph.go.th/media.php?id=810493020255428608&amp;name=SMPC_Triamcinolone_Suspensions for injections or infusions.pdf</x:v>
      </x:c>
    </x:row>
    <x:row r="659">
      <x:c r="A659" s="31" t="str">
        <x:v>ketoconazole</x:v>
      </x:c>
      <x:c r="B659" s="31" t="str">
        <x:v>loperamide</x:v>
      </x:c>
      <x:c r="C659" s="31" t="str">
        <x:v>unclassified</x:v>
      </x:c>
      <x:c r="D659" s="31" t="str">
        <x:v>review</x:v>
      </x:c>
      <x:c r="E659" s="31" t="str">
        <x:v>r0214_smpc</x:v>
      </x:c>
      <x:c r="F659" s="31" t="str">
        <x:v>SMPC</x:v>
      </x:c>
      <x:c r="G659" s="31" t="n">
        <x:v>6</x:v>
      </x:c>
      <x:c r="H659" s="31" t="str">
        <x:v>ketoconazole</x:v>
      </x:c>
      <x:c r="I659" s="37" t="str">
        <x:v>1 Ref:Imodium Classic 2 mg Capsules, MHRA, 12/01/2023 6 The concomitant administration of loperamide (16 mg single dose) and ketoconazole, an inhibitor of CYP3A4 and P-glycoprotein, resulted in a 5-fold increase in loperamide plasma concentrations. This increase was not associated with increased pharmacodynamic effects as measured by pupillometry. Concomitant treatment with oral desmopressin resulted in a 3 -fold increase of desmopressin plasma concentrations, presumably due to slower gastrointestinal motility. It is expected that drugs with similar pharmacological properti</x:v>
      </x:c>
      <x:c r="J659" s="37" t="str">
        <x:v>https://drug.fda.moph.go.th/media.php?id=810406546952560640&amp;name=SMPC_Loperamide_Tablets.pdf</x:v>
      </x:c>
    </x:row>
    <x:row r="660">
      <x:c r="A660" s="31" t="str">
        <x:v>ketoconazole</x:v>
      </x:c>
      <x:c r="B660" s="31" t="str">
        <x:v>magnesium_hydroxide</x:v>
      </x:c>
      <x:c r="C660" s="31" t="str">
        <x:v>unclassified</x:v>
      </x:c>
      <x:c r="D660" s="31" t="str">
        <x:v>review</x:v>
      </x:c>
      <x:c r="E660" s="31" t="str">
        <x:v>r0216_smpc</x:v>
      </x:c>
      <x:c r="F660" s="31" t="str">
        <x:v>SMPC</x:v>
      </x:c>
      <x:c r="G660" s="31" t="n">
        <x:v>2</x:v>
      </x:c>
      <x:c r="H660" s="31" t="str">
        <x:v>ketoconazole</x:v>
      </x:c>
      <x:c r="I660" s="37" t="str">
        <x:v>ll before use. - Keep out of the sight and reach of children. - Chronic use may result in hypermagnesia. 4.5. Interaction with other medicinal products and other forms of interaction The antacid properties of this preparation can lead to reduced absorption of diflusinal, azithromycin, ciprofloxacin, isoniazid, norfloxacin, ofloxacin, pivampicillin, rifampicin and most tetracyclines. Also reduces absorption of phenytoin, itraconazole, ketoconazole, fosinopril, chloroquine, hydroxychloroquine, phenothiazines, biphosphonates and penicillamine. The use of this product is not advised during dipyridamole therapy. The excretion of aspirin is increased and quinidine is decreased in alkaline urine which may occur with use of this product. 4.6. Fertility, pregnancy and lactation There is not or inadequate evidence of safety of use during pregnancy and lactation but has been used for m</x:v>
      </x:c>
      <x:c r="J660" s="37" t="str">
        <x:v>https://drug.fda.moph.go.th/media.php?id=810406985441878016&amp;name=SMPC_Magnesium hydroxide_Oral suspension.pdf</x:v>
      </x:c>
    </x:row>
    <x:row r="661">
      <x:c r="A661" s="31" t="str">
        <x:v>ketoconazole</x:v>
      </x:c>
      <x:c r="B661" s="31" t="str">
        <x:v>magnesium_trisilicate</x:v>
      </x:c>
      <x:c r="C661" s="31" t="str">
        <x:v>moderate</x:v>
      </x:c>
      <x:c r="D661" s="31" t="str">
        <x:v>eligible</x:v>
      </x:c>
      <x:c r="E661" s="31" t="str">
        <x:v>r0218_smpc</x:v>
      </x:c>
      <x:c r="F661" s="31" t="str">
        <x:v>SMPC</x:v>
      </x:c>
      <x:c r="G661" s="31" t="n">
        <x:v>2</x:v>
      </x:c>
      <x:c r="H661" s="31" t="str">
        <x:v>ketoconazole</x:v>
      </x:c>
      <x:c r="I661" s="37" t="str">
        <x:v>doctor. Patients with rare hereditary problems of fructose or galactose intolerance, the LAPP lactase deficiency, glucose-galactose malabsorption or sucrase-isomaltase insufficiency should not take this medicine. 4.5. Interaction with other medicinal products and other forms of interaction Concurrent administration of antacids reduces the absorption of ciprofloxacin, pivampicillin, rifampicin, most tetracyclines, itraconazole, ketoconazole, chloroquine, hydroxychloroquine, phenothiazines, phenytoin, oral iron, penicillamine and diflunisal. Concurrent use of antacids reduces the effectiveness of the ulcer healing drug sucralfate.</x:v>
      </x:c>
      <x:c r="J661" s="37" t="str">
        <x:v>https://drug.fda.moph.go.th/media.php?id=810407998043332608&amp;name=SMPC_Magnesium trisilicate_Tablets.pdf</x:v>
      </x:c>
    </x:row>
    <x:row r="662">
      <x:c r="A662" s="31" t="str">
        <x:v>ketoconazole</x:v>
      </x:c>
      <x:c r="B662" s="31" t="str">
        <x:v>magnesium_trisilicate</x:v>
      </x:c>
      <x:c r="C662" s="31" t="str">
        <x:v>unclassified</x:v>
      </x:c>
      <x:c r="D662" s="31" t="str">
        <x:v>review</x:v>
      </x:c>
      <x:c r="E662" s="31" t="str">
        <x:v>r0219_smpc</x:v>
      </x:c>
      <x:c r="F662" s="31" t="str">
        <x:v>SMPC</x:v>
      </x:c>
      <x:c r="G662" s="31" t="n">
        <x:v>2</x:v>
      </x:c>
      <x:c r="H662" s="31" t="str">
        <x:v>ketoconazole</x:v>
      </x:c>
      <x:c r="I662" s="37" t="str">
        <x:v>other medicines. Examples of other medications which may be affected include, but are not limited to ACE inhibitors, salicylates e.g. aspirin, atazanavir, azithromycin, barbiturates, bile acids, bisphosphonates, cephalosporin antibiotics, fluoroquinolone antibiotics, chloroquine and hydroxychloroquine, deflazacort, digoxin, dipyridamole, eltrombopag, erlotinib, fexofenadine, gabapentin, iron p reparations, isoniazid, itraconazole, ketoconazole, lansoprazole, levothyroxine, lithium, methenamine, mycophenolate, nitrofurantoin, penicillamine, phenothiazines, phenytoin, proguanil, rifampicin, rosuvastatin, sulpiride, tetracyclines, tipranavir, ulipristal (avoid use with antacids). With quinidine plasma concentrations may be increased.</x:v>
      </x:c>
      <x:c r="J662" s="37" t="str">
        <x:v>https://drug.fda.moph.go.th/media.php?id=810408508334940160&amp;name=SMPC_Magnesium trisilicate_Chewable Tablets.pdf</x:v>
      </x:c>
    </x:row>
    <x:row r="663">
      <x:c r="A663" s="31" t="str">
        <x:v>ketoconazole</x:v>
      </x:c>
      <x:c r="B663" s="31" t="str">
        <x:v>methylprednisolone</x:v>
      </x:c>
      <x:c r="C663" s="31" t="str">
        <x:v>unclassified</x:v>
      </x:c>
      <x:c r="D663" s="31" t="str">
        <x:v>review</x:v>
      </x:c>
      <x:c r="E663" s="31" t="str">
        <x:v>r0233_smpc</x:v>
      </x:c>
      <x:c r="F663" s="31" t="str">
        <x:v>SMPC</x:v>
      </x:c>
      <x:c r="G663" s="31" t="n">
        <x:v>18</x:v>
      </x:c>
      <x:c r="H663" s="31" t="str">
        <x:v>ketoconazole</x:v>
      </x:c>
      <x:c r="I663" s="37" t="str">
        <x:v>dnisolone to increase the acetylation rate and clearance of isoniazid. Antibiotic, Antitubercular - RIFAMPIN Anticonvulsants - PHENOBARBITAL - PHENYTOIN CYP3A4 INDUCER CYP3A4 INDUCER A decrease in the plasma concentration of methylprednisolone may occur. Co-administration may require an increase in methylprednisolone dosage to achieve the desired result. Antiemetic - APREPITANT - FOSAPREPITANT Antifungal - ITRACONAZOLE - KETOCONAZOLE Antivirals - HIV-PROTEASE INHIBITORS Pharmacokinetic enhancers - COBICISTAT Calcium Channel Blocker - DILTIAZEM Contraceptives (oral) - ETHINYLESTRADIOL/ NORETHISTERONE Immunosuppressant - CICLOSPORIN Macrolide Antibacterial - CLARITHROMYCIN - ERYTHROMYCIN CYP3A4 INHIBITORS (and SUBSTRATES) CYP3A4 INHIBITORS (and SUBSTRATES) The hepatic clearance of methylprednisolone may be inhibited or induced, resulting in an increase</x:v>
      </x:c>
      <x:c r="J663" s="37" t="str">
        <x:v>https://drug.fda.moph.go.th/media.php?id=810412748335882240&amp;name=SMPC_Methylprednisolone_Powders for solutions for injections or infusions.pdf</x:v>
      </x:c>
    </x:row>
    <x:row r="664">
      <x:c r="A664" s="31" t="str">
        <x:v>ketoconazole</x:v>
      </x:c>
      <x:c r="B664" s="31" t="str">
        <x:v>nimodipine</x:v>
      </x:c>
      <x:c r="C664" s="31" t="str">
        <x:v>unclassified</x:v>
      </x:c>
      <x:c r="D664" s="31" t="str">
        <x:v>review</x:v>
      </x:c>
      <x:c r="E664" s="31" t="str">
        <x:v>r0255_smpc</x:v>
      </x:c>
      <x:c r="F664" s="31" t="str">
        <x:v>SMPC</x:v>
      </x:c>
      <x:c r="G664" s="31" t="n">
        <x:v>4</x:v>
      </x:c>
      <x:c r="H664" s="31" t="str">
        <x:v>ketoconazole</x:v>
      </x:c>
      <x:c r="I664" s="37" t="str">
        <x:v>rugs should have renal function monitored closely during intravenous treatment with Nimotop solution (see section 4.5). Nimodipine is metabolised via the cytochrome P450 3A4 system. Drugs which are known inhibitors of the cytochrome P450 3A4 system and, therefore, may lead to increased plasma concentrations of nimodipine are macrolide antibiotics (e.g. erythromycin), anti -HIV protease inhibitors (e.g. ritonavir), azole antimycotics (e.g. ketoconazole), the antidepressants nefazodone and fluoxetine, quinupristin/dalfopristin, cimetidine and valproic acid (see section 4.5). Upon co-administration with these drugs, the blood pressure should be monitored and, if necessary, a reduction in the nimodipine dose should be considered. Nimodipine solution contains ethanol &lt;REGARDING THE APPROVAL&gt; This medicinal product contains 23.7 vol % ethanol (alcohol), i.e. up to 50 g per daily dose (250</x:v>
      </x:c>
      <x:c r="J664" s="37" t="str">
        <x:v>https://drug.fda.moph.go.th/media.php?id=810423093272125440&amp;name=SMPC_Nimodipine_Solution for Infusion.pdf</x:v>
      </x:c>
    </x:row>
    <x:row r="665">
      <x:c r="A665" s="31" t="str">
        <x:v>ketoconazole</x:v>
      </x:c>
      <x:c r="B665" s="31" t="str">
        <x:v>nimodipine</x:v>
      </x:c>
      <x:c r="C665" s="31" t="str">
        <x:v>unclassified</x:v>
      </x:c>
      <x:c r="D665" s="31" t="str">
        <x:v>review</x:v>
      </x:c>
      <x:c r="E665" s="31" t="str">
        <x:v>r0255_smpc</x:v>
      </x:c>
      <x:c r="F665" s="31" t="str">
        <x:v>SMPC</x:v>
      </x:c>
      <x:c r="G665" s="31" t="n">
        <x:v>6</x:v>
      </x:c>
      <x:c r="H665" s="31" t="str">
        <x:v>ketoconazole</x:v>
      </x:c>
      <x:c r="I665" s="37" t="str">
        <x:v>1 Ref:Nimotop 0.02% Solution for Infusion, MHRA, 30/07/2020 6 - macrolide antibiotics (e.g. erythromycin) - anti-HIV protease inhibitors (e.g. ritonavir) - azole anti-mycotics (e.g. ketoconazole) - nefazodone. Effects of nimodipine on other drugs Blood pressure lowering drugs Nimodipine may increase the blood pressure lowering effect of concomitant antihypertensives, such as: - diuretics, - beta-blockers, - ACE inhibitors, - A1-antagonists, - other calcium antagonists, - alpha-adrenergic blocking agents, - PDE5 inhibitors - alpha-methyldopa. However, if a combination of this type proves unavoidable, particularly careful mo</x:v>
      </x:c>
      <x:c r="J665" s="37" t="str">
        <x:v>https://drug.fda.moph.go.th/media.php?id=810423093272125440&amp;name=SMPC_Nimodipine_Solution for Infusion.pdf</x:v>
      </x:c>
    </x:row>
    <x:row r="666">
      <x:c r="A666" s="31" t="str">
        <x:v>ketoconazole</x:v>
      </x:c>
      <x:c r="B666" s="31" t="str">
        <x:v>nortriptyline</x:v>
      </x:c>
      <x:c r="C666" s="31" t="str">
        <x:v>unclassified</x:v>
      </x:c>
      <x:c r="D666" s="31" t="str">
        <x:v>review</x:v>
      </x:c>
      <x:c r="E666" s="31" t="str">
        <x:v>r0257_smpc</x:v>
      </x:c>
      <x:c r="F666" s="31" t="str">
        <x:v>SMPC</x:v>
      </x:c>
      <x:c r="G666" s="31" t="n">
        <x:v>11</x:v>
      </x:c>
      <x:c r="H666" s="31" t="str">
        <x:v>ketoconazole</x:v>
      </x:c>
      <x:c r="I666" s="37" t="str">
        <x:v>1 Ref:Nortriptyline 50 mg film-coated tablet, MHRA, 27/04/2022 11 concomitant use of nortriptyline and strong CYP3A4 inhibitors such as ketoconazole, itraconazole and ritonavir. Valproic Acid Nortriptyline plasma concentration can be increased by valproic acid. Clinical monitoring is therefore recommended. 4.6. Fertility, pregnancy and lactation Pregnancy There is a moderate amount of data from the use of nortriptyline in pregnant women. Animal studies are insufficient with respect to reproductive toxicity (see section 5.3). Therefore, the drug should not be administered to pregnant</x:v>
      </x:c>
      <x:c r="J666" s="37" t="str">
        <x:v>https://drug.fda.moph.go.th/media.php?id=810424052261986304&amp;name=SMPC_Nortriptyline_Film-coated Tablet.pdf</x:v>
      </x:c>
    </x:row>
    <x:row r="667">
      <x:c r="A667" s="31" t="str">
        <x:v>ketoconazole</x:v>
      </x:c>
      <x:c r="B667" s="31" t="str">
        <x:v>omeprazole</x:v>
      </x:c>
      <x:c r="C667" s="31" t="str">
        <x:v>unclassified</x:v>
      </x:c>
      <x:c r="D667" s="31" t="str">
        <x:v>review</x:v>
      </x:c>
      <x:c r="E667" s="31" t="str">
        <x:v>r0262_smpc</x:v>
      </x:c>
      <x:c r="F667" s="31" t="str">
        <x:v>SMPC</x:v>
      </x:c>
      <x:c r="G667" s="31" t="n">
        <x:v>11</x:v>
      </x:c>
      <x:c r="H667" s="31" t="str">
        <x:v>ketoconazole</x:v>
      </x:c>
      <x:c r="I667" s="37" t="str">
        <x:v>d maximum inhibition of (ADP induced) platelet aggregation by an average of 16%. Inconsistent data on the clinical implications of a PK/PD interaction of omeprazole in terms of major cardiovascular events have been reported from both observational and clinical studies. As a precaution, concomitant use of omeprazole and clopidogrel shou ld be discouraged (see section 4.4). Other active substances The absorption of posaconazole, erlotinib, ketoconazole and itraconazole is significantly reduced and thus clinical efficacy may be impaired. For posaconazole and erlotinib concomitant use should be avoided. Active substances metabolised by CYP2C19</x:v>
      </x:c>
      <x:c r="J667" s="37" t="str">
        <x:v>https://drug.fda.moph.go.th/media.php?id=810426319253938176&amp;name=SMPC_Omeprazole_Hard Gastro-resistant Capsule.pdf</x:v>
      </x:c>
    </x:row>
    <x:row r="668">
      <x:c r="A668" s="31" t="str">
        <x:v>ketoconazole</x:v>
      </x:c>
      <x:c r="B668" s="31" t="str">
        <x:v>omeprazole</x:v>
      </x:c>
      <x:c r="C668" s="31" t="str">
        <x:v>unclassified</x:v>
      </x:c>
      <x:c r="D668" s="31" t="str">
        <x:v>review</x:v>
      </x:c>
      <x:c r="E668" s="31" t="str">
        <x:v>r0435_smpc</x:v>
      </x:c>
      <x:c r="F668" s="31" t="str">
        <x:v>SMPC</x:v>
      </x:c>
      <x:c r="G668" s="31" t="n">
        <x:v>7</x:v>
      </x:c>
      <x:c r="H668" s="31" t="str">
        <x:v>ketoconazole</x:v>
      </x:c>
      <x:c r="I668" s="37" t="str">
        <x:v>ction that is likely to be driven by the inhibitory effect of omeprazole on CYP2C19. Inconsistent data on the clinical implications of this PK/PD interaction in terms of major cardiovascular events have been reported from observational and clinical studies. As a precautionary measure, the concomitant use of omeprazole and clopidogrel should be avoided (see section 4.4). Other active substances The absorption of posaconazole, erlotinib, ketoconazole and itraconazole is significantly reduced and thus clinical efficacy may be impaired. For posaconazole and erlotinib concomitant use should be avoided. Active substances metabolised by CYP2C19 Omeprazole is a moderate inhibitor of CYP2C19, the major omeprazole metabolising enzyme. Thus, the metabolism of concomitant active substances also</x:v>
      </x:c>
      <x:c r="J668" s="37" t="str">
        <x:v>https://drug.fda.moph.go.th/media.php?id=904966130538520576&amp;name=3. Ref SmPC_Omeprazole.pdf</x:v>
      </x:c>
    </x:row>
    <x:row r="669">
      <x:c r="A669" s="31" t="str">
        <x:v>ketoconazole</x:v>
      </x:c>
      <x:c r="B669" s="31" t="str">
        <x:v>ranitidine</x:v>
      </x:c>
      <x:c r="C669" s="31" t="str">
        <x:v>unclassified</x:v>
      </x:c>
      <x:c r="D669" s="31" t="str">
        <x:v>review</x:v>
      </x:c>
      <x:c r="E669" s="31" t="str">
        <x:v>r0301_smpc</x:v>
      </x:c>
      <x:c r="F669" s="31" t="str">
        <x:v>SMPC</x:v>
      </x:c>
      <x:c r="G669" s="31" t="n">
        <x:v>8</x:v>
      </x:c>
      <x:c r="H669" s="31" t="str">
        <x:v>ketoconazole</x:v>
      </x:c>
      <x:c r="I669" s="37" t="str">
        <x:v>d by this route. High doses of ranitidine (e.g. such as those used in the treatment of Zollinger - Ellison syndrome) may reduce the excretion of procainamide and N-acetylprocainamide resulting in increased plasma level of these drugs. 3) Alteration of gastric pH: The bioavailability of certain drugs may be affected. This can result in either an increase in absorption (e.g. triazolam, midazolam, glipizide) or a decrease in absorption (e.g. ketoconazole, atazanavir, delavirdine, gefitinib). Concomitant administration of 300 mg ranitidine and erlotinib decreased erlotinib exposure [AUC] and maximum concentrations [Cmax] by 33% and 54%, respectively. However, when erlotinib was dosed in staggered manner 2 hours before or 10 hours after ranitidine 150 mg b.i.d., erlotinib exposure [AUC] and maximum concentrations [C max] decreased only by 15% and 17%, respectively. There is no evidence of</x:v>
      </x:c>
      <x:c r="J669" s="37" t="str">
        <x:v>https://drug.fda.moph.go.th/media.php?id=810446254327865344&amp;name=SMPC_Ranitidine_Tablet.pdf</x:v>
      </x:c>
    </x:row>
    <x:row r="670">
      <x:c r="A670" s="31" t="str">
        <x:v>ketoconazole</x:v>
      </x:c>
      <x:c r="B670" s="31" t="str">
        <x:v>ranitidine</x:v>
      </x:c>
      <x:c r="C670" s="31" t="str">
        <x:v>unclassified</x:v>
      </x:c>
      <x:c r="D670" s="31" t="str">
        <x:v>review</x:v>
      </x:c>
      <x:c r="E670" s="31" t="str">
        <x:v>r0302_smpc</x:v>
      </x:c>
      <x:c r="F670" s="31" t="str">
        <x:v>SMPC</x:v>
      </x:c>
      <x:c r="G670" s="31" t="n">
        <x:v>6</x:v>
      </x:c>
      <x:c r="H670" s="31" t="str">
        <x:v>ketoconazole</x:v>
      </x:c>
      <x:c r="I670" s="37" t="str">
        <x:v>d by this route. High doses of ranitidine (e.g. such as those used in the treatment of Zollinger - Ellison syndrome) may reduce the excretion of procainamide and N-acetylprocainamide resulting in increased plasma level of these drugs. 3) Alteration of gastric pH: The bioavailability of certain drugs may be affected. This can result in either an increase in absorption (e.g. triazolam, midazolam, glipizide) or a decrease in absorption (e.g. ketoconazole, atazanavir, delavirdine, gefitinib). 4) Erlotinib and medicinal products altering pH: Concomitant administration of 300 mg ranitidine and erlotinib decreased erlotinib exposure [AUC] and maximum concentrations [Cmax] by 33% and 54%, respectively. However, when erlotinib was dosed in a staggered manner 2 hours before or 10 hours after ranitidine 150 mg b.i.d., erlotinib exposure [AUC] and maximum concentrations [Cmax] decreased only by 15</x:v>
      </x:c>
      <x:c r="J670" s="37" t="str">
        <x:v>https://drug.fda.moph.go.th/media.php?id=810446887676157952&amp;name=SMPC_Ranitidine_solution for injection and infusion.pdf</x:v>
      </x:c>
    </x:row>
    <x:row r="671">
      <x:c r="A671" s="31" t="str">
        <x:v>ketoconazole</x:v>
      </x:c>
      <x:c r="B671" s="31" t="str">
        <x:v>sodium_bicarbonate</x:v>
      </x:c>
      <x:c r="C671" s="31" t="str">
        <x:v>unclassified</x:v>
      </x:c>
      <x:c r="D671" s="31" t="str">
        <x:v>review</x:v>
      </x:c>
      <x:c r="E671" s="31" t="str">
        <x:v>r0314_smpc</x:v>
      </x:c>
      <x:c r="F671" s="31" t="str">
        <x:v>SMPC</x:v>
      </x:c>
      <x:c r="G671" s="31" t="n">
        <x:v>3</x:v>
      </x:c>
      <x:c r="H671" s="31" t="str">
        <x:v>ketoconazole</x:v>
      </x:c>
      <x:c r="I671" s="37" t="str">
        <x:v>e risk of interactions affecting pharmacokinetics of concomitantly administered products, drug administrations should be separated by approximately 2 to 3 hours. Sodium bicarbonate reduces the absorption of a number of other drugs taken concomitantly. These include ACE inhibitors (captopril, enalapril, and fosinopril), antibacterials and antifungals (azithromycin, cefaclor, cefpodoxime, isoniazid, itraconazole, rif ampicin, tetracyclines, ketoconazole and the quinolone group of antibacterials); antivirals(atazanivir, fosamprenavir, tipranavir); antihistamines (fexofenadine); bisphosponates, corticosteroids (deflazacort); digoxin, dipyridamole, antiepileptics (gabapen tin and phenytoin), ulcer healing drugs (lansoprazole); levothyroxine, mycophenolate, lipid regulating drugs (rosuvastatin); antipsychotics (sulpiride, phenothiazines), chloroquine, hydrochloroquine, and penicillamine. Anta</x:v>
      </x:c>
      <x:c r="J671" s="37" t="str">
        <x:v>https://drug.fda.moph.go.th/media.php?id=810453894575562752&amp;name=SMPC_Sodium Bicarbonate_powder.pdf</x:v>
      </x:c>
    </x:row>
    <x:row r="672">
      <x:c r="A672" s="31" t="str">
        <x:v>ketoconazole</x:v>
      </x:c>
      <x:c r="B672" s="31" t="str">
        <x:v>sodium_bicarbonate</x:v>
      </x:c>
      <x:c r="C672" s="31" t="str">
        <x:v>unclassified</x:v>
      </x:c>
      <x:c r="D672" s="31" t="str">
        <x:v>review</x:v>
      </x:c>
      <x:c r="E672" s="31" t="str">
        <x:v>r0316_smpc</x:v>
      </x:c>
      <x:c r="F672" s="31" t="str">
        <x:v>SMPC</x:v>
      </x:c>
      <x:c r="G672" s="31" t="n">
        <x:v>3</x:v>
      </x:c>
      <x:c r="H672" s="31" t="str">
        <x:v>ketoconazole</x:v>
      </x:c>
      <x:c r="I672" s="37" t="str">
        <x:v>Interaction with other medicinal products and other forms of interaction Avoid in patients on salt restricted diets and in patients taking corticosteroids. Sodium bicarbonate increases the excretion of lithium. The excretion of aspirin and methotrexate is increased and quinidine and ephedrine reduced in alkaline urine. Antacids reduce the absorption of antibacterials (for example tetracyclines and rifampicin), antifungals (e.g. ketoconazole), dipyridamole, phenothiazines, chloroquine, phenytoin and penicillamine. 4.6. Fertility, pregnancy and lactation Pregnancy Animal studies are insufficient with respect to effects on pregnancy, embryonal fetal development, parturition and postnatal development. The potential risk for humans is unknown. Sodium bicarbonate should not be taken during pregnancy unless advised by a doctor to do so .</x:v>
      </x:c>
      <x:c r="J672" s="37" t="str">
        <x:v>https://drug.fda.moph.go.th/media.php?id=810454498920243200&amp;name=SMPC_Sodium Bicarbonate_oral solution.pdf</x:v>
      </x:c>
    </x:row>
    <x:row r="673">
      <x:c r="A673" s="31" t="str">
        <x:v>ketoconazole</x:v>
      </x:c>
      <x:c r="B673" s="31" t="str">
        <x:v>sucralfate</x:v>
      </x:c>
      <x:c r="C673" s="31" t="str">
        <x:v>unclassified</x:v>
      </x:c>
      <x:c r="D673" s="31" t="str">
        <x:v>review</x:v>
      </x:c>
      <x:c r="E673" s="31" t="str">
        <x:v>r0329_smpc</x:v>
      </x:c>
      <x:c r="F673" s="31" t="str">
        <x:v>SMPC</x:v>
      </x:c>
      <x:c r="G673" s="31" t="n">
        <x:v>4</x:v>
      </x:c>
      <x:c r="H673" s="31" t="str">
        <x:v>ketoconazole</x:v>
      </x:c>
      <x:c r="I673" s="37" t="str">
        <x:v>1 Ref:Antepsin, HPRA, 03/2019 4 Concomitant administration of sucralfate may reduce the bioavailability of certain drugs including fluoroquinolones such as ciprofloxacin and norfloxacin, tetracycline, ketoconazole, sulpiride, digoxin, warfarin, phenytoin, theophylline, levothyroxine, qui nidine and H2 antagonists.The bioavailability of these agents may be restored by separating the administration of these agents from sucralfate by two hours.This interaction appears to be non systemic in origin presumably resulting from these agents being b ound by sucralfate in the gastrointestinal tract. Because of the potential of sucralfate to alter the absorpti</x:v>
      </x:c>
      <x:c r="J673" s="37" t="str">
        <x:v>https://drug.fda.moph.go.th/media.php?id=810463510696960000&amp;name=SMPC_Sucralfate_suspension.pdf</x:v>
      </x:c>
    </x:row>
    <x:row r="674">
      <x:c r="A674" s="31" t="str">
        <x:v>ketoconazole</x:v>
      </x:c>
      <x:c r="B674" s="31" t="str">
        <x:v>tramadol</x:v>
      </x:c>
      <x:c r="C674" s="31" t="str">
        <x:v>unclassified</x:v>
      </x:c>
      <x:c r="D674" s="31" t="str">
        <x:v>review</x:v>
      </x:c>
      <x:c r="E674" s="31" t="str">
        <x:v>r0350_smpc</x:v>
      </x:c>
      <x:c r="F674" s="31" t="str">
        <x:v>SMPC</x:v>
      </x:c>
      <x:c r="G674" s="31" t="n">
        <x:v>9</x:v>
      </x:c>
      <x:c r="H674" s="31" t="str">
        <x:v>ketoconazole</x:v>
      </x:c>
      <x:c r="I674" s="37" t="str">
        <x:v>s (SNRIs), MAO inhibitors (see section 4.3), tricyclic antidepressants and mirtazapine may c ause serotonin syndrome, a potentially life -threatening condition (see sections 4.4 and 4.8). Caution should be exercised during concomitant treatment with tramadol and coumarin derivatives (e.g. warfarin) due to reports of increased INR with major bleeding and ecchymoses in some patients. Other active substances known to inhibit CYP3A4, such as ketoconazole and erythromycin, might inhibit the metabolism of tramadol (N-demethylation) probably also the metabolism of the active O-demethylated metabolite. The clinical importance of such an interaction has not been studied (see section 4.8). In a limited number of studies the pre - or postoperative application of the antiemetic 5-HT3 antagonist ondansetron increased the requirement of tramadol in patients with postoperative pain. 4.6. Fertility,</x:v>
      </x:c>
      <x:c r="J674" s="37" t="str">
        <x:v>https://drug.fda.moph.go.th/media.php?id=810483663501402112&amp;name=SMPC_Tramadol_Capsules.pdf</x:v>
      </x:c>
    </x:row>
    <x:row r="675">
      <x:c r="A675" s="31" t="str">
        <x:v>ketoconazole</x:v>
      </x:c>
      <x:c r="B675" s="31" t="str">
        <x:v>tramadol</x:v>
      </x:c>
      <x:c r="C675" s="31" t="str">
        <x:v>unclassified</x:v>
      </x:c>
      <x:c r="D675" s="31" t="str">
        <x:v>review</x:v>
      </x:c>
      <x:c r="E675" s="31" t="str">
        <x:v>r0351_smpc</x:v>
      </x:c>
      <x:c r="F675" s="31" t="str">
        <x:v>SMPC</x:v>
      </x:c>
      <x:c r="G675" s="31" t="n">
        <x:v>10</x:v>
      </x:c>
      <x:c r="H675" s="31" t="str">
        <x:v>ketoconazole</x:v>
      </x:c>
      <x:c r="I675" s="37" t="str">
        <x:v>1 Ref: Tramadol hydrochloride, MHRA, 14/06/2024 3 Caution should be exercised during concomitant treatment with tramadol and coumarin derivatives (e.g. warfarin) due to reports of increased INR with major bleeding and ecchymoses in some patients. Other active substances known to inhibit CYP3A4, such as ketoconazole and erythromycin, might inhibit the metabolism of tramadol (N-demethylation) probably also the metabolism of the active O-demethylated metabolite. The clinical importance of such an interaction has not been studied (see section 4.8). In a limited number of studies the pre - or postoperative application of the antiemetic 5-HT3 antagonist ondansetron increased the requirement of tramadol in patients with postoperative pain. 4.6. Fertility,</x:v>
      </x:c>
      <x:c r="J675" s="37" t="str">
        <x:v>https://drug.fda.moph.go.th/media.php?id=810484035766853632&amp;name=SMPC_Tramadol_solution for injection or infusion.pdf</x:v>
      </x:c>
    </x:row>
    <x:row r="676">
      <x:c r="A676" s="31" t="str">
        <x:v>ketoconazole</x:v>
      </x:c>
      <x:c r="B676" s="31" t="str">
        <x:v>trazodone</x:v>
      </x:c>
      <x:c r="C676" s="31" t="str">
        <x:v>unclassified</x:v>
      </x:c>
      <x:c r="D676" s="31" t="str">
        <x:v>review</x:v>
      </x:c>
      <x:c r="E676" s="31" t="str">
        <x:v>r0352_smpc</x:v>
      </x:c>
      <x:c r="F676" s="31" t="str">
        <x:v>SMPC</x:v>
      </x:c>
      <x:c r="G676" s="31" t="n">
        <x:v>10</x:v>
      </x:c>
      <x:c r="H676" s="31" t="str">
        <x:v>ketoconazole</x:v>
      </x:c>
      <x:c r="I676" s="37" t="str">
        <x:v>duction is recommended in such instances. The metabolism of antidepressants is accelerated due to hepatic effects by oral contraceptives, phenytoin, carbamazepine and barbiturates. The metabolism of antidepressants is inhibited by cimetidine and some other antipsychotics. In vitro drug metabolism studies suggest that there is a potential for drug interactions when &lt;GENERIC NAME&gt; is given with potent CYP3A4 inhibitors such as erythromycin, ketoconazole, itraconazole, ritonavir, indinavir, and nefazodone. It is likely that potent CYP3A4 inhibitors may lead to substantial increases in trazodone plasma concentrations with the potential for adverse effects. Exposure to ritonavir during initiation or resumption of treatment in patients receiving &lt;GENERIC NAME&gt; will increase the po tential for excessive sedation, cardiovascular, and gastrointestinal effects. It has been confirmed in in-vivo-st</x:v>
      </x:c>
      <x:c r="J676" s="37" t="str">
        <x:v>https://drug.fda.moph.go.th/media.php?id=810484413367459840&amp;name=SMPC_Trazodone_Tablets.pdf</x:v>
      </x:c>
    </x:row>
    <x:row r="677">
      <x:c r="A677" s="31" t="str">
        <x:v>ketoconazole</x:v>
      </x:c>
      <x:c r="B677" s="31" t="str">
        <x:v>triamcinolone_acetonide</x:v>
      </x:c>
      <x:c r="C677" s="31" t="str">
        <x:v>unclassified</x:v>
      </x:c>
      <x:c r="D677" s="31" t="str">
        <x:v>review</x:v>
      </x:c>
      <x:c r="E677" s="31" t="str">
        <x:v>r0355_smpc</x:v>
      </x:c>
      <x:c r="F677" s="31" t="str">
        <x:v>SMPC</x:v>
      </x:c>
      <x:c r="G677" s="31" t="n">
        <x:v>10</x:v>
      </x:c>
      <x:c r="H677" s="31" t="str">
        <x:v>ketoconazole</x:v>
      </x:c>
      <x:c r="I677" s="37" t="str">
        <x:v>1 Ref: Kenalog, MHRA, 08/09/2023 10 CYP 3A4 inhibitors: Triamcinolone acetonide is a substrate of CYP3A4. Co -administration with strong CYP3A4 inhibitors (eg, ritonavir, atazanavir, clarithromycin, indinavir, itraconazole, nefazodone, nelfinavir, saquinavir, ketoconazole, telithromycin) with triamcinolone is not recommended because increased systemic corticosteroid adverse effects may occur (see section 4.8). If the potential benefit of co-administration outweighs the increased risk of systemic corticosteroid side-effects, patients should be monitored for these effects. During post marketing use, there have been reports of clinically significant drug interactio ns in patients receiving triamcinolone aceto</x:v>
      </x:c>
      <x:c r="J677" s="37" t="str">
        <x:v>https://drug.fda.moph.go.th/media.php?id=810493020255428608&amp;name=SMPC_Triamcinolone_Suspensions for injections or infusions.pdf</x:v>
      </x:c>
    </x:row>
    <x:row r="678">
      <x:c r="A678" s="31" t="str">
        <x:v>ketoconazole</x:v>
      </x:c>
      <x:c r="B678" s="31" t="str">
        <x:v>triamcinolone_acetonide</x:v>
      </x:c>
      <x:c r="C678" s="31" t="str">
        <x:v>unclassified</x:v>
      </x:c>
      <x:c r="D678" s="31" t="str">
        <x:v>review</x:v>
      </x:c>
      <x:c r="E678" s="31" t="str">
        <x:v>r0356_smpc</x:v>
      </x:c>
      <x:c r="F678" s="31" t="str">
        <x:v>SMPC</x:v>
      </x:c>
      <x:c r="G678" s="31" t="n">
        <x:v>10</x:v>
      </x:c>
      <x:c r="H678" s="31" t="str">
        <x:v>ketoconazole</x:v>
      </x:c>
      <x:c r="I678" s="37" t="str">
        <x:v>1 Ref: Kenalog, MHRA, 08/09/2023 10 CYP 3A4 inhibitors: Triamcinolone acetonide is a substrate of CYP3A4. Co -administration with strong CYP3A4 inhibitors (eg, ritonavir, atazanavir, clarithromycin, indinavir, itraconazole, nefazodone, nelfinavir, saquinavir, ketoconazole, telithromycin) with triamcinolone is not recommended because increased systemic corticosteroid adverse effects may occur (see section 4.8). If the potential benefit of co-administration outweighs the increased risk of systemic corticosteroid side-effects, patients should be monitored for these effects. During post marketing use, there have been reports of clinically significant drug interactio ns in patients receiving triamcinolone aceto</x:v>
      </x:c>
      <x:c r="J678" s="37" t="str">
        <x:v>https://drug.fda.moph.go.th/media.php?id=810493020255428608&amp;name=SMPC_Triamcinolone_Suspensions for injections or infusions.pdf</x:v>
      </x:c>
    </x:row>
    <x:row r="679">
      <x:c r="A679" s="31" t="str">
        <x:v>ketotifen</x:v>
      </x:c>
      <x:c r="B679" s="31" t="str">
        <x:v>metformin</x:v>
      </x:c>
      <x:c r="C679" s="31" t="str">
        <x:v>unclassified</x:v>
      </x:c>
      <x:c r="D679" s="31" t="str">
        <x:v>review</x:v>
      </x:c>
      <x:c r="E679" s="31" t="str">
        <x:v>r0228_smpc</x:v>
      </x:c>
      <x:c r="F679" s="31" t="str">
        <x:v>SMPC</x:v>
      </x:c>
      <x:c r="G679" s="31" t="n">
        <x:v>11</x:v>
      </x:c>
      <x:c r="H679" s="31" t="str">
        <x:v>ketotifen</x:v>
      </x:c>
      <x:c r="I679" s="37" t="str">
        <x:v>1 Ref:Ketotifen, MHRA, 24/12/2020 11 Reporting of suspected adverse reactions Reporting suspected adverse reactions after authorisation of the medicinal product is important. It allows continued monitoring of the benefit/risk balance of the medicinal product. Healthcare professionals are asked to report any suspected adverse reactions via Health Product Vigilance Center; HPVC 4.9. Overdose Hypoglycaemia has not been seen with metformin hydrochloride dos</x:v>
      </x:c>
      <x:c r="J679" s="37" t="str">
        <x:v>https://drug.fda.moph.go.th/media.php?id=810411685197258752&amp;name=SMPC_Metformin_Film-coated Tablet.pdf</x:v>
      </x:c>
    </x:row>
    <x:row r="680">
      <x:c r="A680" s="31" t="str">
        <x:v>lansoprazole</x:v>
      </x:c>
      <x:c r="B680" s="31" t="str">
        <x:v>magnesium_trisilicate</x:v>
      </x:c>
      <x:c r="C680" s="31" t="str">
        <x:v>unclassified</x:v>
      </x:c>
      <x:c r="D680" s="31" t="str">
        <x:v>review</x:v>
      </x:c>
      <x:c r="E680" s="31" t="str">
        <x:v>r0219_smpc</x:v>
      </x:c>
      <x:c r="F680" s="31" t="str">
        <x:v>SMPC</x:v>
      </x:c>
      <x:c r="G680" s="31" t="n">
        <x:v>2</x:v>
      </x:c>
      <x:c r="H680" s="31" t="str">
        <x:v>lansoprazole</x:v>
      </x:c>
      <x:c r="I680" s="37" t="str">
        <x:v>es. Examples of other medications which may be affected include, but are not limited to ACE inhibitors, salicylates e.g. aspirin, atazanavir, azithromycin, barbiturates, bile acids, bisphosphonates, cephalosporin antibiotics, fluoroquinolone antibiotics, chloroquine and hydroxychloroquine, deflazacort, digoxin, dipyridamole, eltrombopag, erlotinib, fexofenadine, gabapentin, iron p reparations, isoniazid, itraconazole, ketoconazole, lansoprazole, levothyroxine, lithium, methenamine, mycophenolate, nitrofurantoin, penicillamine, phenothiazines, phenytoin, proguanil, rifampicin, rosuvastatin, sulpiride, tetracyclines, tipranavir, ulipristal (avoid use with antacids). With quinidine plasma concentrations may be increased.</x:v>
      </x:c>
      <x:c r="J680" s="37" t="str">
        <x:v>https://drug.fda.moph.go.th/media.php?id=810408508334940160&amp;name=SMPC_Magnesium trisilicate_Chewable Tablets.pdf</x:v>
      </x:c>
    </x:row>
    <x:row r="681">
      <x:c r="A681" s="31" t="str">
        <x:v>levothyroxine</x:v>
      </x:c>
      <x:c r="B681" s="31" t="str">
        <x:v>magnesium_trisilicate</x:v>
      </x:c>
      <x:c r="C681" s="31" t="str">
        <x:v>unclassified</x:v>
      </x:c>
      <x:c r="D681" s="31" t="str">
        <x:v>review</x:v>
      </x:c>
      <x:c r="E681" s="31" t="str">
        <x:v>r0219_smpc</x:v>
      </x:c>
      <x:c r="F681" s="31" t="str">
        <x:v>SMPC</x:v>
      </x:c>
      <x:c r="G681" s="31" t="n">
        <x:v>2</x:v>
      </x:c>
      <x:c r="H681" s="31" t="str">
        <x:v>levothyroxine</x:v>
      </x:c>
      <x:c r="I681" s="37" t="str">
        <x:v>f other medications which may be affected include, but are not limited to ACE inhibitors, salicylates e.g. aspirin, atazanavir, azithromycin, barbiturates, bile acids, bisphosphonates, cephalosporin antibiotics, fluoroquinolone antibiotics, chloroquine and hydroxychloroquine, deflazacort, digoxin, dipyridamole, eltrombopag, erlotinib, fexofenadine, gabapentin, iron p reparations, isoniazid, itraconazole, ketoconazole, lansoprazole, levothyroxine, lithium, methenamine, mycophenolate, nitrofurantoin, penicillamine, phenothiazines, phenytoin, proguanil, rifampicin, rosuvastatin, sulpiride, tetracyclines, tipranavir, ulipristal (avoid use with antacids). With quinidine plasma concentrations may be increased.</x:v>
      </x:c>
      <x:c r="J681" s="37" t="str">
        <x:v>https://drug.fda.moph.go.th/media.php?id=810408508334940160&amp;name=SMPC_Magnesium trisilicate_Chewable Tablets.pdf</x:v>
      </x:c>
    </x:row>
    <x:row r="682">
      <x:c r="A682" s="31" t="str">
        <x:v>levothyroxine</x:v>
      </x:c>
      <x:c r="B682" s="31" t="str">
        <x:v>sucralfate</x:v>
      </x:c>
      <x:c r="C682" s="31" t="str">
        <x:v>unclassified</x:v>
      </x:c>
      <x:c r="D682" s="31" t="str">
        <x:v>review</x:v>
      </x:c>
      <x:c r="E682" s="31" t="str">
        <x:v>r0329_smpc</x:v>
      </x:c>
      <x:c r="F682" s="31" t="str">
        <x:v>SMPC</x:v>
      </x:c>
      <x:c r="G682" s="31" t="n">
        <x:v>4</x:v>
      </x:c>
      <x:c r="H682" s="31" t="str">
        <x:v>levothyroxine</x:v>
      </x:c>
      <x:c r="I682" s="37" t="str">
        <x:v>1 Ref:Antepsin, HPRA, 03/2019 4 Concomitant administration of sucralfate may reduce the bioavailability of certain drugs including fluoroquinolones such as ciprofloxacin and norfloxacin, tetracycline, ketoconazole, sulpiride, digoxin, warfarin, phenytoin, theophylline, levothyroxine, qui nidine and H2 antagonists.The bioavailability of these agents may be restored by separating the administration of these agents from sucralfate by two hours.This interaction appears to be non systemic in origin presumably resulting from these agents being b ound by sucralfate in the gastrointestinal tract. Because of the potential of sucralfate to alter the absorption of some drugs from the gastrointestinal tract, the separate adminis</x:v>
      </x:c>
      <x:c r="J682" s="37" t="str">
        <x:v>https://drug.fda.moph.go.th/media.php?id=810463510696960000&amp;name=SMPC_Sucralfate_suspension.pdf</x:v>
      </x:c>
    </x:row>
    <x:row r="683">
      <x:c r="A683" s="31" t="str">
        <x:v>lidocaine</x:v>
      </x:c>
      <x:c r="B683" s="31" t="str">
        <x:v>pimozide</x:v>
      </x:c>
      <x:c r="C683" s="31" t="str">
        <x:v>unclassified</x:v>
      </x:c>
      <x:c r="D683" s="31" t="str">
        <x:v>review</x:v>
      </x:c>
      <x:c r="E683" s="31" t="str">
        <x:v>r0211_smpc</x:v>
      </x:c>
      <x:c r="F683" s="31" t="str">
        <x:v>SMPC</x:v>
      </x:c>
      <x:c r="G683" s="31" t="n">
        <x:v>7</x:v>
      </x:c>
      <x:c r="H683" s="31" t="str">
        <x:v>pimozide</x:v>
      </x:c>
      <x:c r="I683" s="37" t="str">
        <x:v>Lidocaine may be reduced by beta -adrenoceptor blocking agents (e.g. propranolol) and by cimetidine, requiring a reduction in the dosage of lidocaine. Increase in serum levels of lidocaine may also occur with anti -viral agents (e.g. amprena vir, atazanavir, darunavir, lopinavir). There may be an increased risk of ventricular arrhythmia in patients treated concurrently with antipsychotics which prolong or may prolong the QT interval (e.g. pimozide, sertindole, olanzapine, quetiapine, zotepine), or 5HT3antagonists (e.g. tropisetron, dolasetron). While adrenaline (epinephrine) when used in conjunction with lidocaine might decrease vascular absorption, it greatly increases the danger of ventricular tachycardia and fibrillation if accidentally injected intravenously. Cardiovascular collapse has been reported following the use of bupivacaine in patients on treatment with verapamil and t</x:v>
      </x:c>
      <x:c r="J683" s="37" t="str">
        <x:v>https://drug.fda.moph.go.th/media.php?id=810403816229969920&amp;name=SMPC_Lidocaine Hydrochloride_solutions for injections or infusions.pdf</x:v>
      </x:c>
    </x:row>
    <x:row r="684">
      <x:c r="A684" s="31" t="str">
        <x:v>lidocaine</x:v>
      </x:c>
      <x:c r="B684" s="31" t="str">
        <x:v>propofol</x:v>
      </x:c>
      <x:c r="C684" s="31" t="str">
        <x:v>unclassified</x:v>
      </x:c>
      <x:c r="D684" s="31" t="str">
        <x:v>review</x:v>
      </x:c>
      <x:c r="E684" s="31" t="str">
        <x:v>r0436_smpc</x:v>
      </x:c>
      <x:c r="F684" s="31" t="str">
        <x:v>SMPC</x:v>
      </x:c>
      <x:c r="G684" s="31" t="n">
        <x:v>20</x:v>
      </x:c>
      <x:c r="H684" s="31" t="str">
        <x:v>lidocaine</x:v>
      </x:c>
      <x:c r="I684" s="37" t="str">
        <x:v>Local The local pain which may occur during the induction phase of Propofol Injection 1% anaesthesia can be minimised by the co-administration of lidocaine and by the use of the larger veins of the forearm and antecubital fossa. Thrombosis and phlebitis are rare. Accidental clinical extravasation and animal studies showed minimal tissue reaction. Intra-arterial injection in animals did not induce local tissue effects. 4.8 Overdose Accidental overdosage is likely to cause cardiorespiratory depression. Respiratory depression should be treated by artificial ventilation with oxygen. Cardiovascul</x:v>
      </x:c>
      <x:c r="J684" s="37" t="str">
        <x:v>https://drug.fda.moph.go.th/media.php?id=904966130077147136&amp;name=4. Ref SmPC_PROPOFOL.pdf</x:v>
      </x:c>
    </x:row>
    <x:row r="685">
      <x:c r="A685" s="31" t="str">
        <x:v>lidocaine</x:v>
      </x:c>
      <x:c r="B685" s="31" t="str">
        <x:v>ranitidine</x:v>
      </x:c>
      <x:c r="C685" s="31" t="str">
        <x:v>unclassified</x:v>
      </x:c>
      <x:c r="D685" s="31" t="str">
        <x:v>review</x:v>
      </x:c>
      <x:c r="E685" s="31" t="str">
        <x:v>r0301_smpc</x:v>
      </x:c>
      <x:c r="F685" s="31" t="str">
        <x:v>SMPC</x:v>
      </x:c>
      <x:c r="G685" s="31" t="n">
        <x:v>7</x:v>
      </x:c>
      <x:c r="H685" s="31" t="str">
        <x:v>lidocaine</x:v>
      </x:c>
      <x:c r="I685" s="37" t="str">
        <x:v>ption, metabolism or renal excretion of other drugs. The altered pharmacokinetics may necessitate dosage adjustment of the affected drug or discontinuation of treatment . Interactions occur by several mechanisms including: 1) Inhibition of cytochrome P450 -linked mixed function oxygenase system: Ranitidine at usual therapeutic doses does not potentiate the actions of drugs which are inactivated by this enzyme system such as diazepam, lidocaine, phenytoin, propranolol and theophylline.</x:v>
      </x:c>
      <x:c r="J685" s="37" t="str">
        <x:v>https://drug.fda.moph.go.th/media.php?id=810446254327865344&amp;name=SMPC_Ranitidine_Tablet.pdf</x:v>
      </x:c>
    </x:row>
    <x:row r="686">
      <x:c r="A686" s="31" t="str">
        <x:v>lidocaine</x:v>
      </x:c>
      <x:c r="B686" s="31" t="str">
        <x:v>timolol</x:v>
      </x:c>
      <x:c r="C686" s="31" t="str">
        <x:v>unclassified</x:v>
      </x:c>
      <x:c r="D686" s="31" t="str">
        <x:v>review</x:v>
      </x:c>
      <x:c r="E686" s="31" t="str">
        <x:v>r0211_smpc</x:v>
      </x:c>
      <x:c r="F686" s="31" t="str">
        <x:v>SMPC</x:v>
      </x:c>
      <x:c r="G686" s="31" t="n">
        <x:v>7</x:v>
      </x:c>
      <x:c r="H686" s="31" t="str">
        <x:v>timolol</x:v>
      </x:c>
      <x:c r="I686" s="37" t="str">
        <x:v>e, sertindole, olanzapine, quetiapine, zotepine), or 5HT3antagonists (e.g. tropisetron, dolasetron). While adrenaline (epinephrine) when used in conjunction with lidocaine might decrease vascular absorption, it greatly increases the danger of ventricular tachycardia and fibrillation if accidentally injected intravenously. Cardiovascular collapse has been reported following the use of bupivacaine in patients on treatment with verapamil and timolol; Lidocaine is closely related to bupivacaine. Concomitant use of quinupristin/dalfopristin should be avoided. Hypokalaemia produced by acetazolamide, loop diuretics and thiazides may antagonize the effect of lidocaine if administered concomitantly (see section 4.4). Inhibition of CYP1A2 by fluvoxamine considerably reduces elimination of lidocaine and increases the risk of lidocaine toxicity. Concomitant use of both fluvoxamine and a CYP3</x:v>
      </x:c>
      <x:c r="J686" s="37" t="str">
        <x:v>https://drug.fda.moph.go.th/media.php?id=810403816229969920&amp;name=SMPC_Lidocaine Hydrochloride_solutions for injections or infusions.pdf</x:v>
      </x:c>
    </x:row>
    <x:row r="687">
      <x:c r="A687" s="31" t="str">
        <x:v>lidocaine</x:v>
      </x:c>
      <x:c r="B687" s="31" t="str">
        <x:v>verapamil</x:v>
      </x:c>
      <x:c r="C687" s="31" t="str">
        <x:v>unclassified</x:v>
      </x:c>
      <x:c r="D687" s="31" t="str">
        <x:v>review</x:v>
      </x:c>
      <x:c r="E687" s="31" t="str">
        <x:v>r0211_smpc</x:v>
      </x:c>
      <x:c r="F687" s="31" t="str">
        <x:v>SMPC</x:v>
      </x:c>
      <x:c r="G687" s="31" t="n">
        <x:v>7</x:v>
      </x:c>
      <x:c r="H687" s="31" t="str">
        <x:v>verapamil</x:v>
      </x:c>
      <x:c r="I687" s="37" t="str">
        <x:v>(e.g. pimozide, sertindole, olanzapine, quetiapine, zotepine), or 5HT3antagonists (e.g. tropisetron, dolasetron). While adrenaline (epinephrine) when used in conjunction with lidocaine might decrease vascular absorption, it greatly increases the danger of ventricular tachycardia and fibrillation if accidentally injected intravenously. Cardiovascular collapse has been reported following the use of bupivacaine in patients on treatment with verapamil and timolol; Lidocaine is closely related to bupivacaine. Concomitant use of quinupristin/dalfopristin should be avoided. Hypokalaemia produced by acetazolamide, loop diuretics and thiazides may antagonize the effect of lidocaine if administered concomitantly (see section 4.4). Inhibition of CYP1A2 by fluvoxamine considerably reduces elimination of lidocaine and increases the risk of lidocaine toxicity. Concomitant use of both fluvoxamin</x:v>
      </x:c>
      <x:c r="J687" s="37" t="str">
        <x:v>https://drug.fda.moph.go.th/media.php?id=810403816229969920&amp;name=SMPC_Lidocaine Hydrochloride_solutions for injections or infusions.pdf</x:v>
      </x:c>
    </x:row>
    <x:row r="688">
      <x:c r="A688" s="31" t="str">
        <x:v>liquid_paraffin</x:v>
      </x:c>
      <x:c r="B688" s="31" t="str">
        <x:v>magnesium</x:v>
      </x:c>
      <x:c r="C688" s="31" t="str">
        <x:v>unclassified</x:v>
      </x:c>
      <x:c r="D688" s="31" t="str">
        <x:v>review</x:v>
      </x:c>
      <x:c r="E688" s="31" t="str">
        <x:v>r0212_smpc</x:v>
      </x:c>
      <x:c r="F688" s="31" t="str">
        <x:v>SMPC</x:v>
      </x:c>
      <x:c r="G688" s="31" t="n">
        <x:v>2</x:v>
      </x:c>
      <x:c r="H688" s="31" t="str">
        <x:v>magnesium</x:v>
      </x:c>
      <x:c r="I688" s="37" t="str">
        <x:v>1 Ref: Liquid Paraffin and Magnesium Hydroxide, MHRA, 29/12/2023 2 4.4. Special warnings and precautions for use - Avoid prolonged use. - Caution should be exercised in administering this product to the elderly with possible renal impairment. - Keep out of the sight and reach of children. - Store below 25°C - Do not freeze. 4.5. Interaction with other medicinal products and other forms of interaction There may be interference with the absorption of fat soluble vitamins .</x:v>
      </x:c>
      <x:c r="J688" s="37" t="str">
        <x:v>https://drug.fda.moph.go.th/media.php?id=810404231990353920&amp;name=SMPC_Liquid paraffin_Emulsion.pdf</x:v>
      </x:c>
    </x:row>
    <x:row r="689">
      <x:c r="A689" s="31" t="str">
        <x:v>liquid_paraffin</x:v>
      </x:c>
      <x:c r="B689" s="31" t="str">
        <x:v>magnesium_hydroxide</x:v>
      </x:c>
      <x:c r="C689" s="31" t="str">
        <x:v>unclassified</x:v>
      </x:c>
      <x:c r="D689" s="31" t="str">
        <x:v>review</x:v>
      </x:c>
      <x:c r="E689" s="31" t="str">
        <x:v>r0212_smpc</x:v>
      </x:c>
      <x:c r="F689" s="31" t="str">
        <x:v>SMPC</x:v>
      </x:c>
      <x:c r="G689" s="31" t="n">
        <x:v>2</x:v>
      </x:c>
      <x:c r="H689" s="31" t="str">
        <x:v>magnesium hydroxide</x:v>
      </x:c>
      <x:c r="I689" s="37" t="str">
        <x:v>1 Ref: Liquid Paraffin and Magnesium Hydroxide, MHRA, 29/12/2023 2 4.4. Special warnings and precautions for use - Avoid prolonged use. - Caution should be exercised in administering this product to the elderly with possible renal impairment. - Keep out of the sight and reach of children. - Store below 25°C - Do not freeze. 4.5. Interaction with other medicinal products and other forms of interaction There may be interference with the absorption of fat soluble vitamins . 4.6. Fer</x:v>
      </x:c>
      <x:c r="J689" s="37" t="str">
        <x:v>https://drug.fda.moph.go.th/media.php?id=810404231990353920&amp;name=SMPC_Liquid paraffin_Emulsion.pdf</x:v>
      </x:c>
    </x:row>
    <x:row r="690">
      <x:c r="A690" s="31" t="str">
        <x:v>liquid_paraffin</x:v>
      </x:c>
      <x:c r="B690" s="31" t="str">
        <x:v>retinol</x:v>
      </x:c>
      <x:c r="C690" s="31" t="str">
        <x:v>unclassified</x:v>
      </x:c>
      <x:c r="D690" s="31" t="str">
        <x:v>review</x:v>
      </x:c>
      <x:c r="E690" s="31" t="str">
        <x:v>r0303_smpc</x:v>
      </x:c>
      <x:c r="F690" s="31" t="str">
        <x:v>SMPC</x:v>
      </x:c>
      <x:c r="G690" s="31" t="n">
        <x:v>4</x:v>
      </x:c>
      <x:c r="H690" s="31" t="str">
        <x:v>liquid paraffin</x:v>
      </x:c>
      <x:c r="I690" s="37" t="str">
        <x:v>se supervision. Blood level assays are not a direct measure of liver storage. Liver storage should be adequate before discontinuing therapy. Single vitam in A deficiency is rare. Multiple vitamin deficiency is expected in any dietary deficiency . 4.5. Interaction with other medicinal products and other forms of interaction Absorption of vitamin A from the gastrointestinal tract may be reduced by the presence of neomycin, colestyramine, or liquid paraffin. There is an increased risk of hypervitaminosis A if vitamin A is coadministered with synthetic retinoids such as acitretin, isotretinoin and tretinoin. There is conflicting evidence regarding the effect of vitamin A on the response to measles vaccine. 4.6. Fertility, pregnancy and lactation High doses of Vitamin A should not be used in (possible) pregnancy, because of potential teratogenic effects.</x:v>
      </x:c>
      <x:c r="J690" s="37" t="str">
        <x:v>https://drug.fda.moph.go.th/media.php?id=810447473809170432&amp;name=SMPC_Retinol_Capsules.pdf</x:v>
      </x:c>
    </x:row>
    <x:row r="691">
      <x:c r="A691" s="31" t="str">
        <x:v>lisinopril</x:v>
      </x:c>
      <x:c r="B691" s="31" t="str">
        <x:v>lithium</x:v>
      </x:c>
      <x:c r="C691" s="31" t="str">
        <x:v>unclassified</x:v>
      </x:c>
      <x:c r="D691" s="31" t="str">
        <x:v>review</x:v>
      </x:c>
      <x:c r="E691" s="31" t="str">
        <x:v>r0213_smpc</x:v>
      </x:c>
      <x:c r="F691" s="31" t="str">
        <x:v>SMPC</x:v>
      </x:c>
      <x:c r="G691" s="31" t="n">
        <x:v>12</x:v>
      </x:c>
      <x:c r="H691" s="31" t="str">
        <x:v>lithium</x:v>
      </x:c>
      <x:c r="I691" s="37" t="str">
        <x:v>- receptor blockers should be used with caution in patients receiving ACE inhibitors, and serum potassium and renal function should be monitored (see section 4.5). Diabetic patients In diabetic patients treated with oral antidiabetic agents or insulin, glycaemic control should be closely monitored during the first month of treatment with an ACE inhibitor (see 4.5 Interaction with other medicinal products and other forms of interaction). Lithium The combination of lithium and lisinopril is generally not recommended (see section 4.5). Pregnancy ACE inhibitors should not be initiated during pregnancy. Unless continued ACE inhibitor therapy is considered essential, patients planning pregnancy should be changed to alternative anti -hypertensive treatments which have an established safety profile for use in pregnancy. When pregnancy is diagnosed, treatment with ACE inhibitors should</x:v>
      </x:c>
      <x:c r="J691" s="37" t="str">
        <x:v>https://drug.fda.moph.go.th/media.php?id=810405133153345536&amp;name=SMPC_Lisinopril_Tablets.pdf</x:v>
      </x:c>
    </x:row>
    <x:row r="692">
      <x:c r="A692" s="31" t="str">
        <x:v>lisinopril</x:v>
      </x:c>
      <x:c r="B692" s="31" t="str">
        <x:v>lithium</x:v>
      </x:c>
      <x:c r="C692" s="31" t="str">
        <x:v>unclassified</x:v>
      </x:c>
      <x:c r="D692" s="31" t="str">
        <x:v>review</x:v>
      </x:c>
      <x:c r="E692" s="31" t="str">
        <x:v>r0213_smpc</x:v>
      </x:c>
      <x:c r="F692" s="31" t="str">
        <x:v>SMPC</x:v>
      </x:c>
      <x:c r="G692" s="31" t="n">
        <x:v>14</x:v>
      </x:c>
      <x:c r="H692" s="31" t="str">
        <x:v>lithium</x:v>
      </x:c>
      <x:c r="I692" s="37" t="str">
        <x:v>caution and with frequent monitoring of serum potassium. If lisinopril is given with a potassium -losing diuretic, diuretic-induced hypokalaemia may be ameliorated. Ciclosporin Hyperkalaemia may occur during concomitant use of ACE inhibitors with ciclosporin. Monitoring of serum potassium is recommended. Heparin Hyperkalaemia may occur during concomitant use of ACE inhibitors with heparin. Monitoring of serum potassium is recommended. Lithium Reversible increases in serum lithium concentrations and toxicity have been reported during concomitant administration of lithium with ACE inhibitors. Concomitant use of thiazide diuretics may increase the risk of lithium toxicity and enhance the already i ncreased lithium toxicity with ACE inhibitors. Use of lisinopril with lithium is not recommended, but if the combination proves necessary, careful monitoring of serum lithium levels sho</x:v>
      </x:c>
      <x:c r="J692" s="37" t="str">
        <x:v>https://drug.fda.moph.go.th/media.php?id=810405133153345536&amp;name=SMPC_Lisinopril_Tablets.pdf</x:v>
      </x:c>
    </x:row>
    <x:row r="693">
      <x:c r="A693" s="31" t="str">
        <x:v>lithium</x:v>
      </x:c>
      <x:c r="B693" s="31" t="str">
        <x:v>magnesium_trisilicate</x:v>
      </x:c>
      <x:c r="C693" s="31" t="str">
        <x:v>unclassified</x:v>
      </x:c>
      <x:c r="D693" s="31" t="str">
        <x:v>review</x:v>
      </x:c>
      <x:c r="E693" s="31" t="str">
        <x:v>r0219_smpc</x:v>
      </x:c>
      <x:c r="F693" s="31" t="str">
        <x:v>SMPC</x:v>
      </x:c>
      <x:c r="G693" s="31" t="n">
        <x:v>2</x:v>
      </x:c>
      <x:c r="H693" s="31" t="str">
        <x:v>lithium</x:v>
      </x:c>
      <x:c r="I693" s="37" t="str">
        <x:v>ations which may be affected include, but are not limited to ACE inhibitors, salicylates e.g. aspirin, atazanavir, azithromycin, barbiturates, bile acids, bisphosphonates, cephalosporin antibiotics, fluoroquinolone antibiotics, chloroquine and hydroxychloroquine, deflazacort, digoxin, dipyridamole, eltrombopag, erlotinib, fexofenadine, gabapentin, iron p reparations, isoniazid, itraconazole, ketoconazole, lansoprazole, levothyroxine, lithium, methenamine, mycophenolate, nitrofurantoin, penicillamine, phenothiazines, phenytoin, proguanil, rifampicin, rosuvastatin, sulpiride, tetracyclines, tipranavir, ulipristal (avoid use with antacids). With quinidine plasma concentrations may be increased.</x:v>
      </x:c>
      <x:c r="J693" s="37" t="str">
        <x:v>https://drug.fda.moph.go.th/media.php?id=810408508334940160&amp;name=SMPC_Magnesium trisilicate_Chewable Tablets.pdf</x:v>
      </x:c>
    </x:row>
    <x:row r="694">
      <x:c r="A694" s="31" t="str">
        <x:v>lithium</x:v>
      </x:c>
      <x:c r="B694" s="31" t="str">
        <x:v>mannitol</x:v>
      </x:c>
      <x:c r="C694" s="31" t="str">
        <x:v>unclassified</x:v>
      </x:c>
      <x:c r="D694" s="31" t="str">
        <x:v>review</x:v>
      </x:c>
      <x:c r="E694" s="31" t="str">
        <x:v>r0220_smpc</x:v>
      </x:c>
      <x:c r="F694" s="31" t="str">
        <x:v>SMPC</x:v>
      </x:c>
      <x:c r="G694" s="31" t="n">
        <x:v>10</x:v>
      </x:c>
      <x:c r="H694" s="31" t="str">
        <x:v>lithium</x:v>
      </x:c>
      <x:c r="I694" s="37" t="str">
        <x:v>. Interaction with other medicinal products and other forms of interaction Effect Potentialisation Concurrent use of other diuretics may potentiate the effects of mannitol and dose adjustments may be required. Effect Inhibition Mannitol promotes urine flow, which will mainly affect drugs that are renally reabsorbed to a large extent - thereby increasing their clearance and reducing their exposure. Mannitol increases urinary excretion of lithium and therefore concomitant use of mannitol may impair the response to lithium. Nephrotoxicity of drugs due to fluid imbalance related to mannitol Patients receiving concomitant ciclosporin and aminoglycoside should be closely monitored for signs of nephrotoxicity. Neurotoxic agents Concomitant use of neurotoxic agents (e.g. aminoglycoside) and mannitol may potentiate the toxicity of neurotoxic agents. (See also section 4.4). Agents affec</x:v>
      </x:c>
      <x:c r="J694" s="37" t="str">
        <x:v>https://drug.fda.moph.go.th/media.php?id=810409159391584256&amp;name=SMPC_Mannitol_Solution for Infusion.pdf</x:v>
      </x:c>
    </x:row>
    <x:row r="695">
      <x:c r="A695" s="31" t="str">
        <x:v>lithium</x:v>
      </x:c>
      <x:c r="B695" s="31" t="str">
        <x:v>mefenamic_acid</x:v>
      </x:c>
      <x:c r="C695" s="31" t="str">
        <x:v>unclassified</x:v>
      </x:c>
      <x:c r="D695" s="31" t="str">
        <x:v>review</x:v>
      </x:c>
      <x:c r="E695" s="31" t="str">
        <x:v>r0226_smpc</x:v>
      </x:c>
      <x:c r="F695" s="31" t="str">
        <x:v>SMPC</x:v>
      </x:c>
      <x:c r="G695" s="31" t="n">
        <x:v>7</x:v>
      </x:c>
      <x:c r="H695" s="31" t="str">
        <x:v>lithium</x:v>
      </x:c>
      <x:c r="I695" s="37" t="str">
        <x:v>1 Ref: Ponstan, MHRA, 26/05/2023 7 Lithium: A reduction in renal lithium clearance and elevation of plasma lithium levels. Patients should be observed carefully for signs of lithium toxicity. The following interactions have been reported with NSAIDs but have not necessarily been associated with Mefenamic acid Capsules: Other analgesics including cyclooxygenase -2 selective inhibitors : Avoid concomitant use of two or more NSAIDs (including aspirin) as this may increase the risk of</x:v>
      </x:c>
      <x:c r="J695" s="37" t="str">
        <x:v>https://drug.fda.moph.go.th/media.php?id=810410734201741312&amp;name=SMPC_Mefenamic acid_Capsules.pdf</x:v>
      </x:c>
    </x:row>
    <x:row r="696">
      <x:c r="A696" s="31" t="str">
        <x:v>lithium</x:v>
      </x:c>
      <x:c r="B696" s="31" t="str">
        <x:v>metronidazole</x:v>
      </x:c>
      <x:c r="C696" s="31" t="str">
        <x:v>unclassified</x:v>
      </x:c>
      <x:c r="D696" s="31" t="str">
        <x:v>review</x:v>
      </x:c>
      <x:c r="E696" s="31" t="str">
        <x:v>r0239_smpc</x:v>
      </x:c>
      <x:c r="F696" s="31" t="str">
        <x:v>SMPC</x:v>
      </x:c>
      <x:c r="G696" s="31" t="n">
        <x:v>7</x:v>
      </x:c>
      <x:c r="H696" s="31" t="str">
        <x:v>lithium</x:v>
      </x:c>
      <x:c r="I696" s="37" t="str">
        <x:v>effect) reaction. Disulfiram: Psychotic reactions have been reported in patients who were using metronidazole and disulfiram concurrently. Oral anticoagulant therapy (warfarin type) : Some potentiation of anticoagulant therapy has been reported when metronidazole has been used with the warfarin type oral anticoagulants. Dosage of the latter may require reducing. Prothrombin times should be monitored. There is no interaction with heparin. Lithium: Lithium retention accompanied by evidence of possible renal damage has been reported in patients treated simultaneously with lithium and metronidazole. Lithium treatment should be tapered or withdrawn before administering metronidazole. Plasma concentrat ions of lithium, creatinine and electrolytes should be monitored in patients under treatment with lithium while they receive metronidazole. Phenytoin or phenobarbital : Patients receiving</x:v>
      </x:c>
      <x:c r="J696" s="37" t="str">
        <x:v>https://drug.fda.moph.go.th/media.php?id=810416555195244544&amp;name=SMPC_Metronidazole_Tablets.pdf</x:v>
      </x:c>
    </x:row>
    <x:row r="697">
      <x:c r="A697" s="31" t="str">
        <x:v>lithium</x:v>
      </x:c>
      <x:c r="B697" s="31" t="str">
        <x:v>metronidazole</x:v>
      </x:c>
      <x:c r="C697" s="31" t="str">
        <x:v>unclassified</x:v>
      </x:c>
      <x:c r="D697" s="31" t="str">
        <x:v>review</x:v>
      </x:c>
      <x:c r="E697" s="31" t="str">
        <x:v>r0240_smpc</x:v>
      </x:c>
      <x:c r="F697" s="31" t="str">
        <x:v>SMPC</x:v>
      </x:c>
      <x:c r="G697" s="31" t="n">
        <x:v>9</x:v>
      </x:c>
      <x:c r="H697" s="31" t="str">
        <x:v>lithium</x:v>
      </x:c>
      <x:c r="I697" s="37" t="str">
        <x:v>1 Ref: Metronidazole, EMC, 13/12/2023 9 interaction, notably fluoroquinolones, macrolides, cyclines, cotrimoxazole and some cephalosporins. Vecuronium (non depolarising curaremimetic): Metronidazole can potentialise the effects of vecuronium. Combinations to be considered: 5 Fluoro -uracile: increase in the toxicity of 5 fluoro -uracile due to a decrease of its clearance. Lithium: lithium retention accompanied by evidence of possible renal damage has been reported in patients treated simultaneously with lithium and Metronidazole. Lithium treatment should be tapered or withdrawn before administering Metronidazole. Plasma con centrations of lithium, creatinine and electrolytes should be monitored in patients under treatment with lithium while they receive Metronidazole. Cholestyramine may delay or reduce the absorpti</x:v>
      </x:c>
      <x:c r="J697" s="37" t="str">
        <x:v>https://drug.fda.moph.go.th/media.php?id=810416973254107136&amp;name=SMPC_Metronidazole_Solutions for injections or infusions.pdf</x:v>
      </x:c>
    </x:row>
    <x:row r="698">
      <x:c r="A698" s="31" t="str">
        <x:v>lithium</x:v>
      </x:c>
      <x:c r="B698" s="31" t="str">
        <x:v>naproxen</x:v>
      </x:c>
      <x:c r="C698" s="31" t="str">
        <x:v>unclassified</x:v>
      </x:c>
      <x:c r="D698" s="31" t="str">
        <x:v>review</x:v>
      </x:c>
      <x:c r="E698" s="31" t="str">
        <x:v>r0253_smpc</x:v>
      </x:c>
      <x:c r="F698" s="31" t="str">
        <x:v>SMPC</x:v>
      </x:c>
      <x:c r="G698" s="31" t="n">
        <x:v>9</x:v>
      </x:c>
      <x:c r="H698" s="31" t="str">
        <x:v>lithium</x:v>
      </x:c>
      <x:c r="I698" s="37" t="str">
        <x:v>icoagulants or sulfonylureas, but caution is nevertheless advised since interaction has been seen with other non-steroidal agents of this class. • Caution is advised when Naproxen is co -administered with diuretics as there can be a decreased diuretic effect. The natriuretic effect of furosemide has been reported to be inhibited by some drugs of this class. Diuretics can increase the risk of nephrotoxicity of NSAIDs. • Inhibition of renal lithium clearance leading to increases in plasma lithium concentrations has also been reported. • Naproxen and other non-steroidal anti-inflammatory drugs can reduce the anti-hypertensive effect of anti -hypertensives. Concomitant use of NSAIDs with ACE inhibitors or angiotensin II receptor antagonists may increase the risk of renal impairment, especi ally in patients with pre - existing poor renal function (See Section 4.4). • Probenecid given co</x:v>
      </x:c>
      <x:c r="J698" s="37" t="str">
        <x:v>https://drug.fda.moph.go.th/media.php?id=810422587254513664&amp;name=SMPC_Naproxen_Tablets.pdf</x:v>
      </x:c>
    </x:row>
    <x:row r="699">
      <x:c r="A699" s="31" t="str">
        <x:v>lithium</x:v>
      </x:c>
      <x:c r="B699" s="31" t="str">
        <x:v>oxytetracycline</x:v>
      </x:c>
      <x:c r="C699" s="31" t="str">
        <x:v>unclassified</x:v>
      </x:c>
      <x:c r="D699" s="31" t="str">
        <x:v>review</x:v>
      </x:c>
      <x:c r="E699" s="31" t="str">
        <x:v>r0264_smpc</x:v>
      </x:c>
      <x:c r="F699" s="31" t="str">
        <x:v>SMPC</x:v>
      </x:c>
      <x:c r="G699" s="31" t="n">
        <x:v>6</x:v>
      </x:c>
      <x:c r="H699" s="31" t="str">
        <x:v>lithium</x:v>
      </x:c>
      <x:c r="I699" s="37" t="str">
        <x:v>ycline with oral contraceptives and alternate contraceptive advice should be sought where necessary. Oxytetracycline should not be given concurrently with bactericidal drugs such as penicillins as bacteriostatic drugs may interfere with the bactericidal action of penicillin. Oxytetracycline may increase the hypoglycaemic effects of insulin and sulfonylureas in patients with diabetes mellitus. Oxytetracycline may cause an increase in serum lithium levels when taken concomitantly with lithium -containing medications (e.g. anti - depressants/medicines to treat bi -polar disorder). The lithium dosage should either be adjusted or concomitant treatment s topped, as appropriate. 4.6. Fertility, pregnancy and lactation</x:v>
      </x:c>
      <x:c r="J699" s="37" t="str">
        <x:v>https://drug.fda.moph.go.th/media.php?id=810426784758767616&amp;name=SMPC_Oxytetracycline_Capsules.pdf</x:v>
      </x:c>
    </x:row>
    <x:row r="700">
      <x:c r="A700" s="31" t="str">
        <x:v>lithium</x:v>
      </x:c>
      <x:c r="B700" s="31" t="str">
        <x:v>piroxicam</x:v>
      </x:c>
      <x:c r="C700" s="31" t="str">
        <x:v>unclassified</x:v>
      </x:c>
      <x:c r="D700" s="31" t="str">
        <x:v>review</x:v>
      </x:c>
      <x:c r="E700" s="31" t="str">
        <x:v>r0279_smpc</x:v>
      </x:c>
      <x:c r="F700" s="31" t="str">
        <x:v>SMPC</x:v>
      </x:c>
      <x:c r="G700" s="31" t="n">
        <x:v>8</x:v>
      </x:c>
      <x:c r="H700" s="31" t="str">
        <x:v>lithium</x:v>
      </x:c>
      <x:c r="I700" s="37" t="str">
        <x:v>s. Patients should be adequately hydrated and the need to monitor the renal function should be assessed in the beginning of the concomitant treatment and periodically thereafter. Highly protein-bound drugs: Piroxicam is highly protein -bound and therefore might be expected to displace other protein-bound drugs. The physician should closely monitor patients for change when administering Piroxicam to patients on highly protein-bound drugs. Lithium: Non-steroidal anti-inflammatory drugs, including Piroxicam, have been reported to increase steady state plasma lithium levels. It is recommended that these levels are monitored when initiating, adjusting and discontinuing Piroxicam. Piroxicam, like other non -steroidal anti -inflammatory drugs, may interact with the following drugs / classes of therapeutic agents: Antihypertensives -antagonism of the hypotensive effect Quinolone antibiot</x:v>
      </x:c>
      <x:c r="J700" s="37" t="str">
        <x:v>https://drug.fda.moph.go.th/media.php?id=810433390829510656&amp;name=SMPC_Piroxicam_Capsules.pdf</x:v>
      </x:c>
    </x:row>
    <x:row r="701">
      <x:c r="A701" s="31" t="str">
        <x:v>lithium</x:v>
      </x:c>
      <x:c r="B701" s="31" t="str">
        <x:v>sodium_bicarbonate</x:v>
      </x:c>
      <x:c r="C701" s="31" t="str">
        <x:v>unclassified</x:v>
      </x:c>
      <x:c r="D701" s="31" t="str">
        <x:v>review</x:v>
      </x:c>
      <x:c r="E701" s="31" t="str">
        <x:v>r0314_smpc</x:v>
      </x:c>
      <x:c r="F701" s="31" t="str">
        <x:v>SMPC</x:v>
      </x:c>
      <x:c r="G701" s="31" t="n">
        <x:v>3</x:v>
      </x:c>
      <x:c r="H701" s="31" t="str">
        <x:v>lithium</x:v>
      </x:c>
      <x:c r="I701" s="37" t="str">
        <x:v>1 Ref:Sodium Bicarbonate B.P., MHRA, 28/02/2020 3 adrenaline hydrochloride, benzyl penicillin potassium, carmustine, glycopyrronium bromide, isoprenaline hydrochloride, and suxamethonium chloride. Sodium-containing preparations should be avoided by patients on lithium because sodium is preferentially absorbed by the kidney resulting in increased excretion of lithium (reduced plasma concentration). As a precaution for antacids, in order to minimise the risk of interactions affecting pharmacokinetics of concomitantly administered products, drug administrations should be separated by approximately 2 to 3 hours. Sodium bicarbonate reduces the absorption of a number of other drugs taken concomitantly. These</x:v>
      </x:c>
      <x:c r="J701" s="37" t="str">
        <x:v>https://drug.fda.moph.go.th/media.php?id=810453894575562752&amp;name=SMPC_Sodium Bicarbonate_powder.pdf</x:v>
      </x:c>
    </x:row>
    <x:row r="702">
      <x:c r="A702" s="31" t="str">
        <x:v>lithium</x:v>
      </x:c>
      <x:c r="B702" s="31" t="str">
        <x:v>sodium_bicarbonate</x:v>
      </x:c>
      <x:c r="C702" s="31" t="str">
        <x:v>unclassified</x:v>
      </x:c>
      <x:c r="D702" s="31" t="str">
        <x:v>review</x:v>
      </x:c>
      <x:c r="E702" s="31" t="str">
        <x:v>r0316_smpc</x:v>
      </x:c>
      <x:c r="F702" s="31" t="str">
        <x:v>SMPC</x:v>
      </x:c>
      <x:c r="G702" s="31" t="n">
        <x:v>3</x:v>
      </x:c>
      <x:c r="H702" s="31" t="str">
        <x:v>lithium</x:v>
      </x:c>
      <x:c r="I702" s="37" t="str">
        <x:v>all medicines out of the sight and reach of children. Since the efficacy of sodium bicarbonate in children under 18 years of age has not been established sodium bicarbonate 84 mg/ml oral solution is not recommended in children. 4.5. Interaction with other medicinal products and other forms of interaction Avoid in patients on salt restricted diets and in patients taking corticosteroids. Sodium bicarbonate increases the excretion of lithium. The excretion of aspirin and methotrexate is increased and quinidine and ephedrine reduced in alkaline urine. Antacids reduce the absorption of antibacterials (for example tetracyclines and rifampicin), antifungals (e.g. ketoconazole), dipyridamole, phenothiazines, chloroquine, phenytoin and penicillamine. 4.6. Fertility, pregnancy and lactation Pregnancy Animal studies are insufficient with respect to effects on pregnancy,</x:v>
      </x:c>
      <x:c r="J702" s="37" t="str">
        <x:v>https://drug.fda.moph.go.th/media.php?id=810454498920243200&amp;name=SMPC_Sodium Bicarbonate_oral solution.pdf</x:v>
      </x:c>
    </x:row>
    <x:row r="703">
      <x:c r="A703" s="31" t="str">
        <x:v>lithium</x:v>
      </x:c>
      <x:c r="B703" s="31" t="str">
        <x:v>sodium_dihydrogen</x:v>
      </x:c>
      <x:c r="C703" s="31" t="str">
        <x:v>moderate</x:v>
      </x:c>
      <x:c r="D703" s="31" t="str">
        <x:v>eligible</x:v>
      </x:c>
      <x:c r="E703" s="31" t="str">
        <x:v>r0321_smpc</x:v>
      </x:c>
      <x:c r="F703" s="31" t="str">
        <x:v>SMPC</x:v>
      </x:c>
      <x:c r="G703" s="31" t="n">
        <x:v>6</x:v>
      </x:c>
      <x:c r="H703" s="31" t="str">
        <x:v>lithium</x:v>
      </x:c>
      <x:c r="I703" s="37" t="str">
        <x:v>cian who will decide if laboratory tests should be completed in order to detect possible electrolyte abnormalities and to minimize the risk of severe hyperphosphatemia (see sections 4.8 and 4.9). &lt;Regarding the approval&gt; Keep all medicines out of the sight and reach of children. 4.5. Interaction with other medicinal products and other forms of interaction Use with caution in patients taking calcium channel blockers, diuretics, lithium treatment or other medications that might affect electrolyte levels as hyperphosphataemia, hypocalcaemia, hypokalaemia, hypernatraemic dehydration and acidosis may occur (see section 4.4). No other sodium phosphate preparations including sodium phosphate oral solution or tablets should be given concomitantly (see section 4.3). As hypernatraemia is associated with lower lithium levels, concomitant use of sodium phosphate and sodiu</x:v>
      </x:c>
      <x:c r="J703" s="37" t="str">
        <x:v>https://drug.fda.moph.go.th/media.php?id=810461583477186560&amp;name=SMPC_Sodium dihydrogen phosphate_enema.pdf</x:v>
      </x:c>
    </x:row>
    <x:row r="704">
      <x:c r="A704" s="31" t="str">
        <x:v>lithium</x:v>
      </x:c>
      <x:c r="B704" s="31" t="str">
        <x:v>sodium_phosphate</x:v>
      </x:c>
      <x:c r="C704" s="31" t="str">
        <x:v>moderate</x:v>
      </x:c>
      <x:c r="D704" s="31" t="str">
        <x:v>eligible</x:v>
      </x:c>
      <x:c r="E704" s="31" t="str">
        <x:v>r0322_smpc</x:v>
      </x:c>
      <x:c r="F704" s="31" t="str">
        <x:v>SMPC</x:v>
      </x:c>
      <x:c r="G704" s="31" t="n">
        <x:v>6</x:v>
      </x:c>
      <x:c r="H704" s="31" t="str">
        <x:v>lithium</x:v>
      </x:c>
      <x:c r="I704" s="37" t="str">
        <x:v>cian who will decide if laboratory tests should be completed in order to detect possible electrolyte abnormalities and to minimize the risk of severe hyperphosphatemia (see sections 4.8 and 4.9). &lt;Regarding the approval&gt; Keep all medicines out of the sight and reach of children. 4.5. Interaction with other medicinal products and other forms of interaction Use with caution in patients taking calcium channel blockers, diuretics, lithium treatment or other medications that might affect electrolyte levels as hyperphosphataemia, hypocalcaemia, hypokalaemia, hypernatraemic dehydration and acidosis may occur (see section 4.4). No other sodium phosphate preparations including sodium phosphate oral solution or tablets should be given concomitantly (see section 4.3). As hypernatraemia is associated with lower lithium levels, concomitant use of sodium phosphate and sodiu</x:v>
      </x:c>
      <x:c r="J704" s="37" t="str">
        <x:v>https://drug.fda.moph.go.th/media.php?id=810462163935305728&amp;name=SMPC_Sodium phosphate_enema.pdf</x:v>
      </x:c>
    </x:row>
    <x:row r="705">
      <x:c r="A705" s="31" t="str">
        <x:v>lithium</x:v>
      </x:c>
      <x:c r="B705" s="31" t="str">
        <x:v>tenoxicam</x:v>
      </x:c>
      <x:c r="C705" s="31" t="str">
        <x:v>unclassified</x:v>
      </x:c>
      <x:c r="D705" s="31" t="str">
        <x:v>review</x:v>
      </x:c>
      <x:c r="E705" s="31" t="str">
        <x:v>r0333_smpc</x:v>
      </x:c>
      <x:c r="F705" s="31" t="str">
        <x:v>SMPC</x:v>
      </x:c>
      <x:c r="G705" s="31" t="n">
        <x:v>9</x:v>
      </x:c>
      <x:c r="H705" s="31" t="str">
        <x:v>lithium</x:v>
      </x:c>
      <x:c r="I705" s="37" t="str">
        <x:v>co - administered because of the increased risk of nephrotoxicity. Quinolone antibiotics Animal data indicate that NSAIDs can increase the risk of convulsions associated with quinolone antibiotics. Patients taking NSAIDs and quinolones may have an increased risk of developing convulsions. Lithium Non-steroidal anti-inflammatory drugs have been reported to decrease elimination of lithium. If tenoxicam is prescribed for a patient receiving lithium therapy, the frequency of lithium monitoring should be increased, the patient warned to maintain fluid intake and to be aware of symptoms of lithium intoxication. Diuretics Non-steroidal anti -inflammatory drugs may cause sodium, potassium and fluid retention and may interfere with the natriuretic action of diuretic agents, which can increase the risk of nephrotoxicity of NSAIDs. These properties should be kept in mind when treating patie</x:v>
      </x:c>
      <x:c r="J705" s="37" t="str">
        <x:v>https://drug.fda.moph.go.th/media.php?id=810466026549551104&amp;name=SMPC_Tenoxicam_Tablets.pdf</x:v>
      </x:c>
    </x:row>
    <x:row r="706">
      <x:c r="A706" s="31" t="str">
        <x:v>lithium</x:v>
      </x:c>
      <x:c r="B706" s="31" t="str">
        <x:v>tetracycline</x:v>
      </x:c>
      <x:c r="C706" s="31" t="str">
        <x:v>unclassified</x:v>
      </x:c>
      <x:c r="D706" s="31" t="str">
        <x:v>review</x:v>
      </x:c>
      <x:c r="E706" s="31" t="str">
        <x:v>r0338_smpc</x:v>
      </x:c>
      <x:c r="F706" s="31" t="str">
        <x:v>SMPC</x:v>
      </x:c>
      <x:c r="G706" s="31" t="n">
        <x:v>7</x:v>
      </x:c>
      <x:c r="H706" s="31" t="str">
        <x:v>lithium</x:v>
      </x:c>
      <x:c r="I706" s="37" t="str">
        <x:v>eased blood urea nitrogen and serum creatinine) and death in some cases when tetracycline therapy has been combined with methoxyflurane. Tetracycline may increase the hypoglycaemic effects of insulin and sulphonylureas in patients with diabetes mellitus. The absorption of tetracycline may be reduced by the concomitant administration of sucralfate. Separating administration should be considered. Tetracycline may cause an increase in serum lithium levels. Tetracycline may cause an increase in serum digoxin levels. Tetracycline may cause an increase the risk of methotrexate toxicity. Regular monitoring of toxicity is necessary when taken concurrently. Absorption of tetracycline is impaired by strontium ranelate (manufacturer of strontium ranelate advises avoid concomitant use). Absorption of tetracycline is possibly reduced by colestipol and colestyramine. Increased risk of ergotis</x:v>
      </x:c>
      <x:c r="J706" s="37" t="str">
        <x:v>https://drug.fda.moph.go.th/media.php?id=810476861875429376&amp;name=SMPC_Tetracycline_Tablets.pdf</x:v>
      </x:c>
    </x:row>
    <x:row r="707">
      <x:c r="A707" s="31" t="str">
        <x:v>magnesium</x:v>
      </x:c>
      <x:c r="B707" s="31" t="str">
        <x:v>magnesium_hydroxide</x:v>
      </x:c>
      <x:c r="C707" s="31" t="str">
        <x:v>unclassified</x:v>
      </x:c>
      <x:c r="D707" s="31" t="str">
        <x:v>review</x:v>
      </x:c>
      <x:c r="E707" s="31" t="str">
        <x:v>r0216_smpc</x:v>
      </x:c>
      <x:c r="F707" s="31" t="str">
        <x:v>SMPC</x:v>
      </x:c>
      <x:c r="G707" s="31" t="n">
        <x:v>2</x:v>
      </x:c>
      <x:c r="H707" s="31" t="str">
        <x:v>magnesium</x:v>
      </x:c>
      <x:c r="I707" s="37" t="str">
        <x:v>1 Ref: Magnesium Hydroxide Mixture 8%w/w, MHRA, 29/12/2023 2 4.3. Contraindications Should not be used where there are known or suspected acute gastro - intestinal conditions, or renal or hepatic impairment. 4.4. Special warnings and precautions for use Label warnings: - Store below 25°C. - Do not freeze. - Shake well before use. - Keep out of the sight and reach of children. - Chronic use may result in hypermagnesia. 4.5. Interaction with other med</x:v>
      </x:c>
      <x:c r="J707" s="37" t="str">
        <x:v>https://drug.fda.moph.go.th/media.php?id=810406985441878016&amp;name=SMPC_Magnesium hydroxide_Oral suspension.pdf</x:v>
      </x:c>
    </x:row>
    <x:row r="708">
      <x:c r="A708" s="31" t="str">
        <x:v>magnesium</x:v>
      </x:c>
      <x:c r="B708" s="31" t="str">
        <x:v>magnesium_trisilicate</x:v>
      </x:c>
      <x:c r="C708" s="31" t="str">
        <x:v>unclassified</x:v>
      </x:c>
      <x:c r="D708" s="31" t="str">
        <x:v>review</x:v>
      </x:c>
      <x:c r="E708" s="31" t="str">
        <x:v>r0219_smpc</x:v>
      </x:c>
      <x:c r="F708" s="31" t="str">
        <x:v>SMPC</x:v>
      </x:c>
      <x:c r="G708" s="31" t="n">
        <x:v>2</x:v>
      </x:c>
      <x:c r="H708" s="31" t="str">
        <x:v>magnesium</x:v>
      </x:c>
      <x:c r="I708" s="37" t="str">
        <x:v>1 Ref: Magnesium Trisilicate Compound, MHRA, 29/03/2023 2 Not recommended for use in children. Method of administration Oral 4.3. Contraindications Hypersensitivity to the active substances or to any of the excipients listed in section 6.1. Acute porphyria or hypophosphataemia. 4.4. Special warnings and precautions for use Use with caution in cases of renal impairment. Frequent or regular use should only be on the advice of a physician.</x:v>
      </x:c>
      <x:c r="J708" s="37" t="str">
        <x:v>https://drug.fda.moph.go.th/media.php?id=810408508334940160&amp;name=SMPC_Magnesium trisilicate_Chewable Tablets.pdf</x:v>
      </x:c>
    </x:row>
    <x:row r="709">
      <x:c r="A709" s="31" t="str">
        <x:v>magnesium</x:v>
      </x:c>
      <x:c r="B709" s="31" t="str">
        <x:v>ofloxacin</x:v>
      </x:c>
      <x:c r="C709" s="31" t="str">
        <x:v>moderate</x:v>
      </x:c>
      <x:c r="D709" s="31" t="str">
        <x:v>eligible</x:v>
      </x:c>
      <x:c r="E709" s="31" t="str">
        <x:v>r0260_smpc</x:v>
      </x:c>
      <x:c r="F709" s="31" t="str">
        <x:v>SMPC</x:v>
      </x:c>
      <x:c r="G709" s="31" t="n">
        <x:v>19</x:v>
      </x:c>
      <x:c r="H709" s="31" t="str">
        <x:v>magnesium</x:v>
      </x:c>
      <x:c r="I709" s="37" t="str">
        <x:v>rs If vision becomes impaired or any effects on the eyes are experienced, an ophthalmologist should be consulted immediately. Excipient with known effect &lt;REGARDING THE APPROV AL&gt; 4.5. Interaction with other medicinal products and other forms of interaction Antacids, Sucralfate, Metal Cations As with other antibiotics, ofloxacin resorption may decrease if taken concomitantly with antacids containing aluminium (including sucralfate) and magnesium hydroxides, aluminium phosphate, zinc, iron and didanosine chewable/buffered tablets. Therefore, ofloxacin should be taken 2 hours before such preparations.</x:v>
      </x:c>
      <x:c r="J709" s="37" t="str">
        <x:v>https://drug.fda.moph.go.th/media.php?id=810425338315284480&amp;name=SMPC_Ofloxacin_Film-coated Tablet.pdf</x:v>
      </x:c>
    </x:row>
    <x:row r="710">
      <x:c r="A710" s="31" t="str">
        <x:v>magnesium</x:v>
      </x:c>
      <x:c r="B710" s="31" t="str">
        <x:v>ofloxacin</x:v>
      </x:c>
      <x:c r="C710" s="31" t="str">
        <x:v>moderate</x:v>
      </x:c>
      <x:c r="D710" s="31" t="str">
        <x:v>eligible</x:v>
      </x:c>
      <x:c r="E710" s="31" t="str">
        <x:v>r0261_smpc</x:v>
      </x:c>
      <x:c r="F710" s="31" t="str">
        <x:v>SMPC</x:v>
      </x:c>
      <x:c r="G710" s="31" t="n">
        <x:v>14</x:v>
      </x:c>
      <x:c r="H710" s="31" t="str">
        <x:v>magnesium</x:v>
      </x:c>
      <x:c r="I710" s="37" t="str">
        <x:v>OVAL&gt; 4.5. Interaction with other medicinal products and other forms of interaction Drugs known to prolong QT interval Ofloxacin, like other fluoroquinolones, should be used with caution in patients receiving drugs known to prolong the QT interval (e.g. Class IA and III anti -arrhythmics, tricyclic antidepressants, macrolides, antipsychotics) (See section 4.4 QT interval prolongation). Antacids, Sucralfate, Metal Cations Co-administered magnesium/aluminium antacids, sucralfate, zinc or iron preparations and didanosine chewable/buffered tablets can reduce absorption of ofloxacin. Therefore, ofloxacin should be taken 2 hours before such preparations. Prolongation of bleeding time has been reported during concomitant administration of Ofloxacin and anticoagulants. Theophylline, fenbufen or similar non -steroidal anti-inflammatory drugs No pharmacokinetic interactions of ofloxacin we</x:v>
      </x:c>
      <x:c r="J710" s="37" t="str">
        <x:v>https://drug.fda.moph.go.th/media.php?id=810425581312286720&amp;name=SMPC_Ofloxacin_Tablet.pdf</x:v>
      </x:c>
    </x:row>
    <x:row r="711">
      <x:c r="A711" s="31" t="str">
        <x:v>magnesium</x:v>
      </x:c>
      <x:c r="B711" s="31" t="str">
        <x:v>omeprazole</x:v>
      </x:c>
      <x:c r="C711" s="31" t="str">
        <x:v>unclassified</x:v>
      </x:c>
      <x:c r="D711" s="31" t="str">
        <x:v>review</x:v>
      </x:c>
      <x:c r="E711" s="31" t="str">
        <x:v>r0262_smpc</x:v>
      </x:c>
      <x:c r="F711" s="31" t="str">
        <x:v>SMPC</x:v>
      </x:c>
      <x:c r="G711" s="31" t="n">
        <x:v>8</x:v>
      </x:c>
      <x:c r="H711" s="31" t="str">
        <x:v>magnesium</x:v>
      </x:c>
      <x:c r="I711" s="37" t="str">
        <x:v>grel should be discouraged. Severe hypomagnesaemia has been reported in patients treated with proton pump inhibitors (PPIs) like omeprazole for at least three months, and in most cases for a year. Serious manifestations of hypomagnesaemia such as fatigue, tetany, delirium, convulsion s, dizziness and ventricular arrhythmia can occur but they may begin insidiously and be overlooked. In most affected patients, hypomagnesaemia improved after magnesium replacement and discontinuation of the PPI. For patients expected to be on prolonged treatment or who take PPIs with digoxin or drugs that may cause hypomagnesaemia (e.g. diuretics), healthcare professionals should consider measuring magnesium levels before starting PPI treatment and periodically during treatment. Severe cutaneous adverse reactions (SCARs) including Stevens - Johnson syndrome (SJS), toxic epidermal necrolysis (TEN), drug</x:v>
      </x:c>
      <x:c r="J711" s="37" t="str">
        <x:v>https://drug.fda.moph.go.th/media.php?id=810426319253938176&amp;name=SMPC_Omeprazole_Hard Gastro-resistant Capsule.pdf</x:v>
      </x:c>
    </x:row>
    <x:row r="712">
      <x:c r="A712" s="31" t="str">
        <x:v>magnesium</x:v>
      </x:c>
      <x:c r="B712" s="31" t="str">
        <x:v>omeprazole</x:v>
      </x:c>
      <x:c r="C712" s="31" t="str">
        <x:v>unclassified</x:v>
      </x:c>
      <x:c r="D712" s="31" t="str">
        <x:v>review</x:v>
      </x:c>
      <x:c r="E712" s="31" t="str">
        <x:v>r0262_smpc</x:v>
      </x:c>
      <x:c r="F712" s="31" t="str">
        <x:v>SMPC</x:v>
      </x:c>
      <x:c r="G712" s="31" t="n">
        <x:v>20</x:v>
      </x:c>
      <x:c r="H712" s="31" t="str">
        <x:v>magnesium</x:v>
      </x:c>
      <x:c r="I712" s="37" t="str">
        <x:v>1 Ref:Losec 20 mg, MHRA, 10/04/2024 20 Omeprazole and omeprazole magnesium are acid labile and are therefore administered orally as enteric -coated granules in capsules or tablets. Absorption of omeprazole is rapid, with peak plasma levels occurring approximately 1-2 hours after dose. Absorption of omeprazole takes place in the small intestine and is usually completed within 3 -6 hours. Concomitant intake of food has no influence on the bioavailability. The systemic availability (bioavailability) from a single o</x:v>
      </x:c>
      <x:c r="J712" s="37" t="str">
        <x:v>https://drug.fda.moph.go.th/media.php?id=810426319253938176&amp;name=SMPC_Omeprazole_Hard Gastro-resistant Capsule.pdf</x:v>
      </x:c>
    </x:row>
    <x:row r="713">
      <x:c r="A713" s="31" t="str">
        <x:v>magnesium_hydroxide</x:v>
      </x:c>
      <x:c r="B713" s="31" t="str">
        <x:v>norfloxacin</x:v>
      </x:c>
      <x:c r="C713" s="31" t="str">
        <x:v>unclassified</x:v>
      </x:c>
      <x:c r="D713" s="31" t="str">
        <x:v>review</x:v>
      </x:c>
      <x:c r="E713" s="31" t="str">
        <x:v>r0216_smpc</x:v>
      </x:c>
      <x:c r="F713" s="31" t="str">
        <x:v>SMPC</x:v>
      </x:c>
      <x:c r="G713" s="31" t="n">
        <x:v>2</x:v>
      </x:c>
      <x:c r="H713" s="31" t="str">
        <x:v>norfloxacin</x:v>
      </x:c>
      <x:c r="I713" s="37" t="str">
        <x:v>ic impairment. 4.4. Special warnings and precautions for use Label warnings: - Store below 25°C. - Do not freeze. - Shake well before use. - Keep out of the sight and reach of children. - Chronic use may result in hypermagnesia. 4.5. Interaction with other medicinal products and other forms of interaction The antacid properties of this preparation can lead to reduced absorption of diflusinal, azithromycin, ciprofloxacin, isoniazid, norfloxacin, ofloxacin, pivampicillin, rifampicin and most tetracyclines. Also reduces absorption of phenytoin, itraconazole, ketoconazole, fosinopril, chloroquine, hydroxychloroquine, phenothiazines, biphosphonates and penicillamine. The use of this product is not advised during dipyridamole therapy. The excretion of aspirin is increased and quinidine is decreased in alkaline urine which may occur with use of this product. 4.6. Fertility, preg</x:v>
      </x:c>
      <x:c r="J713" s="37" t="str">
        <x:v>https://drug.fda.moph.go.th/media.php?id=810406985441878016&amp;name=SMPC_Magnesium hydroxide_Oral suspension.pdf</x:v>
      </x:c>
    </x:row>
    <x:row r="714">
      <x:c r="A714" s="31" t="str">
        <x:v>magnesium_hydroxide</x:v>
      </x:c>
      <x:c r="B714" s="31" t="str">
        <x:v>ofloxacin</x:v>
      </x:c>
      <x:c r="C714" s="31" t="str">
        <x:v>unclassified</x:v>
      </x:c>
      <x:c r="D714" s="31" t="str">
        <x:v>review</x:v>
      </x:c>
      <x:c r="E714" s="31" t="str">
        <x:v>r0216_smpc</x:v>
      </x:c>
      <x:c r="F714" s="31" t="str">
        <x:v>SMPC</x:v>
      </x:c>
      <x:c r="G714" s="31" t="n">
        <x:v>2</x:v>
      </x:c>
      <x:c r="H714" s="31" t="str">
        <x:v>ofloxacin</x:v>
      </x:c>
      <x:c r="I714" s="37" t="str">
        <x:v>4.4. Special warnings and precautions for use Label warnings: - Store below 25°C. - Do not freeze. - Shake well before use. - Keep out of the sight and reach of children. - Chronic use may result in hypermagnesia. 4.5. Interaction with other medicinal products and other forms of interaction The antacid properties of this preparation can lead to reduced absorption of diflusinal, azithromycin, ciprofloxacin, isoniazid, norfloxacin, ofloxacin, pivampicillin, rifampicin and most tetracyclines. Also reduces absorption of phenytoin, itraconazole, ketoconazole, fosinopril, chloroquine, hydroxychloroquine, phenothiazines, biphosphonates and penicillamine. The use of this product is not advised during dipyridamole therapy. The excretion of aspirin is increased and quinidine is decreased in alkaline urine which may occur with use of this product. 4.6. Fertility, pregnancy and lac</x:v>
      </x:c>
      <x:c r="J714" s="37" t="str">
        <x:v>https://drug.fda.moph.go.th/media.php?id=810406985441878016&amp;name=SMPC_Magnesium hydroxide_Oral suspension.pdf</x:v>
      </x:c>
    </x:row>
    <x:row r="715">
      <x:c r="A715" s="31" t="str">
        <x:v>magnesium_hydroxide</x:v>
      </x:c>
      <x:c r="B715" s="31" t="str">
        <x:v>rifampicin</x:v>
      </x:c>
      <x:c r="C715" s="31" t="str">
        <x:v>unclassified</x:v>
      </x:c>
      <x:c r="D715" s="31" t="str">
        <x:v>review</x:v>
      </x:c>
      <x:c r="E715" s="31" t="str">
        <x:v>r0216_smpc</x:v>
      </x:c>
      <x:c r="F715" s="31" t="str">
        <x:v>SMPC</x:v>
      </x:c>
      <x:c r="G715" s="31" t="n">
        <x:v>2</x:v>
      </x:c>
      <x:c r="H715" s="31" t="str">
        <x:v>rifampicin</x:v>
      </x:c>
      <x:c r="I715" s="37" t="str">
        <x:v>precautions for use Label warnings: - Store below 25°C. - Do not freeze. - Shake well before use. - Keep out of the sight and reach of children. - Chronic use may result in hypermagnesia. 4.5. Interaction with other medicinal products and other forms of interaction The antacid properties of this preparation can lead to reduced absorption of diflusinal, azithromycin, ciprofloxacin, isoniazid, norfloxacin, ofloxacin, pivampicillin, rifampicin and most tetracyclines. Also reduces absorption of phenytoin, itraconazole, ketoconazole, fosinopril, chloroquine, hydroxychloroquine, phenothiazines, biphosphonates and penicillamine. The use of this product is not advised during dipyridamole therapy. The excretion of aspirin is increased and quinidine is decreased in alkaline urine which may occur with use of this product. 4.6. Fertility, pregnancy and lactation There is not or in</x:v>
      </x:c>
      <x:c r="J715" s="37" t="str">
        <x:v>https://drug.fda.moph.go.th/media.php?id=810406985441878016&amp;name=SMPC_Magnesium hydroxide_Oral suspension.pdf</x:v>
      </x:c>
    </x:row>
    <x:row r="716">
      <x:c r="A716" s="31" t="str">
        <x:v>magnesium_trisilicate</x:v>
      </x:c>
      <x:c r="B716" s="31" t="str">
        <x:v>rifampicin</x:v>
      </x:c>
      <x:c r="C716" s="31" t="str">
        <x:v>moderate</x:v>
      </x:c>
      <x:c r="D716" s="31" t="str">
        <x:v>eligible</x:v>
      </x:c>
      <x:c r="E716" s="31" t="str">
        <x:v>r0218_smpc</x:v>
      </x:c>
      <x:c r="F716" s="31" t="str">
        <x:v>SMPC</x:v>
      </x:c>
      <x:c r="G716" s="31" t="n">
        <x:v>2</x:v>
      </x:c>
      <x:c r="H716" s="31" t="str">
        <x:v>rifampicin</x:v>
      </x:c>
      <x:c r="I716" s="37" t="str">
        <x:v>oms persist for longer than 7 days, consult your doctor. Patients with rare hereditary problems of fructose or galactose intolerance, the LAPP lactase deficiency, glucose-galactose malabsorption or sucrase-isomaltase insufficiency should not take this medicine. 4.5. Interaction with other medicinal products and other forms of interaction Concurrent administration of antacids reduces the absorption of ciprofloxacin, pivampicillin, rifampicin, most tetracyclines, itraconazole, ketoconazole, chloroquine, hydroxychloroquine, phenothiazines, phenytoin, oral iron, penicillamine and diflunisal. Concurrent use of antacids reduces the effectiveness of the ulcer healing drug sucralfate.</x:v>
      </x:c>
      <x:c r="J716" s="37" t="str">
        <x:v>https://drug.fda.moph.go.th/media.php?id=810407998043332608&amp;name=SMPC_Magnesium trisilicate_Tablets.pdf</x:v>
      </x:c>
    </x:row>
    <x:row r="717">
      <x:c r="A717" s="31" t="str">
        <x:v>magnesium_trisilicate</x:v>
      </x:c>
      <x:c r="B717" s="31" t="str">
        <x:v>sucralfate</x:v>
      </x:c>
      <x:c r="C717" s="31" t="str">
        <x:v>unclassified</x:v>
      </x:c>
      <x:c r="D717" s="31" t="str">
        <x:v>review</x:v>
      </x:c>
      <x:c r="E717" s="31" t="str">
        <x:v>r0218_smpc</x:v>
      </x:c>
      <x:c r="F717" s="31" t="str">
        <x:v>SMPC</x:v>
      </x:c>
      <x:c r="G717" s="31" t="n">
        <x:v>2</x:v>
      </x:c>
      <x:c r="H717" s="31" t="str">
        <x:v>sucralfate</x:v>
      </x:c>
      <x:c r="I717" s="37" t="str">
        <x:v>take this medicine. 4.5. Interaction with other medicinal products and other forms of interaction Concurrent administration of antacids reduces the absorption of ciprofloxacin, pivampicillin, rifampicin, most tetracyclines, itraconazole, ketoconazole, chloroquine, hydroxychloroquine, phenothiazines, phenytoin, oral iron, penicillamine and diflunisal. Concurrent use of antacids reduces the effectiveness of the ulcer healing drug sucralfate.</x:v>
      </x:c>
      <x:c r="J717" s="37" t="str">
        <x:v>https://drug.fda.moph.go.th/media.php?id=810407998043332608&amp;name=SMPC_Magnesium trisilicate_Tablets.pdf</x:v>
      </x:c>
    </x:row>
    <x:row r="718">
      <x:c r="A718" s="31" t="str">
        <x:v>mannitol</x:v>
      </x:c>
      <x:c r="B718" s="31" t="str">
        <x:v>quinine</x:v>
      </x:c>
      <x:c r="C718" s="31" t="str">
        <x:v>unclassified</x:v>
      </x:c>
      <x:c r="D718" s="31" t="str">
        <x:v>review</x:v>
      </x:c>
      <x:c r="E718" s="31" t="str">
        <x:v>r0300_smpc</x:v>
      </x:c>
      <x:c r="F718" s="31" t="str">
        <x:v>SMPC</x:v>
      </x:c>
      <x:c r="G718" s="31" t="n">
        <x:v>10</x:v>
      </x:c>
      <x:c r="H718" s="31" t="str">
        <x:v>mannitol</x:v>
      </x:c>
      <x:c r="I718" s="37" t="str">
        <x:v>1 Ref: Quinine Dihydrochloride 6%, PHEBRA, 11/02/2021 10 bromide, rapacuronium bromide, alcuronium chloride, cisatracuronium besylate, doxacurium chloride, gallamine triethiodide, metocurine iodide, decamethonium bromide or diiodide, rocuronium bromide, vercuronium chloride and tubocurarine chloride, diuretics e specially frusemide, mannitol, heparin, intravenous ketamine. Also see Section 4.5 Interactions with Other Medicines and Other Forms of Interactions and Section 4.4 Special Warnings and Precautions for Use. &lt;REGARDING THE APPROVAL&gt; 6.3. Shelf life &lt;REGARDING THE APPROVAL&gt; 6.4. Special precautions for storage &lt;REGARDING THE APPROVAL&gt; 6.5. Nature and contents of container &lt;REGARDING THE APPROVAL&gt; 6.6. Special precautions for disposal &lt;REGARDING THE APPROVAL&gt; 7. MA</x:v>
      </x:c>
      <x:c r="J718" s="37" t="str">
        <x:v>https://drug.fda.moph.go.th/media.php?id=810445665753767936&amp;name=SMPC_Quinine dihydrochloride_solutions for injections or infusions.pdf</x:v>
      </x:c>
    </x:row>
    <x:row r="719">
      <x:c r="A719" s="31" t="str">
        <x:v>mebendazole</x:v>
      </x:c>
      <x:c r="B719" s="31" t="str">
        <x:v>metronidazole</x:v>
      </x:c>
      <x:c r="C719" s="31" t="str">
        <x:v>unclassified</x:v>
      </x:c>
      <x:c r="D719" s="31" t="str">
        <x:v>review</x:v>
      </x:c>
      <x:c r="E719" s="31" t="str">
        <x:v>r0221_smpc</x:v>
      </x:c>
      <x:c r="F719" s="31" t="str">
        <x:v>SMPC</x:v>
      </x:c>
      <x:c r="G719" s="31" t="n">
        <x:v>3</x:v>
      </x:c>
      <x:c r="H719" s="31" t="str">
        <x:v>metronidazole</x:v>
      </x:c>
      <x:c r="I719" s="37" t="str">
        <x:v>1 Ref: Vermox oral suspension, MHRA, 24/05/2024 3 section 4.8 ‘Undesirable effects’). Agranulocytosis and glomerulonephritis have also been reported in patients treated for Echinococcosis. A case-control study of a single outbreak of Stevens-Johnson syndrome /toxic epidermal necrolysis (SJS/TEN) suggested a possible association with the concomitant use of metronidazole with mebendazole. Although there are no additional data on this potential interaction, concomitant use of mebendazole and metronidazole should be avoided. Convulsions in children, including in infants below 1 year of age, have been reported very rarely during post-marketing experience (see section 4.8 ‘Undesirable effects’). Mebendazole has not been extensively studied in children below the age of 2 years. Therefore, Mebendazole should be</x:v>
      </x:c>
      <x:c r="J719" s="37" t="str">
        <x:v>https://drug.fda.moph.go.th/media.php?id=810409612485468160&amp;name=SMPC_Mebendazole_oral suspension.pdf</x:v>
      </x:c>
    </x:row>
    <x:row r="720">
      <x:c r="A720" s="31" t="str">
        <x:v>mefenamic_acid</x:v>
      </x:c>
      <x:c r="B720" s="31" t="str">
        <x:v>methotrexate</x:v>
      </x:c>
      <x:c r="C720" s="31" t="str">
        <x:v>unclassified</x:v>
      </x:c>
      <x:c r="D720" s="31" t="str">
        <x:v>review</x:v>
      </x:c>
      <x:c r="E720" s="31" t="str">
        <x:v>r0226_smpc</x:v>
      </x:c>
      <x:c r="F720" s="31" t="str">
        <x:v>SMPC</x:v>
      </x:c>
      <x:c r="G720" s="31" t="n">
        <x:v>8</x:v>
      </x:c>
      <x:c r="H720" s="31" t="str">
        <x:v>methotrexate</x:v>
      </x:c>
      <x:c r="I720" s="37" t="str">
        <x:v>1 Ref: Ponstan, MHRA, 26/05/2023 8 Ciclosporin: The risk of nephrotoxicity of ciclosporin may be increased with NSAIDs. Corticosteroids: Concomitant use may increase the risk of gastrointestinal ulceration or bleeding (see section 4.4). Oral hypoglycaemic agents: Inhibition of metabolism of sulfonylurea drugs, prolonged half-life and increased risk of hypoglycaemia. Methotrexate: Elimination of the drug can be reduced, resulting in increased plasma levels. Mifepristone: NSAIDs should not be taken for 8 -12 days after mifepristone administration, NSAIDs can reduce the effects of mifepristone. Probenecid: Reduction in metabolism and elimination of NSAIDs and metabolites. Quinolone antibiotics: Animal data indicates that NSAIDs can increase the risk of convulsions associated with quinolone antibiotics. Patients ta</x:v>
      </x:c>
      <x:c r="J720" s="37" t="str">
        <x:v>https://drug.fda.moph.go.th/media.php?id=810410734201741312&amp;name=SMPC_Mefenamic acid_Capsules.pdf</x:v>
      </x:c>
    </x:row>
    <x:row r="721">
      <x:c r="A721" s="31" t="str">
        <x:v>metformin</x:v>
      </x:c>
      <x:c r="B721" s="31" t="str">
        <x:v>rifampicin</x:v>
      </x:c>
      <x:c r="C721" s="31" t="str">
        <x:v>unclassified</x:v>
      </x:c>
      <x:c r="D721" s="31" t="str">
        <x:v>review</x:v>
      </x:c>
      <x:c r="E721" s="31" t="str">
        <x:v>r0228_smpc</x:v>
      </x:c>
      <x:c r="F721" s="31" t="str">
        <x:v>SMPC</x:v>
      </x:c>
      <x:c r="G721" s="31" t="n">
        <x:v>7</x:v>
      </x:c>
      <x:c r="H721" s="31" t="str">
        <x:v>rifampicin</x:v>
      </x:c>
      <x:c r="I721" s="37" t="str">
        <x:v>ood glucose monitoring may be required, especially at the beginning of treatment. If necessary, adjust the metformin dosage during therapy with the respective medicinal product and upon its discontinuation. Organic cation transporters (OCT) Metformin is a substrate of both transporters OCT1 and OCT2. Co-administration of metformin with • Inhibitors of OCT1 (such as verapamil) may reduce efficacy of metformin. • Inducers of OCT1 (such as rifampicin) may increase gastrointestinal absorption and efficacy of metformin. • Inhibitors of OCT2 (such as cimetidine, dolutegravir, ranolazine, trimethoprime, vandetanib, isavuconazole) may decrease the renal elimination of metformin and thus lead to an increase in metformin plasma concentration.</x:v>
      </x:c>
      <x:c r="J721" s="37" t="str">
        <x:v>https://drug.fda.moph.go.th/media.php?id=810411685197258752&amp;name=SMPC_Metformin_Film-coated Tablet.pdf</x:v>
      </x:c>
    </x:row>
    <x:row r="722">
      <x:c r="A722" s="31" t="str">
        <x:v>metformin</x:v>
      </x:c>
      <x:c r="B722" s="31" t="str">
        <x:v>verapamil</x:v>
      </x:c>
      <x:c r="C722" s="31" t="str">
        <x:v>unclassified</x:v>
      </x:c>
      <x:c r="D722" s="31" t="str">
        <x:v>review</x:v>
      </x:c>
      <x:c r="E722" s="31" t="str">
        <x:v>r0228_smpc</x:v>
      </x:c>
      <x:c r="F722" s="31" t="str">
        <x:v>SMPC</x:v>
      </x:c>
      <x:c r="G722" s="31" t="n">
        <x:v>7</x:v>
      </x:c>
      <x:c r="H722" s="31" t="str">
        <x:v>verapamil</x:v>
      </x:c>
      <x:c r="I722" s="37" t="str">
        <x:v>ticoids (systemic and local routes) and sympathomimetics) More frequent blood glucose monitoring may be required, especially at the beginning of treatment. If necessary, adjust the metformin dosage during therapy with the respective medicinal product and upon its discontinuation. Organic cation transporters (OCT) Metformin is a substrate of both transporters OCT1 and OCT2. Co-administration of metformin with • Inhibitors of OCT1 (such as verapamil) may reduce efficacy of metformin. • Inducers of OCT1 (such as rifampicin) may increase gastrointestinal absorption and efficacy of metformin. • Inhibitors of OCT2 (such as cimetidine, dolutegravir, ranolazine, trimethoprime, vandetanib, isavuconazole) may decrease the renal elimination of metformin and thus lead to an increase in metformin plasma concentration.</x:v>
      </x:c>
      <x:c r="J722" s="37" t="str">
        <x:v>https://drug.fda.moph.go.th/media.php?id=810411685197258752&amp;name=SMPC_Metformin_Film-coated Tablet.pdf</x:v>
      </x:c>
    </x:row>
    <x:row r="723">
      <x:c r="A723" s="31" t="str">
        <x:v>methotrexate</x:v>
      </x:c>
      <x:c r="B723" s="31" t="str">
        <x:v>naproxen</x:v>
      </x:c>
      <x:c r="C723" s="31" t="str">
        <x:v>unclassified</x:v>
      </x:c>
      <x:c r="D723" s="31" t="str">
        <x:v>review</x:v>
      </x:c>
      <x:c r="E723" s="31" t="str">
        <x:v>r0253_smpc</x:v>
      </x:c>
      <x:c r="F723" s="31" t="str">
        <x:v>SMPC</x:v>
      </x:c>
      <x:c r="G723" s="31" t="n">
        <x:v>9</x:v>
      </x:c>
      <x:c r="H723" s="31" t="str">
        <x:v>methotrexate</x:v>
      </x:c>
      <x:c r="I723" s="37" t="str">
        <x:v>on-steroidal anti-inflammatory drugs can reduce the anti-hypertensive effect of anti -hypertensives. Concomitant use of NSAIDs with ACE inhibitors or angiotensin II receptor antagonists may increase the risk of renal impairment, especi ally in patients with pre - existing poor renal function (See Section 4.4). • Probenecid given concurrently increases naproxen plasma levels and extends its half-life considerably. • Caution is advised where methotrexate is given concurrently because of possible enhancement of its toxicity, since naproxen, among other non-steroidal anti-inflammatory drugs, has been reported to reduce the tubular secretion of methotrexate in an animal model.</x:v>
      </x:c>
      <x:c r="J723" s="37" t="str">
        <x:v>https://drug.fda.moph.go.th/media.php?id=810422587254513664&amp;name=SMPC_Naproxen_Tablets.pdf</x:v>
      </x:c>
    </x:row>
    <x:row r="724">
      <x:c r="A724" s="31" t="str">
        <x:v>methotrexate</x:v>
      </x:c>
      <x:c r="B724" s="31" t="str">
        <x:v>ofloxacin</x:v>
      </x:c>
      <x:c r="C724" s="31" t="str">
        <x:v>unclassified</x:v>
      </x:c>
      <x:c r="D724" s="31" t="str">
        <x:v>review</x:v>
      </x:c>
      <x:c r="E724" s="31" t="str">
        <x:v>r0260_smpc</x:v>
      </x:c>
      <x:c r="F724" s="31" t="str">
        <x:v>SMPC</x:v>
      </x:c>
      <x:c r="G724" s="31" t="n">
        <x:v>20</x:v>
      </x:c>
      <x:c r="H724" s="31" t="str">
        <x:v>methotrexate</x:v>
      </x:c>
      <x:c r="I724" s="37" t="str">
        <x:v>hylline in a clinical study. However, a pronounced lowering of the cerebral seizure threshold may occur when quinolones are given concurrently with theophylline, nonsteroidal anti -inflammato ry drugs, or other agents, which lower the seizure threshold. However, ofloxacin does not interfere with theophylline metabolism. In case of convulsive seizures, treatment with ofloxacin should be discontinued. Probenecid, cimetidine, furosemide, and methotrexate Probenecid decreased the total clearance of ofloxacin by 24%, and increased AUC by 16%. It acts at renal level by competing or inhibiting the active transport that forms the basis for tubular section. Caution should be exercised when ofloxacin is co - administered with drugs that affect the tubular renal secretion such as probenecid, cimetidine, furosemide and methotrexate. Especially when using high doses, the concomitant use of quinolone</x:v>
      </x:c>
      <x:c r="J724" s="37" t="str">
        <x:v>https://drug.fda.moph.go.th/media.php?id=810425338315284480&amp;name=SMPC_Ofloxacin_Film-coated Tablet.pdf</x:v>
      </x:c>
    </x:row>
    <x:row r="725">
      <x:c r="A725" s="31" t="str">
        <x:v>methotrexate</x:v>
      </x:c>
      <x:c r="B725" s="31" t="str">
        <x:v>omeprazole</x:v>
      </x:c>
      <x:c r="C725" s="31" t="str">
        <x:v>unclassified</x:v>
      </x:c>
      <x:c r="D725" s="31" t="str">
        <x:v>review</x:v>
      </x:c>
      <x:c r="E725" s="31" t="str">
        <x:v>r0262_smpc</x:v>
      </x:c>
      <x:c r="F725" s="31" t="str">
        <x:v>SMPC</x:v>
      </x:c>
      <x:c r="G725" s="31" t="n">
        <x:v>12</x:v>
      </x:c>
      <x:c r="H725" s="31" t="str">
        <x:v>methotrexate</x:v>
      </x:c>
      <x:c r="I725" s="37" t="str">
        <x:v>ith saquinavir/ritonavir resulted in increased plasma levels up to approximately 70% for saquinavir associated with good tolerability in HIV-infected patients. Tacrolimus Concomitant administration of omeprazole has been reported to increase the serum levels of tacrolimus. A reinforced monitoring of tacrolimus concentrations as well as renal function (creatinine clearance) should be performed, and dosage of tacrolimus adjusted if needed. Methotrexate When given together with proton -pump inhibitors, methotrexate levels have been reported to increase in some patients. In high -dose</x:v>
      </x:c>
      <x:c r="J725" s="37" t="str">
        <x:v>https://drug.fda.moph.go.th/media.php?id=810426319253938176&amp;name=SMPC_Omeprazole_Hard Gastro-resistant Capsule.pdf</x:v>
      </x:c>
    </x:row>
    <x:row r="726">
      <x:c r="A726" s="31" t="str">
        <x:v>methotrexate</x:v>
      </x:c>
      <x:c r="B726" s="31" t="str">
        <x:v>omeprazole</x:v>
      </x:c>
      <x:c r="C726" s="31" t="str">
        <x:v>unclassified</x:v>
      </x:c>
      <x:c r="D726" s="31" t="str">
        <x:v>review</x:v>
      </x:c>
      <x:c r="E726" s="31" t="str">
        <x:v>r0262_smpc</x:v>
      </x:c>
      <x:c r="F726" s="31" t="str">
        <x:v>SMPC</x:v>
      </x:c>
      <x:c r="G726" s="31" t="n">
        <x:v>13</x:v>
      </x:c>
      <x:c r="H726" s="31" t="str">
        <x:v>methotrexate</x:v>
      </x:c>
      <x:c r="I726" s="37" t="str">
        <x:v>1 Ref:Losec 20 mg, MHRA, 10/04/2024 13 methotrexate administration a temporary withdrawal of omeprazole may need to be considered. Effects of other active substances on the pharmacokinetics of omeprazole Inhibitors of CYP2C19 and/or CYP3A4 Since omeprazole is metabolised by CYP2C19 and CYP3A4, active substances known to inhibit CYP2C19 or CYP3A4 (such as clarithromycin and voriconazole) may lead to increased omeprazole serum levels by decreasing omeprazole’s rate of metabolism. Concomita</x:v>
      </x:c>
      <x:c r="J726" s="37" t="str">
        <x:v>https://drug.fda.moph.go.th/media.php?id=810426319253938176&amp;name=SMPC_Omeprazole_Hard Gastro-resistant Capsule.pdf</x:v>
      </x:c>
    </x:row>
    <x:row r="727">
      <x:c r="A727" s="31" t="str">
        <x:v>methotrexate</x:v>
      </x:c>
      <x:c r="B727" s="31" t="str">
        <x:v>omeprazole</x:v>
      </x:c>
      <x:c r="C727" s="31" t="str">
        <x:v>unclassified</x:v>
      </x:c>
      <x:c r="D727" s="31" t="str">
        <x:v>review</x:v>
      </x:c>
      <x:c r="E727" s="31" t="str">
        <x:v>r0435_smpc</x:v>
      </x:c>
      <x:c r="F727" s="31" t="str">
        <x:v>SMPC</x:v>
      </x:c>
      <x:c r="G727" s="31" t="n">
        <x:v>9</x:v>
      </x:c>
      <x:c r="H727" s="31" t="str">
        <x:v>methotrexate</x:v>
      </x:c>
      <x:c r="I727" s="37" t="str">
        <x:v>Methotrexate When given together with proton pump inhibitors, methotrexate levels have been reported to increase in some patients. In high-dose methotrexate administration a temporary withdrawal of omeprazole may need to be considered. Effects of other active substances on the pharmacokinetics of omeprazole Inhibitors of CYP2C19 and/or CYP3A4 Since omeprazole is metabolised by CYP2C19 and CYP3A4, active substances known to inhibit CYP2C19 or CYP3A4</x:v>
      </x:c>
      <x:c r="J727" s="37" t="str">
        <x:v>https://drug.fda.moph.go.th/media.php?id=904966130538520576&amp;name=3. Ref SmPC_Omeprazole.pdf</x:v>
      </x:c>
    </x:row>
    <x:row r="728">
      <x:c r="A728" s="31" t="str">
        <x:v>methotrexate</x:v>
      </x:c>
      <x:c r="B728" s="31" t="str">
        <x:v>sodium_bicarbonate</x:v>
      </x:c>
      <x:c r="C728" s="31" t="str">
        <x:v>unclassified</x:v>
      </x:c>
      <x:c r="D728" s="31" t="str">
        <x:v>review</x:v>
      </x:c>
      <x:c r="E728" s="31" t="str">
        <x:v>r0316_smpc</x:v>
      </x:c>
      <x:c r="F728" s="31" t="str">
        <x:v>SMPC</x:v>
      </x:c>
      <x:c r="G728" s="31" t="n">
        <x:v>3</x:v>
      </x:c>
      <x:c r="H728" s="31" t="str">
        <x:v>methotrexate</x:v>
      </x:c>
      <x:c r="I728" s="37" t="str">
        <x:v>of children. Since the efficacy of sodium bicarbonate in children under 18 years of age has not been established sodium bicarbonate 84 mg/ml oral solution is not recommended in children. 4.5. Interaction with other medicinal products and other forms of interaction Avoid in patients on salt restricted diets and in patients taking corticosteroids. Sodium bicarbonate increases the excretion of lithium. The excretion of aspirin and methotrexate is increased and quinidine and ephedrine reduced in alkaline urine. Antacids reduce the absorption of antibacterials (for example tetracyclines and rifampicin), antifungals (e.g. ketoconazole), dipyridamole, phenothiazines, chloroquine, phenytoin and penicillamine. 4.6. Fertility, pregnancy and lactation Pregnancy Animal studies are insufficient with respect to effects on pregnancy, embryonal fetal development, parturition and</x:v>
      </x:c>
      <x:c r="J728" s="37" t="str">
        <x:v>https://drug.fda.moph.go.th/media.php?id=810454498920243200&amp;name=SMPC_Sodium Bicarbonate_oral solution.pdf</x:v>
      </x:c>
    </x:row>
    <x:row r="729">
      <x:c r="A729" s="31" t="str">
        <x:v>methotrexate</x:v>
      </x:c>
      <x:c r="B729" s="31" t="str">
        <x:v>sodium_valproate</x:v>
      </x:c>
      <x:c r="C729" s="31" t="str">
        <x:v>unclassified</x:v>
      </x:c>
      <x:c r="D729" s="31" t="str">
        <x:v>review</x:v>
      </x:c>
      <x:c r="E729" s="31" t="str">
        <x:v>r0325_smpc</x:v>
      </x:c>
      <x:c r="F729" s="31" t="str">
        <x:v>SMPC</x:v>
      </x:c>
      <x:c r="G729" s="31" t="n">
        <x:v>19</x:v>
      </x:c>
      <x:c r="H729" s="31" t="str">
        <x:v>methotrexate</x:v>
      </x:c>
      <x:c r="I729" s="37" t="str">
        <x:v>lproate has no enzyme inducing effect; as a consequence, valproate does not reduce efficacy of oestroprogestative agents in women receiving hormonal contraception. Metamizole Metamizole may decrease valproate serum levels when co - administered, which may result in potentially decreased valproate clinical efficacy. Prescribers should monitor clinical response (seizure control) and consider monitoring valproate serum levels as appropriate. Methotrexate Some case reports describe a significant decrease in valproate serum levels after methotrexate administration, with occurrence of seizures. Prescribers should monitor clinical response (seizure control) and consider monitoring valproate serum levels as appropriate. Other interactions Risk of liver damage The concomitant use of salicylates should be avoided in children under 3 years of age due to the risk of liver toxicity (see section 4.</x:v>
      </x:c>
      <x:c r="J729" s="37" t="str">
        <x:v>https://drug.fda.moph.go.th/media.php?id=810462806720782336&amp;name=SMPC_Sodium Valproate_Enteric-coated tablet.pdf</x:v>
      </x:c>
    </x:row>
    <x:row r="730">
      <x:c r="A730" s="31" t="str">
        <x:v>methotrexate</x:v>
      </x:c>
      <x:c r="B730" s="31" t="str">
        <x:v>tenoxicam</x:v>
      </x:c>
      <x:c r="C730" s="31" t="str">
        <x:v>unclassified</x:v>
      </x:c>
      <x:c r="D730" s="31" t="str">
        <x:v>review</x:v>
      </x:c>
      <x:c r="E730" s="31" t="str">
        <x:v>r0333_smpc</x:v>
      </x:c>
      <x:c r="F730" s="31" t="str">
        <x:v>SMPC</x:v>
      </x:c>
      <x:c r="G730" s="31" t="n">
        <x:v>10</x:v>
      </x:c>
      <x:c r="H730" s="31" t="str">
        <x:v>methotrexate</x:v>
      </x:c>
      <x:c r="I730" s="37" t="str">
        <x:v>1 Ref: Mobiflex, MHRA, 16/06/2023 10 Methotrexate Caution is advised where methotrexate is given concurrently because of possible enhancement of its toxicity, since NSAIDs have been reported to decrease elimination of methotrexate. Oral Antidiabetics The clinical effect of the oral antidiabetic drugs glibornuride, glibenclamide, tolbutamide, was likewise not modified by Tenoxicam. Nevertheless, as for other NSAIDs, careful monitoring is recommended when patients concomitantly receive or</x:v>
      </x:c>
      <x:c r="J730" s="37" t="str">
        <x:v>https://drug.fda.moph.go.th/media.php?id=810466026549551104&amp;name=SMPC_Tenoxicam_Tablets.pdf</x:v>
      </x:c>
    </x:row>
    <x:row r="731">
      <x:c r="A731" s="31" t="str">
        <x:v>methotrexate</x:v>
      </x:c>
      <x:c r="B731" s="31" t="str">
        <x:v>tetracycline</x:v>
      </x:c>
      <x:c r="C731" s="31" t="str">
        <x:v>unclassified</x:v>
      </x:c>
      <x:c r="D731" s="31" t="str">
        <x:v>review</x:v>
      </x:c>
      <x:c r="E731" s="31" t="str">
        <x:v>r0338_smpc</x:v>
      </x:c>
      <x:c r="F731" s="31" t="str">
        <x:v>SMPC</x:v>
      </x:c>
      <x:c r="G731" s="31" t="n">
        <x:v>7</x:v>
      </x:c>
      <x:c r="H731" s="31" t="str">
        <x:v>methotrexate</x:v>
      </x:c>
      <x:c r="I731" s="37" t="str">
        <x:v>thoxyflurane. Tetracycline may increase the hypoglycaemic effects of insulin and sulphonylureas in patients with diabetes mellitus. The absorption of tetracycline may be reduced by the concomitant administration of sucralfate. Separating administration should be considered. Tetracycline may cause an increase in serum lithium levels. Tetracycline may cause an increase in serum digoxin levels. Tetracycline may cause an increase the risk of methotrexate toxicity. Regular monitoring of toxicity is necessary when taken concurrently. Absorption of tetracycline is impaired by strontium ranelate (manufacturer of strontium ranelate advises avoid concomitant use). Absorption of tetracycline is possibly reduced by colestipol and colestyramine. Increased risk of ergotism when tetracycline given with ergotamine and methysergide. 4.6. Fertility, pregnancy and lactation Pregnancy Tetracycline may</x:v>
      </x:c>
      <x:c r="J731" s="37" t="str">
        <x:v>https://drug.fda.moph.go.th/media.php?id=810476861875429376&amp;name=SMPC_Tetracycline_Tablets.pdf</x:v>
      </x:c>
    </x:row>
    <x:row r="732">
      <x:c r="A732" s="31" t="str">
        <x:v>methotrexate</x:v>
      </x:c>
      <x:c r="B732" s="31" t="str">
        <x:v>trimethoprim_sulfamethoxazole</x:v>
      </x:c>
      <x:c r="C732" s="31" t="str">
        <x:v>unclassified</x:v>
      </x:c>
      <x:c r="D732" s="31" t="str">
        <x:v>review</x:v>
      </x:c>
      <x:c r="E732" s="31" t="str">
        <x:v>r0358_smpc</x:v>
      </x:c>
      <x:c r="F732" s="31" t="str">
        <x:v>SMPC</x:v>
      </x:c>
      <x:c r="G732" s="31" t="n">
        <x:v>10</x:v>
      </x:c>
      <x:c r="H732" s="31" t="str">
        <x:v>methotrexate</x:v>
      </x:c>
      <x:c r="I732" s="37" t="str">
        <x:v>oagulant therapy during treatment with Co -Trimoxazole is advisable. Phenytoin: co-trimoxazole prolongs the half-life of phenytoin and if co- administered the prescriber should be alert for excessive phenytoin effect. Close monitoring of the patient's condition and serum phenytoin levels is advisable. Digoxin: concomitant use of trimethoprim with digoxin has been shown to increase plasma digoxin levels in a proportion of elderly patients. Methotrexate: co-trimoxazole may increase the free plasma levels of methotrexate. If Co- Trimoxazole is considered appropriate therapy in patients receiving other anti-folate drugs such as methotrexate, a folate supplement should be considered (see section 4.4). Trimethoprim interferes with assays for serum methotrexate when dihydrofolate reductase from Lactobacillus casei is used in the assay. No interference occurs if methotrexate is measured by radi</x:v>
      </x:c>
      <x:c r="J732" s="37" t="str">
        <x:v>https://drug.fda.moph.go.th/media.php?id=810494133834752000&amp;name=SMPC_Trimethoprim + Sulfamethoxazole_Solution for Infusion.pdf</x:v>
      </x:c>
    </x:row>
    <x:row r="733">
      <x:c r="A733" s="31" t="str">
        <x:v>methyldopa</x:v>
      </x:c>
      <x:c r="B733" s="31" t="str">
        <x:v>nimodipine</x:v>
      </x:c>
      <x:c r="C733" s="31" t="str">
        <x:v>unclassified</x:v>
      </x:c>
      <x:c r="D733" s="31" t="str">
        <x:v>review</x:v>
      </x:c>
      <x:c r="E733" s="31" t="str">
        <x:v>r0255_smpc</x:v>
      </x:c>
      <x:c r="F733" s="31" t="str">
        <x:v>SMPC</x:v>
      </x:c>
      <x:c r="G733" s="31" t="n">
        <x:v>6</x:v>
      </x:c>
      <x:c r="H733" s="31" t="str">
        <x:v>methyldopa</x:v>
      </x:c>
      <x:c r="I733" s="37" t="str">
        <x:v>ycin) - anti-HIV protease inhibitors (e.g. ritonavir) - azole anti-mycotics (e.g. ketoconazole) - nefazodone. Effects of nimodipine on other drugs Blood pressure lowering drugs Nimodipine may increase the blood pressure lowering effect of concomitant antihypertensives, such as: - diuretics, - beta-blockers, - ACE inhibitors, - A1-antagonists, - other calcium antagonists, - alpha-adrenergic blocking agents, - PDE5 inhibitors - alpha-methyldopa. However, if a combination of this type proves unavoidable, particularly careful monitoring of the patient is necessary. Simultaneous intravenous administration of beta -blockers may lead to mutual potentiation of negative inotropic action going as far as decompensated heart failure Renal function can deteriorate if potentially nephrotoxic drugs (e.g. aminoglycosides, cephalosporins, furosemide) are given simultaneously and also in patie</x:v>
      </x:c>
      <x:c r="J733" s="37" t="str">
        <x:v>https://drug.fda.moph.go.th/media.php?id=810423093272125440&amp;name=SMPC_Nimodipine_Solution for Infusion.pdf</x:v>
      </x:c>
    </x:row>
    <x:row r="734">
      <x:c r="A734" s="31" t="str">
        <x:v>metoclopramide</x:v>
      </x:c>
      <x:c r="B734" s="31" t="str">
        <x:v>paracetamol</x:v>
      </x:c>
      <x:c r="C734" s="31" t="str">
        <x:v>unclassified</x:v>
      </x:c>
      <x:c r="D734" s="31" t="str">
        <x:v>review</x:v>
      </x:c>
      <x:c r="E734" s="31" t="str">
        <x:v>r0237_smpc</x:v>
      </x:c>
      <x:c r="F734" s="31" t="str">
        <x:v>SMPC</x:v>
      </x:c>
      <x:c r="G734" s="31" t="n">
        <x:v>11</x:v>
      </x:c>
      <x:c r="H734" s="31" t="str">
        <x:v>paracetamol</x:v>
      </x:c>
      <x:c r="I734" s="37" t="str">
        <x:v>1 Ref:Maxolon, MHRA, date 12/10/2022 11 Anticholinergics, morphine derivatives and other opioid analgesics: Anticholinergics and morphine derivatives may have both a mutual antagonism with metoclopramide on the digestive tract motility. The absorption of aspirin and paracetamol may be modified by the effect of metoclopramide on gastric motility. Concomitant use of anticholinergic drugs may inhibit the favourable effects on gastrointestinal motility. Since extrapyramidal reactions may occur with this medicine, Phenothiazines and Tetrabenazine, care should be exercised in the event of co-administration of these drugs. Central nervous system depressants (morphine derivatives, anxiolytics, sedative H1</x:v>
      </x:c>
      <x:c r="J734" s="37" t="str">
        <x:v>https://drug.fda.moph.go.th/media.php?id=810415338977107968&amp;name=SMPC_Metoclopramide_solution for infusion.pdf</x:v>
      </x:c>
    </x:row>
    <x:row r="735">
      <x:c r="A735" s="31" t="str">
        <x:v>metoclopramide</x:v>
      </x:c>
      <x:c r="B735" s="31" t="str">
        <x:v>pimozide</x:v>
      </x:c>
      <x:c r="C735" s="31" t="str">
        <x:v>unclassified</x:v>
      </x:c>
      <x:c r="D735" s="31" t="str">
        <x:v>review</x:v>
      </x:c>
      <x:c r="E735" s="31" t="str">
        <x:v>r0278_smpc</x:v>
      </x:c>
      <x:c r="F735" s="31" t="str">
        <x:v>SMPC</x:v>
      </x:c>
      <x:c r="G735" s="31" t="n">
        <x:v>10</x:v>
      </x:c>
      <x:c r="H735" s="31" t="str">
        <x:v>metoclopramide</x:v>
      </x:c>
      <x:c r="I735" s="37" t="str">
        <x:v>antipsychotic medications (such as phenothiazines and sertindole ), certain antihistamines (such as terfenadine ), cisapride, bretylium and certain antimalarials such as quinine and mefloquine . This list is not comprehensive. There is an increased risk of extrapyramidal effects with anti -emetics such as metoclopramide. Avoid concomitant use with sibutramine due to an increased risk of CNS toxicity. Concomitant use with calcium channel blockers may result in an enhanced hypotensive effect. Concurrent treatment with neuroleptics should be kept to a minimum as they may predispose to the cardiotoxic effects of pimozide . Particular care should be exercised in patients who are using depot neuroleptics . Low potency neuroleptics such as chlorpromazine and t</x:v>
      </x:c>
      <x:c r="J735" s="37" t="str">
        <x:v>https://drug.fda.moph.go.th/media.php?id=810432738745262080&amp;name=SMPC_Pimozide_Tablet.pdf</x:v>
      </x:c>
    </x:row>
    <x:row r="736">
      <x:c r="A736" s="31" t="str">
        <x:v>metronidazole</x:v>
      </x:c>
      <x:c r="B736" s="31" t="str">
        <x:v>ofloxacin</x:v>
      </x:c>
      <x:c r="C736" s="31" t="str">
        <x:v>unclassified</x:v>
      </x:c>
      <x:c r="D736" s="31" t="str">
        <x:v>review</x:v>
      </x:c>
      <x:c r="E736" s="31" t="str">
        <x:v>r0260_smpc</x:v>
      </x:c>
      <x:c r="F736" s="31" t="str">
        <x:v>SMPC</x:v>
      </x:c>
      <x:c r="G736" s="31" t="n">
        <x:v>13</x:v>
      </x:c>
      <x:c r="H736" s="31" t="str">
        <x:v>metronidazole</x:v>
      </x:c>
      <x:c r="I736" s="37" t="str">
        <x:v>which is pseudomembranous colitis (see section 4.8). It is therefore important to consider this diagnosis in patients who develop serious d i a r r h o e a d u r i n g o r a f t e r t r e a t m e nt w i t h o f l o x a c i n . I f pseudomembraneous colitis is suspected, treatment with ofloxacin should be discontinued immediately. Specific targeted antibiotic therapy must be started without delay (e.g. oral vancomycin, oral teicoplanin or metronidazole). Products that inhibit peristalsis are contraindicated in this clinical situation . Patients predisposed to seizures Quinolones may lower the seizure threshold and may trigger seizures. Ofloxacin is contraindicated in patients with a history of epilepsy (see section 4.3) and, as with other quinolones, ofloxacin should be used with extreme caution in patients predisposed to seizures. Patients with a known predisposition to seizures may in</x:v>
      </x:c>
      <x:c r="J736" s="37" t="str">
        <x:v>https://drug.fda.moph.go.th/media.php?id=810425338315284480&amp;name=SMPC_Ofloxacin_Film-coated Tablet.pdf</x:v>
      </x:c>
    </x:row>
    <x:row r="737">
      <x:c r="A737" s="31" t="str">
        <x:v>metronidazole</x:v>
      </x:c>
      <x:c r="B737" s="31" t="str">
        <x:v>ranitidine</x:v>
      </x:c>
      <x:c r="C737" s="31" t="str">
        <x:v>unclassified</x:v>
      </x:c>
      <x:c r="D737" s="31" t="str">
        <x:v>review</x:v>
      </x:c>
      <x:c r="E737" s="31" t="str">
        <x:v>r0301_smpc</x:v>
      </x:c>
      <x:c r="F737" s="31" t="str">
        <x:v>SMPC</x:v>
      </x:c>
      <x:c r="G737" s="31" t="n">
        <x:v>8</x:v>
      </x:c>
      <x:c r="H737" s="31" t="str">
        <x:v>metronidazole</x:v>
      </x:c>
      <x:c r="I737" s="37" t="str">
        <x:v>ministration of 300 mg ranitidine and erlotinib decreased erlotinib exposure [AUC] and maximum concentrations [Cmax] by 33% and 54%, respectively. However, when erlotinib was dosed in staggered manner 2 hours before or 10 hours after ranitidine 150 mg b.i.d., erlotinib exposure [AUC] and maximum concentrations [C max] decreased only by 15% and 17%, respectively. There is no evidence of an interaction between ranitidine and amoxicillin or metronidazole. If high doses (2 g) of sucralfate are co-administered with ranitidine the absorption of the latter may be reduced. This effect is not seen if sucralfate is taken after an interval of 2 hours.</x:v>
      </x:c>
      <x:c r="J737" s="37" t="str">
        <x:v>https://drug.fda.moph.go.th/media.php?id=810446254327865344&amp;name=SMPC_Ranitidine_Tablet.pdf</x:v>
      </x:c>
    </x:row>
    <x:row r="738">
      <x:c r="A738" s="31" t="str">
        <x:v>metronidazole</x:v>
      </x:c>
      <x:c r="B738" s="31" t="str">
        <x:v>tinidazole</x:v>
      </x:c>
      <x:c r="C738" s="31" t="str">
        <x:v>unclassified</x:v>
      </x:c>
      <x:c r="D738" s="31" t="str">
        <x:v>review</x:v>
      </x:c>
      <x:c r="E738" s="31" t="str">
        <x:v>r0346_smpc</x:v>
      </x:c>
      <x:c r="F738" s="31" t="str">
        <x:v>SMPC</x:v>
      </x:c>
      <x:c r="G738" s="31" t="n">
        <x:v>7</x:v>
      </x:c>
      <x:c r="H738" s="31" t="str">
        <x:v>metronidazole</x:v>
      </x:c>
      <x:c r="I738" s="37" t="str">
        <x:v>abdominal cramps, vomiting, tachycardia). Alcohol should be avoided until 72 hours after discontinuing &lt;Generic Name&gt;. Drugs of similar chemical structure have also produced various neurological disturbances such as dizziness, vertigo, incoordination and ataxia. If during therapy with &lt;Generic Name&gt; abnormal neurological signs develop, therapy should be discontinued. Carcinogenicity has been seen in mice and rats treated chronically with metronidazole, another nitroimidazole agent. Although carcinogenicity data is not available for tinidazole, the two drugs are structurally related and therefore there is a potential f or similar biologic effects. Mutagenicity results with tinidazole were mixed (positive and negative) (see section 5.3). The use of tinidazole for longer treatment than usually required should be carefully considered. 4.5. Interaction with other medicinal products and other</x:v>
      </x:c>
      <x:c r="J738" s="37" t="str">
        <x:v>https://drug.fda.moph.go.th/media.php?id=810482703316164608&amp;name=SMPC_Tinidazole_Film-coated Tablet.pdf</x:v>
      </x:c>
    </x:row>
    <x:row r="739">
      <x:c r="A739" s="31" t="str">
        <x:v>mianserin</x:v>
      </x:c>
      <x:c r="B739" s="31" t="str">
        <x:v>propranolol</x:v>
      </x:c>
      <x:c r="C739" s="31" t="str">
        <x:v>unclassified</x:v>
      </x:c>
      <x:c r="D739" s="31" t="str">
        <x:v>review</x:v>
      </x:c>
      <x:c r="E739" s="31" t="str">
        <x:v>r0241_smpc</x:v>
      </x:c>
      <x:c r="F739" s="31" t="str">
        <x:v>SMPC</x:v>
      </x:c>
      <x:c r="G739" s="31" t="n">
        <x:v>6</x:v>
      </x:c>
      <x:c r="H739" s="31" t="str">
        <x:v>propranolol</x:v>
      </x:c>
      <x:c r="I739" s="37" t="str">
        <x:v>patients with epilepsy and other predisposing factors such as brain damage, conco mitant use of neuroleptics, withdrawal from alcohol. There may be increased risk of convulsions when antidepressants are given with atomoxetine. Interactions with sympathomimetic agents have not been reported, and are unlikely. Clinical experience has shown that mianserin does not interact with the anti-hypertensives bethanidine, clonidine, guanethidine or propranolol. Nevertheless, the monitoring of blood pressure is recommended for those patients receiving concurrent anti-hypertensive therapy. There may be an enhanced hypotensive effect if mianserin is taken with diazoxide, hydralazine or nitroprusside. Concurrent anticoagulant therapy of the coumarin type (eg warfarin) is permissible, but close additional monitoring procedures should be carried out. Antihistamines and antimuscarinics may have incre</x:v>
      </x:c>
      <x:c r="J739" s="37" t="str">
        <x:v>https://drug.fda.moph.go.th/media.php?id=810417450431684608&amp;name=SMPC_Mianserin_Tablets.pdf</x:v>
      </x:c>
    </x:row>
    <x:row r="740">
      <x:c r="A740" s="31" t="str">
        <x:v>miconazole</x:v>
      </x:c>
      <x:c r="B740" s="31" t="str">
        <x:v>pimozide</x:v>
      </x:c>
      <x:c r="C740" s="31" t="str">
        <x:v>unclassified</x:v>
      </x:c>
      <x:c r="D740" s="31" t="str">
        <x:v>review</x:v>
      </x:c>
      <x:c r="E740" s="31" t="str">
        <x:v>r0242_smpc</x:v>
      </x:c>
      <x:c r="F740" s="31" t="str">
        <x:v>SMPC</x:v>
      </x:c>
      <x:c r="G740" s="31" t="n">
        <x:v>2</x:v>
      </x:c>
      <x:c r="H740" s="31" t="str">
        <x:v>pimozide</x:v>
      </x:c>
      <x:c r="I740" s="37" t="str">
        <x:v>n 6.1. In infants less than 4 months of age or in those whose swallowing reflex is not yet sufficiently developed (see section 4.4) In patients with liver dysfunction. Coadministration of the following drugs that are subject to metabolism by CYP3A4: (See Section 4.5 Interactions with Other Medicinal Products and Other Forms of Interaction) - Substrates known to prolong the QT -interval e.g. astemizole, cisapride, dofetilide, mizolastine, pimozide, quinidine, sertindole and terfenadine - Ergot alkaloids - HMG-CoA reductase inhibitors such as simvastatin and lovastatin - Triazolam and oral midazolam</x:v>
      </x:c>
      <x:c r="J740" s="37" t="str">
        <x:v>https://drug.fda.moph.go.th/media.php?id=810417927433101312&amp;name=SMPC_Miconazole_Oral gel.pdf</x:v>
      </x:c>
    </x:row>
    <x:row r="741">
      <x:c r="A741" s="31" t="str">
        <x:v>miconazole</x:v>
      </x:c>
      <x:c r="B741" s="31" t="str">
        <x:v>pimozide</x:v>
      </x:c>
      <x:c r="C741" s="31" t="str">
        <x:v>unclassified</x:v>
      </x:c>
      <x:c r="D741" s="31" t="str">
        <x:v>review</x:v>
      </x:c>
      <x:c r="E741" s="31" t="str">
        <x:v>r0242_smpc</x:v>
      </x:c>
      <x:c r="F741" s="31" t="str">
        <x:v>SMPC</x:v>
      </x:c>
      <x:c r="G741" s="31" t="n">
        <x:v>5</x:v>
      </x:c>
      <x:c r="H741" s="31" t="str">
        <x:v>pimozide</x:v>
      </x:c>
      <x:c r="I741" s="37" t="str">
        <x:v>nhibit the metabolism of drugs metabolised by the CYP3A4 and CYP2C9 enzyme systems. This can result in an increase and/or prolongation of their effects, including adverse effects. Oral miconazole is contraindicated with the coadministration of the following drugs that are subject to metabolism by CYP3A4 (See Section 4.3 Contraindications); • Substrates known to prolong the QT -interval e.g., astemizole, cisapride, dofetilide, mizolastine, pimozide, quinidine, sertindole and terfenadine • Ergot alkaloids • HMG-CoA reductase inhibitors such as simvastatin and lovastatin • Triazolam and oral midazolam</x:v>
      </x:c>
      <x:c r="J741" s="37" t="str">
        <x:v>https://drug.fda.moph.go.th/media.php?id=810417927433101312&amp;name=SMPC_Miconazole_Oral gel.pdf</x:v>
      </x:c>
    </x:row>
    <x:row r="742">
      <x:c r="A742" s="31" t="str">
        <x:v>miconazole</x:v>
      </x:c>
      <x:c r="B742" s="31" t="str">
        <x:v>simvastatin</x:v>
      </x:c>
      <x:c r="C742" s="31" t="str">
        <x:v>unclassified</x:v>
      </x:c>
      <x:c r="D742" s="31" t="str">
        <x:v>review</x:v>
      </x:c>
      <x:c r="E742" s="31" t="str">
        <x:v>r0242_smpc</x:v>
      </x:c>
      <x:c r="F742" s="31" t="str">
        <x:v>SMPC</x:v>
      </x:c>
      <x:c r="G742" s="31" t="n">
        <x:v>2</x:v>
      </x:c>
      <x:c r="H742" s="31" t="str">
        <x:v>simvastatin</x:v>
      </x:c>
      <x:c r="I742" s="37" t="str">
        <x:v>veloped (see section 4.4) In patients with liver dysfunction. Coadministration of the following drugs that are subject to metabolism by CYP3A4: (See Section 4.5 Interactions with Other Medicinal Products and Other Forms of Interaction) - Substrates known to prolong the QT -interval e.g. astemizole, cisapride, dofetilide, mizolastine, pimozide, quinidine, sertindole and terfenadine - Ergot alkaloids - HMG-CoA reductase inhibitors such as simvastatin and lovastatin - Triazolam and oral midazolam</x:v>
      </x:c>
      <x:c r="J742" s="37" t="str">
        <x:v>https://drug.fda.moph.go.th/media.php?id=810417927433101312&amp;name=SMPC_Miconazole_Oral gel.pdf</x:v>
      </x:c>
    </x:row>
    <x:row r="743">
      <x:c r="A743" s="31" t="str">
        <x:v>miconazole</x:v>
      </x:c>
      <x:c r="B743" s="31" t="str">
        <x:v>simvastatin</x:v>
      </x:c>
      <x:c r="C743" s="31" t="str">
        <x:v>unclassified</x:v>
      </x:c>
      <x:c r="D743" s="31" t="str">
        <x:v>review</x:v>
      </x:c>
      <x:c r="E743" s="31" t="str">
        <x:v>r0242_smpc</x:v>
      </x:c>
      <x:c r="F743" s="31" t="str">
        <x:v>SMPC</x:v>
      </x:c>
      <x:c r="G743" s="31" t="n">
        <x:v>5</x:v>
      </x:c>
      <x:c r="H743" s="31" t="str">
        <x:v>simvastatin</x:v>
      </x:c>
      <x:c r="I743" s="37" t="str">
        <x:v>ncrease and/or prolongation of their effects, including adverse effects. Oral miconazole is contraindicated with the coadministration of the following drugs that are subject to metabolism by CYP3A4 (See Section 4.3 Contraindications); • Substrates known to prolong the QT -interval e.g., astemizole, cisapride, dofetilide, mizolastine, pimozide, quinidine, sertindole and terfenadine • Ergot alkaloids • HMG-CoA reductase inhibitors such as simvastatin and lovastatin • Triazolam and oral midazolam</x:v>
      </x:c>
      <x:c r="J743" s="37" t="str">
        <x:v>https://drug.fda.moph.go.th/media.php?id=810417927433101312&amp;name=SMPC_Miconazole_Oral gel.pdf</x:v>
      </x:c>
    </x:row>
    <x:row r="744">
      <x:c r="A744" s="31" t="str">
        <x:v>naproxen</x:v>
      </x:c>
      <x:c r="B744" s="31" t="str">
        <x:v>zidovudine</x:v>
      </x:c>
      <x:c r="C744" s="31" t="str">
        <x:v>unclassified</x:v>
      </x:c>
      <x:c r="D744" s="31" t="str">
        <x:v>review</x:v>
      </x:c>
      <x:c r="E744" s="31" t="str">
        <x:v>r0253_smpc</x:v>
      </x:c>
      <x:c r="F744" s="31" t="str">
        <x:v>SMPC</x:v>
      </x:c>
      <x:c r="G744" s="31" t="n">
        <x:v>10</x:v>
      </x:c>
      <x:c r="H744" s="31" t="str">
        <x:v>zidovudine</x:v>
      </x:c>
      <x:c r="I744" s="37" t="str">
        <x:v>antibiotics. Patients taking quinolones may have an increased risk of developing convulsions. • There is an increased risk of gastrointestinal bleeding (see section 4.4) when anti -platelet agents and selective serotonin reuptake inhibitors (SSRIs) are combined with NSAIDs. • There is a possible risk of nephrotoxicity when NSAIDs are given with tacrolimus. • There is an increased risk of haematological toxicity when NSAIDs are given with zidovudine. There is evidence of an increased risk of haemarthroses and haematoma in HIV(+) haemophiliacs receiving concurrent treatment with zidovudine and ibuprofen. • Concomitant use of bisphosphonates and NSAIDs may increase the risk of gastric mucosal damage. • It is suggested that Naproxen therapy be temporarily discontinued 48 hours before adrenal function tests are performed, because naproxen may artifactually interfere with some tests for 1</x:v>
      </x:c>
      <x:c r="J744" s="37" t="str">
        <x:v>https://drug.fda.moph.go.th/media.php?id=810422587254513664&amp;name=SMPC_Naproxen_Tablets.pdf</x:v>
      </x:c>
    </x:row>
    <x:row r="745">
      <x:c r="A745" s="31" t="str">
        <x:v>nimodipine</x:v>
      </x:c>
      <x:c r="B745" s="31" t="str">
        <x:v>nortriptyline</x:v>
      </x:c>
      <x:c r="C745" s="31" t="str">
        <x:v>unclassified</x:v>
      </x:c>
      <x:c r="D745" s="31" t="str">
        <x:v>review</x:v>
      </x:c>
      <x:c r="E745" s="31" t="str">
        <x:v>r0255_smpc</x:v>
      </x:c>
      <x:c r="F745" s="31" t="str">
        <x:v>SMPC</x:v>
      </x:c>
      <x:c r="G745" s="31" t="n">
        <x:v>5</x:v>
      </x:c>
      <x:c r="H745" s="31" t="str">
        <x:v>nortriptyline</x:v>
      </x:c>
      <x:c r="I745" s="37" t="str">
        <x:v>nimodipine Concurrent twice daily administration of 30mg nimodipine and daily administration of 20mg of the antidepressant fluoxetine to elderly patients resulted in about 50% higher nimodipine plasma levels, a marked reduction in fluoxetine levels, whilst its active metabolite norfluoxetine was not affected. Concurrent three times daily administration of 30mg nimodipine and three times daily administration of 10mg of the antidepressant nortriptyline to elderly patients resulted in a slight decrease in nimodipine plasma levels with no effect on nortriptyline plasma levels. The daily dose used in patients with subarachnoid haemorrhage is four times the daily dose used in this trial, thus the clinical significance of this interaction in the treatment of aneurysmal subarachnoid haemorrhage (aSAH) is uncertain. Nimodipine is metabolised via the cytochrome P450 3A4 system, located both in</x:v>
      </x:c>
      <x:c r="J745" s="37" t="str">
        <x:v>https://drug.fda.moph.go.th/media.php?id=810423093272125440&amp;name=SMPC_Nimodipine_Solution for Infusion.pdf</x:v>
      </x:c>
    </x:row>
    <x:row r="746">
      <x:c r="A746" s="31" t="str">
        <x:v>nimodipine</x:v>
      </x:c>
      <x:c r="B746" s="31" t="str">
        <x:v>ranitidine</x:v>
      </x:c>
      <x:c r="C746" s="31" t="str">
        <x:v>unclassified</x:v>
      </x:c>
      <x:c r="D746" s="31" t="str">
        <x:v>review</x:v>
      </x:c>
      <x:c r="E746" s="31" t="str">
        <x:v>r0255_smpc</x:v>
      </x:c>
      <x:c r="F746" s="31" t="str">
        <x:v>SMPC</x:v>
      </x:c>
      <x:c r="G746" s="31" t="n">
        <x:v>7</x:v>
      </x:c>
      <x:c r="H746" s="31" t="str">
        <x:v>ranitidine</x:v>
      </x:c>
      <x:c r="I746" s="37" t="str">
        <x:v>lism of dihydropyridines. Interactions shown not to exist A study examining the effects of 90mg nimodipine (in divided doses) on elderly patients receiving haloperidol did not show evidence of potential interactions. It is unclear whether this study is relevant to use in subarachnoid haemorrhage because of the higher dose of nimodipine used. Concomitant administration of oral nimodipine and diazepam, digoxin, glibenclamide, indometacin, ranitidine and warfarin did not reveal any potential for mutual interaction. 4.6. Fertility, pregnancy and lactation Pregnancy There are no adequate and well controlled studies in pregnant women. No reproductive toxicology studies following parenteral administration are available. Reproductive toxicology studies in animals after oral administration showed no teratogenic effect, although studies in animals have shown reproductive toxicity (see secti</x:v>
      </x:c>
      <x:c r="J746" s="37" t="str">
        <x:v>https://drug.fda.moph.go.th/media.php?id=810423093272125440&amp;name=SMPC_Nimodipine_Solution for Infusion.pdf</x:v>
      </x:c>
    </x:row>
    <x:row r="747">
      <x:c r="A747" s="31" t="str">
        <x:v>nimodipine</x:v>
      </x:c>
      <x:c r="B747" s="31" t="str">
        <x:v>sodium_valproate</x:v>
      </x:c>
      <x:c r="C747" s="31" t="str">
        <x:v>unclassified</x:v>
      </x:c>
      <x:c r="D747" s="31" t="str">
        <x:v>review</x:v>
      </x:c>
      <x:c r="E747" s="31" t="str">
        <x:v>r0255_smpc</x:v>
      </x:c>
      <x:c r="F747" s="31" t="str">
        <x:v>SMPC</x:v>
      </x:c>
      <x:c r="G747" s="31" t="n">
        <x:v>7</x:v>
      </x:c>
      <x:c r="H747" s="31" t="str">
        <x:v>sodium valproate</x:v>
      </x:c>
      <x:c r="I747" s="37" t="str">
        <x:v>1 Ref:Nimotop 0.02% Solution for Infusion, MHRA, 30/07/2020 7 Other forms of interaction Since Nimotop solution contains 23.7 vol % ethanol (alcohol), patients should be monitored for any possible interactions with alcohol - incompatible drugs (see Section 4.4.) The simultaneous administration of cimetidine or sodium valproate may lead to an increase in the plasma nimodipine concentration. The intake of grapefruit juice is not recommended in combination with nimodipine as it can result in increased plasma nimodipine concentrations due to the inhibition of the oxidative metabolism of dihydropyridines. Interactions shown not to exist A study examining the effects of 90mg nimodipine (in divided doses) on elderly patients receiving haloperidol did not show evidenc</x:v>
      </x:c>
      <x:c r="J747" s="37" t="str">
        <x:v>https://drug.fda.moph.go.th/media.php?id=810423093272125440&amp;name=SMPC_Nimodipine_Solution for Infusion.pdf</x:v>
      </x:c>
    </x:row>
    <x:row r="748">
      <x:c r="A748" s="31" t="str">
        <x:v>nimodipine</x:v>
      </x:c>
      <x:c r="B748" s="31" t="str">
        <x:v>sodium_valproate</x:v>
      </x:c>
      <x:c r="C748" s="31" t="str">
        <x:v>unclassified</x:v>
      </x:c>
      <x:c r="D748" s="31" t="str">
        <x:v>review</x:v>
      </x:c>
      <x:c r="E748" s="31" t="str">
        <x:v>r0325_smpc</x:v>
      </x:c>
      <x:c r="F748" s="31" t="str">
        <x:v>SMPC</x:v>
      </x:c>
      <x:c r="G748" s="31" t="n">
        <x:v>16</x:v>
      </x:c>
      <x:c r="H748" s="31" t="str">
        <x:v>nimodipine</x:v>
      </x:c>
      <x:c r="I748" s="37" t="str">
        <x:v>s increase is dependent on concentration of valproic acid. Caution should be exercised, in particular in children, as this effect is larger in this population. Propofol Valproic acid may lead to an increased blood level of propofol. When co-administered with valproate, a reduction of the dose of propofol should be considered. Zidovudine Sodium valproate may raise zidovudine plasma concentration leading to increased zidovudine toxicity. Nimodipine</x:v>
      </x:c>
      <x:c r="J748" s="37" t="str">
        <x:v>https://drug.fda.moph.go.th/media.php?id=810462806720782336&amp;name=SMPC_Sodium Valproate_Enteric-coated tablet.pdf</x:v>
      </x:c>
    </x:row>
    <x:row r="749">
      <x:c r="A749" s="31" t="str">
        <x:v>nimodipine</x:v>
      </x:c>
      <x:c r="B749" s="31" t="str">
        <x:v>sodium_valproate</x:v>
      </x:c>
      <x:c r="C749" s="31" t="str">
        <x:v>unclassified</x:v>
      </x:c>
      <x:c r="D749" s="31" t="str">
        <x:v>review</x:v>
      </x:c>
      <x:c r="E749" s="31" t="str">
        <x:v>r0325_smpc</x:v>
      </x:c>
      <x:c r="F749" s="31" t="str">
        <x:v>SMPC</x:v>
      </x:c>
      <x:c r="G749" s="31" t="n">
        <x:v>17</x:v>
      </x:c>
      <x:c r="H749" s="31" t="str">
        <x:v>nimodipine</x:v>
      </x:c>
      <x:c r="I749" s="37" t="str">
        <x:v>1 Ref: Sodium Valproate, MHRA, 16/02/2024 17 In patients concomitantly treated with valproate and nimodipine the exposure to nimodipine can be increased by 50%. The nimodipine dose should therefore be decreased in case of hypotension. Temozolomide Co-administration of temozolomide and sodium valproate may cause a small decrease in the clearance of temozolomide that is not thought to be clinically relevant. Effects of other drugs on sodium valproate Anti-epileptics Anti-epileptics with enzyme inducing effect (including phenytoin, phenobarbital</x:v>
      </x:c>
      <x:c r="J749" s="37" t="str">
        <x:v>https://drug.fda.moph.go.th/media.php?id=810462806720782336&amp;name=SMPC_Sodium Valproate_Enteric-coated tablet.pdf</x:v>
      </x:c>
    </x:row>
    <x:row r="750">
      <x:c r="A750" s="31" t="str">
        <x:v>nimodipine</x:v>
      </x:c>
      <x:c r="B750" s="31" t="str">
        <x:v>zidovudine</x:v>
      </x:c>
      <x:c r="C750" s="31" t="str">
        <x:v>unclassified</x:v>
      </x:c>
      <x:c r="D750" s="31" t="str">
        <x:v>review</x:v>
      </x:c>
      <x:c r="E750" s="31" t="str">
        <x:v>r0255_smpc</x:v>
      </x:c>
      <x:c r="F750" s="31" t="str">
        <x:v>SMPC</x:v>
      </x:c>
      <x:c r="G750" s="31" t="n">
        <x:v>6</x:v>
      </x:c>
      <x:c r="H750" s="31" t="str">
        <x:v>zidovudine</x:v>
      </x:c>
      <x:c r="I750" s="37" t="str">
        <x:v>decompensated heart failure Renal function can deteriorate if potentially nephrotoxic drugs (e.g. aminoglycosides, cephalosporins, furosemide) are given simultaneously and also in patients whose renal function is already impaired. Renal function must be monitored carefully in such ca ses and if deterioration is found discontinuation of the treatment should be considered (see section 4.4). Animal studies have shown that when nimodipine and zidovudine are administered concomitantly, the AUC for zidovudine was increased, and the volume of distribution and clearance rate decreased. The clinical relevance of this interaction is unknown, but since the side-effect profile of zidovudine is known to be dose related, this interaction should be considered in patients receiving nimodipine and zidovudine concomitantly.</x:v>
      </x:c>
      <x:c r="J750" s="37" t="str">
        <x:v>https://drug.fda.moph.go.th/media.php?id=810423093272125440&amp;name=SMPC_Nimodipine_Solution for Infusion.pdf</x:v>
      </x:c>
    </x:row>
    <x:row r="751">
      <x:c r="A751" s="31" t="str">
        <x:v>norfloxacin</x:v>
      </x:c>
      <x:c r="B751" s="31" t="str">
        <x:v>sucralfate</x:v>
      </x:c>
      <x:c r="C751" s="31" t="str">
        <x:v>unclassified</x:v>
      </x:c>
      <x:c r="D751" s="31" t="str">
        <x:v>review</x:v>
      </x:c>
      <x:c r="E751" s="31" t="str">
        <x:v>r0329_smpc</x:v>
      </x:c>
      <x:c r="F751" s="31" t="str">
        <x:v>SMPC</x:v>
      </x:c>
      <x:c r="G751" s="31" t="n">
        <x:v>4</x:v>
      </x:c>
      <x:c r="H751" s="31" t="str">
        <x:v>norfloxacin</x:v>
      </x:c>
      <x:c r="I751" s="37" t="str">
        <x:v>1 Ref:Antepsin, HPRA, 03/2019 4 Concomitant administration of sucralfate may reduce the bioavailability of certain drugs including fluoroquinolones such as ciprofloxacin and norfloxacin, tetracycline, ketoconazole, sulpiride, digoxin, warfarin, phenytoin, theophylline, levothyroxine, qui nidine and H2 antagonists.The bioavailability of these agents may be restored by separating the administration of these agents from sucralfate by two hours.This interaction appears to be non systemic in origin presumably resulting from these agents being b ound by sucralfate in the gastrointestinal tract. Because of the potential of sucra</x:v>
      </x:c>
      <x:c r="J751" s="37" t="str">
        <x:v>https://drug.fda.moph.go.th/media.php?id=810463510696960000&amp;name=SMPC_Sucralfate_suspension.pdf</x:v>
      </x:c>
    </x:row>
    <x:row r="752">
      <x:c r="A752" s="31" t="str">
        <x:v>nortriptyline</x:v>
      </x:c>
      <x:c r="B752" s="31" t="str">
        <x:v>rifampicin</x:v>
      </x:c>
      <x:c r="C752" s="31" t="str">
        <x:v>unclassified</x:v>
      </x:c>
      <x:c r="D752" s="31" t="str">
        <x:v>review</x:v>
      </x:c>
      <x:c r="E752" s="31" t="str">
        <x:v>r0257_smpc</x:v>
      </x:c>
      <x:c r="F752" s="31" t="str">
        <x:v>SMPC</x:v>
      </x:c>
      <x:c r="G752" s="31" t="n">
        <x:v>10</x:v>
      </x:c>
      <x:c r="H752" s="31" t="str">
        <x:v>rifampicin</x:v>
      </x:c>
      <x:c r="I752" s="37" t="str">
        <x:v>0 inhibitors Cimetidine, methylphenidate and calcium -channel blockers (e.g. diltiazem and verapamil) may increase plasma levels of tricyclic antidepressants and accompanying toxicity. Tricyclic antidepressants and neuroleptics mutually inhibit the metabolism of each other; this may lead to a lowered convulsion threshold, and seizures. It may be necessary to adjust the dosage of these drugs. Cytochrome P450 inducers Oral contraceptives, rifampicin, phenytoin, barbiturates, carbamazepine and St. John’s Wort (Hypericum perforatum) may increase the metabolism of tricyclic antidepressants and result in lowered plasma levels of tricyclic antidepressants and reduced antidepressant response. In the presence of ethanol nortriptyline plasma concentrations were increased. The CYP3A4 and CYP1A2 isozymes metabolise nortriptyline to a lesser extent. However, fluvoxamine (strong CYP1A2 inhibitor</x:v>
      </x:c>
      <x:c r="J752" s="37" t="str">
        <x:v>https://drug.fda.moph.go.th/media.php?id=810424052261986304&amp;name=SMPC_Nortriptyline_Film-coated Tablet.pdf</x:v>
      </x:c>
    </x:row>
    <x:row r="753">
      <x:c r="A753" s="31" t="str">
        <x:v>nortriptyline</x:v>
      </x:c>
      <x:c r="B753" s="31" t="str">
        <x:v>thioridazine</x:v>
      </x:c>
      <x:c r="C753" s="31" t="str">
        <x:v>unclassified</x:v>
      </x:c>
      <x:c r="D753" s="31" t="str">
        <x:v>review</x:v>
      </x:c>
      <x:c r="E753" s="31" t="str">
        <x:v>r0257_smpc</x:v>
      </x:c>
      <x:c r="F753" s="31" t="str">
        <x:v>SMPC</x:v>
      </x:c>
      <x:c r="G753" s="31" t="n">
        <x:v>9</x:v>
      </x:c>
      <x:c r="H753" s="31" t="str">
        <x:v>thioridazine</x:v>
      </x:c>
      <x:c r="I753" s="37" t="str">
        <x:v>1 Ref:Nortriptyline 50 mg film-coated tablet, MHRA, 27/04/2022 9 Thioridazine: Co -administration of nortriptyline and thioridazine (CYP2D6 substrate) should be avoided due to inhibition of thioridazine metabolism and consequently increased risk of cardiac side effects. Tramadol: Concomitant use of tramadol (a CYP2D6 substrate) and tricyclic antidepressants (TCAs), such as nortriptyline increases the risk for seizures and serotonin syndrome. Additionally, this combination can inhibit the metabolism of tramadol to th</x:v>
      </x:c>
      <x:c r="J753" s="37" t="str">
        <x:v>https://drug.fda.moph.go.th/media.php?id=810424052261986304&amp;name=SMPC_Nortriptyline_Film-coated Tablet.pdf</x:v>
      </x:c>
    </x:row>
    <x:row r="754">
      <x:c r="A754" s="31" t="str">
        <x:v>nortriptyline</x:v>
      </x:c>
      <x:c r="B754" s="31" t="str">
        <x:v>tramadol</x:v>
      </x:c>
      <x:c r="C754" s="31" t="str">
        <x:v>unclassified</x:v>
      </x:c>
      <x:c r="D754" s="31" t="str">
        <x:v>review</x:v>
      </x:c>
      <x:c r="E754" s="31" t="str">
        <x:v>r0257_smpc</x:v>
      </x:c>
      <x:c r="F754" s="31" t="str">
        <x:v>SMPC</x:v>
      </x:c>
      <x:c r="G754" s="31" t="n">
        <x:v>9</x:v>
      </x:c>
      <x:c r="H754" s="31" t="str">
        <x:v>tramadol</x:v>
      </x:c>
      <x:c r="I754" s="37" t="str">
        <x:v>1 Ref:Nortriptyline 50 mg film-coated tablet, MHRA, 27/04/2022 9 Thioridazine: Co -administration of nortriptyline and thioridazine (CYP2D6 substrate) should be avoided due to inhibition of thioridazine metabolism and consequently increased risk of cardiac side effects. Tramadol: Concomitant use of tramadol (a CYP2D6 substrate) and tricyclic antidepressants (TCAs), such as nortriptyline increases the risk for seizures and serotonin syndrome. Additionally, this combination can inhibit the metabolism of tramadol to the active metabolite and thereby increasing tramadol concentrations potentially causing opioid toxicity. Antimycotics such as fluconazole and terbinafine raise the serum levels of tricyclic antidepressan</x:v>
      </x:c>
      <x:c r="J754" s="37" t="str">
        <x:v>https://drug.fda.moph.go.th/media.php?id=810424052261986304&amp;name=SMPC_Nortriptyline_Film-coated Tablet.pdf</x:v>
      </x:c>
    </x:row>
    <x:row r="755">
      <x:c r="A755" s="31" t="str">
        <x:v>ofloxacin</x:v>
      </x:c>
      <x:c r="B755" s="31" t="str">
        <x:v>sucralfate</x:v>
      </x:c>
      <x:c r="C755" s="31" t="str">
        <x:v>moderate</x:v>
      </x:c>
      <x:c r="D755" s="31" t="str">
        <x:v>eligible</x:v>
      </x:c>
      <x:c r="E755" s="31" t="str">
        <x:v>r0260_smpc</x:v>
      </x:c>
      <x:c r="F755" s="31" t="str">
        <x:v>SMPC</x:v>
      </x:c>
      <x:c r="G755" s="31" t="n">
        <x:v>19</x:v>
      </x:c>
      <x:c r="H755" s="31" t="str">
        <x:v>sucralfate</x:v>
      </x:c>
      <x:c r="I755" s="37" t="str">
        <x:v>ults. It may be necessary to confirm positive opiate or porphyrin screens by more specific methods. Cross-resistance with various quinolones has been shown. Vision disorders If vision becomes impaired or any effects on the eyes are experienced, an ophthalmologist should be consulted immediately. Excipient with known effect &lt;REGARDING THE APPROV AL&gt; 4.5. Interaction with other medicinal products and other forms of interaction Antacids, Sucralfate, Metal Cations As with other antibiotics, ofloxacin resorption may decrease if taken concomitantly with antacids containing aluminium (including sucralfate) and magnesium hydroxides, aluminium phosphate, zinc, iron and didanosine chewable/buffered tablets. Therefore, ofloxacin should be taken 2 hours before such preparations.</x:v>
      </x:c>
      <x:c r="J755" s="37" t="str">
        <x:v>https://drug.fda.moph.go.th/media.php?id=810425338315284480&amp;name=SMPC_Ofloxacin_Film-coated Tablet.pdf</x:v>
      </x:c>
    </x:row>
    <x:row r="756">
      <x:c r="A756" s="31" t="str">
        <x:v>ofloxacin</x:v>
      </x:c>
      <x:c r="B756" s="31" t="str">
        <x:v>sucralfate</x:v>
      </x:c>
      <x:c r="C756" s="31" t="str">
        <x:v>moderate</x:v>
      </x:c>
      <x:c r="D756" s="31" t="str">
        <x:v>eligible</x:v>
      </x:c>
      <x:c r="E756" s="31" t="str">
        <x:v>r0261_smpc</x:v>
      </x:c>
      <x:c r="F756" s="31" t="str">
        <x:v>SMPC</x:v>
      </x:c>
      <x:c r="G756" s="31" t="n">
        <x:v>14</x:v>
      </x:c>
      <x:c r="H756" s="31" t="str">
        <x:v>sucralfate</x:v>
      </x:c>
      <x:c r="I756" s="37" t="str">
        <x:v>Excipient information &lt;REGARDING THE APPROVAL&gt; 4.5. Interaction with other medicinal products and other forms of interaction Drugs known to prolong QT interval Ofloxacin, like other fluoroquinolones, should be used with caution in patients receiving drugs known to prolong the QT interval (e.g. Class IA and III anti -arrhythmics, tricyclic antidepressants, macrolides, antipsychotics) (See section 4.4 QT interval prolongation). Antacids, Sucralfate, Metal Cations Co-administered magnesium/aluminium antacids, sucralfate, zinc or iron preparations and didanosine chewable/buffered tablets can reduce absorption of ofloxacin. Therefore, ofloxacin should be taken 2 hours before such preparations. Prolongation of bleeding time has been reported during concomitant administration of Ofloxacin and anticoagulants. Theophylline, fenbufen or similar non -steroidal anti-inflammatory drugs No ph</x:v>
      </x:c>
      <x:c r="J756" s="37" t="str">
        <x:v>https://drug.fda.moph.go.th/media.php?id=810425581312286720&amp;name=SMPC_Ofloxacin_Tablet.pdf</x:v>
      </x:c>
    </x:row>
    <x:row r="757">
      <x:c r="A757" s="31" t="str">
        <x:v>ofloxacin</x:v>
      </x:c>
      <x:c r="B757" s="31" t="str">
        <x:v>teicoplanin</x:v>
      </x:c>
      <x:c r="C757" s="31" t="str">
        <x:v>unclassified</x:v>
      </x:c>
      <x:c r="D757" s="31" t="str">
        <x:v>review</x:v>
      </x:c>
      <x:c r="E757" s="31" t="str">
        <x:v>r0260_smpc</x:v>
      </x:c>
      <x:c r="F757" s="31" t="str">
        <x:v>SMPC</x:v>
      </x:c>
      <x:c r="G757" s="31" t="n">
        <x:v>13</x:v>
      </x:c>
      <x:c r="H757" s="31" t="str">
        <x:v>teicoplanin</x:v>
      </x:c>
      <x:c r="I757" s="37" t="str">
        <x:v>severe form of which is pseudomembranous colitis (see section 4.8). It is therefore important to consider this diagnosis in patients who develop serious d i a r r h o e a d u r i n g o r a f t e r t r e a t m e nt w i t h o f l o x a c i n . I f pseudomembraneous colitis is suspected, treatment with ofloxacin should be discontinued immediately. Specific targeted antibiotic therapy must be started without delay (e.g. oral vancomycin, oral teicoplanin or metronidazole). Products that inhibit peristalsis are contraindicated in this clinical situation . Patients predisposed to seizures Quinolones may lower the seizure threshold and may trigger seizures. Ofloxacin is contraindicated in patients with a history of epilepsy (see section 4.3) and, as with other quinolones, ofloxacin should be used with extreme caution in patients predisposed to seizures. Patients with a known predisposition t</x:v>
      </x:c>
      <x:c r="J757" s="37" t="str">
        <x:v>https://drug.fda.moph.go.th/media.php?id=810425338315284480&amp;name=SMPC_Ofloxacin_Film-coated Tablet.pdf</x:v>
      </x:c>
    </x:row>
    <x:row r="758">
      <x:c r="A758" s="31" t="str">
        <x:v>ofloxacin</x:v>
      </x:c>
      <x:c r="B758" s="31" t="str">
        <x:v>theophylline</x:v>
      </x:c>
      <x:c r="C758" s="31" t="str">
        <x:v>unclassified</x:v>
      </x:c>
      <x:c r="D758" s="31" t="str">
        <x:v>review</x:v>
      </x:c>
      <x:c r="E758" s="31" t="str">
        <x:v>r0260_smpc</x:v>
      </x:c>
      <x:c r="F758" s="31" t="str">
        <x:v>SMPC</x:v>
      </x:c>
      <x:c r="G758" s="31" t="n">
        <x:v>13</x:v>
      </x:c>
      <x:c r="H758" s="31" t="str">
        <x:v>theophylline</x:v>
      </x:c>
      <x:c r="I758" s="37" t="str">
        <x:v>nts with a history of epilepsy (see section 4.3) and, as with other quinolones, ofloxacin should be used with extreme caution in patients predisposed to seizures. Patients with a known predisposition to seizures may include those with pre-existing central nervous system lesions, concomitant treatment with fenbufen and similar non -steroidal antiinflammatory drugs (NSAIDs), or with drugs which lower the cerebral seizu re threshold, such as theophylline (see section 4.5 interactions).</x:v>
      </x:c>
      <x:c r="J758" s="37" t="str">
        <x:v>https://drug.fda.moph.go.th/media.php?id=810425338315284480&amp;name=SMPC_Ofloxacin_Film-coated Tablet.pdf</x:v>
      </x:c>
    </x:row>
    <x:row r="759">
      <x:c r="A759" s="31" t="str">
        <x:v>ofloxacin</x:v>
      </x:c>
      <x:c r="B759" s="31" t="str">
        <x:v>theophylline</x:v>
      </x:c>
      <x:c r="C759" s="31" t="str">
        <x:v>unclassified</x:v>
      </x:c>
      <x:c r="D759" s="31" t="str">
        <x:v>review</x:v>
      </x:c>
      <x:c r="E759" s="31" t="str">
        <x:v>r0260_smpc</x:v>
      </x:c>
      <x:c r="F759" s="31" t="str">
        <x:v>SMPC</x:v>
      </x:c>
      <x:c r="G759" s="31" t="n">
        <x:v>20</x:v>
      </x:c>
      <x:c r="H759" s="31" t="str">
        <x:v>theophylline</x:v>
      </x:c>
      <x:c r="I759" s="37" t="str">
        <x:v>Theophylline, fenbufen or similar non -steroidal anti -inflammatory drugs No pharmacokinetic interactions of ofloxacin were found with theophylline in a clinical study. However, a pronounced lowering of the cerebral seizure threshold may occur when quinolones are given concurrently with theophylline, nonsteroidal anti -inflammato ry drugs, or other agents, which lower the seizure threshold. However, ofloxacin does not interfere with theophylline metab</x:v>
      </x:c>
      <x:c r="J759" s="37" t="str">
        <x:v>https://drug.fda.moph.go.th/media.php?id=810425338315284480&amp;name=SMPC_Ofloxacin_Film-coated Tablet.pdf</x:v>
      </x:c>
    </x:row>
    <x:row r="760">
      <x:c r="A760" s="31" t="str">
        <x:v>ofloxacin</x:v>
      </x:c>
      <x:c r="B760" s="31" t="str">
        <x:v>theophylline</x:v>
      </x:c>
      <x:c r="C760" s="31" t="str">
        <x:v>unclassified</x:v>
      </x:c>
      <x:c r="D760" s="31" t="str">
        <x:v>review</x:v>
      </x:c>
      <x:c r="E760" s="31" t="str">
        <x:v>r0260_smpc</x:v>
      </x:c>
      <x:c r="F760" s="31" t="str">
        <x:v>SMPC</x:v>
      </x:c>
      <x:c r="G760" s="31" t="n">
        <x:v>34</x:v>
      </x:c>
      <x:c r="H760" s="31" t="str">
        <x:v>theophylline</x:v>
      </x:c>
      <x:c r="I760" s="37" t="str">
        <x:v>le in glucuronidised form. The pharmacokinetics of ofloxacin after intravenous infusion are very similar to those after oral doses. The plasma half -life is prolonged in persons with renal insufficiency; total and renal cleara nce decrease in accordance with the creatinine clearance. In renal insufficiency the dose should be reduced. No clinically relevant interactions were seen with food and no interaction was found between ofloxacin and theophylline. 5.3. Preclinical Safety Data Preclinical effects in conventional studies of safety pharmacology, acute toxicity, repeated dose toxicity, reproductive studies were observed only at exposures considered sufficiently in excess of the maximum human exposure indicating little relevance to clinical use. Joint toxicity was observed at exposure in the human therapeutic range in juvenile rats and dogs. Ofloxacin exhibits a neurotoxic potential an</x:v>
      </x:c>
      <x:c r="J760" s="37" t="str">
        <x:v>https://drug.fda.moph.go.th/media.php?id=810425338315284480&amp;name=SMPC_Ofloxacin_Film-coated Tablet.pdf</x:v>
      </x:c>
    </x:row>
    <x:row r="761">
      <x:c r="A761" s="31" t="str">
        <x:v>ofloxacin</x:v>
      </x:c>
      <x:c r="B761" s="31" t="str">
        <x:v>theophylline</x:v>
      </x:c>
      <x:c r="C761" s="31" t="str">
        <x:v>unclassified</x:v>
      </x:c>
      <x:c r="D761" s="31" t="str">
        <x:v>review</x:v>
      </x:c>
      <x:c r="E761" s="31" t="str">
        <x:v>r0261_smpc</x:v>
      </x:c>
      <x:c r="F761" s="31" t="str">
        <x:v>SMPC</x:v>
      </x:c>
      <x:c r="G761" s="31" t="n">
        <x:v>9</x:v>
      </x:c>
      <x:c r="H761" s="31" t="str">
        <x:v>theophylline</x:v>
      </x:c>
      <x:c r="I761" s="37" t="str">
        <x:v>1 Ref: Ofloxacin, MHRA, 21/02/2024 9 quinolones, ofloxacin should be used with extreme caution in patients predisposed to seizures. Patients with a known predisposition to seizures may include those with pre-existing central nervous system lesions, concomitant treatment with fenbufen and similar non -steroidal anti-inflammatory drugs (NSAIDs) or with drugs which lower the cerebral seizu re threshold, such as theophylline (see section 4.5: Interactions). In case of convulsive seizures, treatment with ofloxacin should be discontinued (see section 4.5). Tendinitis and tendon rupture Tendinitis and tendon rupture (especially but not limited to Achilles tendon), sometimes bilateral, may occur as early as within 48 hours of starting treatment with quinolones and fluoroquinolones and have been reported to occur even up to several months a fter discontinuation of</x:v>
      </x:c>
      <x:c r="J761" s="37" t="str">
        <x:v>https://drug.fda.moph.go.th/media.php?id=810425581312286720&amp;name=SMPC_Ofloxacin_Tablet.pdf</x:v>
      </x:c>
    </x:row>
    <x:row r="762">
      <x:c r="A762" s="31" t="str">
        <x:v>ofloxacin</x:v>
      </x:c>
      <x:c r="B762" s="31" t="str">
        <x:v>theophylline</x:v>
      </x:c>
      <x:c r="C762" s="31" t="str">
        <x:v>unclassified</x:v>
      </x:c>
      <x:c r="D762" s="31" t="str">
        <x:v>review</x:v>
      </x:c>
      <x:c r="E762" s="31" t="str">
        <x:v>r0261_smpc</x:v>
      </x:c>
      <x:c r="F762" s="31" t="str">
        <x:v>SMPC</x:v>
      </x:c>
      <x:c r="G762" s="31" t="n">
        <x:v>14</x:v>
      </x:c>
      <x:c r="H762" s="31" t="str">
        <x:v>theophylline</x:v>
      </x:c>
      <x:c r="I762" s="37" t="str">
        <x:v>ntipsychotics) (See section 4.4 QT interval prolongation). Antacids, Sucralfate, Metal Cations Co-administered magnesium/aluminium antacids, sucralfate, zinc or iron preparations and didanosine chewable/buffered tablets can reduce absorption of ofloxacin. Therefore, ofloxacin should be taken 2 hours before such preparations. Prolongation of bleeding time has been reported during concomitant administration of Ofloxacin and anticoagulants. Theophylline, fenbufen or similar non -steroidal anti-inflammatory drugs No pharmacokinetic interactions of ofloxacin were found with theophylline in a clinical study. However, a pronounced lowering of the cerebral seizure threshold may occur when quinolones are given concurrently with theophylline, nonsteroidal anti -inflammatory drugs, or other agents, which lower the seizure threshold. In case of convulsive seizures, treatment with ofloxacin should</x:v>
      </x:c>
      <x:c r="J762" s="37" t="str">
        <x:v>https://drug.fda.moph.go.th/media.php?id=810425581312286720&amp;name=SMPC_Ofloxacin_Tablet.pdf</x:v>
      </x:c>
    </x:row>
    <x:row r="763">
      <x:c r="A763" s="31" t="str">
        <x:v>ofloxacin</x:v>
      </x:c>
      <x:c r="B763" s="31" t="str">
        <x:v>theophylline</x:v>
      </x:c>
      <x:c r="C763" s="31" t="str">
        <x:v>unclassified</x:v>
      </x:c>
      <x:c r="D763" s="31" t="str">
        <x:v>review</x:v>
      </x:c>
      <x:c r="E763" s="31" t="str">
        <x:v>r0261_smpc</x:v>
      </x:c>
      <x:c r="F763" s="31" t="str">
        <x:v>SMPC</x:v>
      </x:c>
      <x:c r="G763" s="31" t="n">
        <x:v>26</x:v>
      </x:c>
      <x:c r="H763" s="31" t="str">
        <x:v>theophylline</x:v>
      </x:c>
      <x:c r="I763" s="37" t="str">
        <x:v>1 Ref: Ofloxacin, MHRA, 21/02/2024 26 and renal clearance decrease in accordance with the creatinine clearance. In renal insufficiency the dose should be reduced. No clinically relevant interactions were seen with food and no interaction was found between ofloxacin and theophylline. 5.3. Preclinical safety data Preclinical effects in conventional studies of safety pharmacology, acute toxicity, repeated dose toxicity, reproductive studies were observed only at exposures considered sufficiently in excess of the maximum human exposure indicating little relevance to clinical use. Joint toxicity was observed at exposure in the human therapeutic range in juvenile rats and dogs. Ofloxacin exhibits a neurotoxic potential an</x:v>
      </x:c>
      <x:c r="J763" s="37" t="str">
        <x:v>https://drug.fda.moph.go.th/media.php?id=810425581312286720&amp;name=SMPC_Ofloxacin_Tablet.pdf</x:v>
      </x:c>
    </x:row>
    <x:row r="764">
      <x:c r="A764" s="31" t="str">
        <x:v>ofloxacin</x:v>
      </x:c>
      <x:c r="B764" s="31" t="str">
        <x:v>vancomycin</x:v>
      </x:c>
      <x:c r="C764" s="31" t="str">
        <x:v>unclassified</x:v>
      </x:c>
      <x:c r="D764" s="31" t="str">
        <x:v>review</x:v>
      </x:c>
      <x:c r="E764" s="31" t="str">
        <x:v>r0260_smpc</x:v>
      </x:c>
      <x:c r="F764" s="31" t="str">
        <x:v>SMPC</x:v>
      </x:c>
      <x:c r="G764" s="31" t="n">
        <x:v>13</x:v>
      </x:c>
      <x:c r="H764" s="31" t="str">
        <x:v>vancomycin</x:v>
      </x:c>
      <x:c r="I764" s="37" t="str">
        <x:v>atening, the most severe form of which is pseudomembranous colitis (see section 4.8). It is therefore important to consider this diagnosis in patients who develop serious d i a r r h o e a d u r i n g o r a f t e r t r e a t m e nt w i t h o f l o x a c i n . I f pseudomembraneous colitis is suspected, treatment with ofloxacin should be discontinued immediately. Specific targeted antibiotic therapy must be started without delay (e.g. oral vancomycin, oral teicoplanin or metronidazole). Products that inhibit peristalsis are contraindicated in this clinical situation . Patients predisposed to seizures Quinolones may lower the seizure threshold and may trigger seizures. Ofloxacin is contraindicated in patients with a history of epilepsy (see section 4.3) and, as with other quinolones, ofloxacin should be used with extreme caution in patients predisposed to seizures. Patients with a know</x:v>
      </x:c>
      <x:c r="J764" s="37" t="str">
        <x:v>https://drug.fda.moph.go.th/media.php?id=810425338315284480&amp;name=SMPC_Ofloxacin_Film-coated Tablet.pdf</x:v>
      </x:c>
    </x:row>
    <x:row r="765">
      <x:c r="A765" s="31" t="str">
        <x:v>ofloxacin</x:v>
      </x:c>
      <x:c r="B765" s="31" t="str">
        <x:v>zinc</x:v>
      </x:c>
      <x:c r="C765" s="31" t="str">
        <x:v>moderate</x:v>
      </x:c>
      <x:c r="D765" s="31" t="str">
        <x:v>eligible</x:v>
      </x:c>
      <x:c r="E765" s="31" t="str">
        <x:v>r0260_smpc</x:v>
      </x:c>
      <x:c r="F765" s="31" t="str">
        <x:v>SMPC</x:v>
      </x:c>
      <x:c r="G765" s="31" t="n">
        <x:v>19</x:v>
      </x:c>
      <x:c r="H765" s="31" t="str">
        <x:v>zinc</x:v>
      </x:c>
      <x:c r="I765" s="37" t="str">
        <x:v>ts on the eyes are experienced, an ophthalmologist should be consulted immediately. Excipient with known effect &lt;REGARDING THE APPROV AL&gt; 4.5. Interaction with other medicinal products and other forms of interaction Antacids, Sucralfate, Metal Cations As with other antibiotics, ofloxacin resorption may decrease if taken concomitantly with antacids containing aluminium (including sucralfate) and magnesium hydroxides, aluminium phosphate, zinc, iron and didanosine chewable/buffered tablets. Therefore, ofloxacin should be taken 2 hours before such preparations.</x:v>
      </x:c>
      <x:c r="J765" s="37" t="str">
        <x:v>https://drug.fda.moph.go.th/media.php?id=810425338315284480&amp;name=SMPC_Ofloxacin_Film-coated Tablet.pdf</x:v>
      </x:c>
    </x:row>
    <x:row r="766">
      <x:c r="A766" s="31" t="str">
        <x:v>ofloxacin</x:v>
      </x:c>
      <x:c r="B766" s="31" t="str">
        <x:v>zinc</x:v>
      </x:c>
      <x:c r="C766" s="31" t="str">
        <x:v>moderate</x:v>
      </x:c>
      <x:c r="D766" s="31" t="str">
        <x:v>eligible</x:v>
      </x:c>
      <x:c r="E766" s="31" t="str">
        <x:v>r0261_smpc</x:v>
      </x:c>
      <x:c r="F766" s="31" t="str">
        <x:v>SMPC</x:v>
      </x:c>
      <x:c r="G766" s="31" t="n">
        <x:v>14</x:v>
      </x:c>
      <x:c r="H766" s="31" t="str">
        <x:v>zinc</x:v>
      </x:c>
      <x:c r="I766" s="37" t="str">
        <x:v>al products and other forms of interaction Drugs known to prolong QT interval Ofloxacin, like other fluoroquinolones, should be used with caution in patients receiving drugs known to prolong the QT interval (e.g. Class IA and III anti -arrhythmics, tricyclic antidepressants, macrolides, antipsychotics) (See section 4.4 QT interval prolongation). Antacids, Sucralfate, Metal Cations Co-administered magnesium/aluminium antacids, sucralfate, zinc or iron preparations and didanosine chewable/buffered tablets can reduce absorption of ofloxacin. Therefore, ofloxacin should be taken 2 hours before such preparations. Prolongation of bleeding time has been reported during concomitant administration of Ofloxacin and anticoagulants. Theophylline, fenbufen or similar non -steroidal anti-inflammatory drugs No pharmacokinetic interactions of ofloxacin were found with theophylline in a clin</x:v>
      </x:c>
      <x:c r="J766" s="37" t="str">
        <x:v>https://drug.fda.moph.go.th/media.php?id=810425581312286720&amp;name=SMPC_Ofloxacin_Tablet.pdf</x:v>
      </x:c>
    </x:row>
    <x:row r="767">
      <x:c r="A767" s="31" t="str">
        <x:v>omeprazole</x:v>
      </x:c>
      <x:c r="B767" s="31" t="str">
        <x:v>rifampicin</x:v>
      </x:c>
      <x:c r="C767" s="31" t="str">
        <x:v>unclassified</x:v>
      </x:c>
      <x:c r="D767" s="31" t="str">
        <x:v>review</x:v>
      </x:c>
      <x:c r="E767" s="31" t="str">
        <x:v>r0262_smpc</x:v>
      </x:c>
      <x:c r="F767" s="31" t="str">
        <x:v>SMPC</x:v>
      </x:c>
      <x:c r="G767" s="31" t="n">
        <x:v>13</x:v>
      </x:c>
      <x:c r="H767" s="31" t="str">
        <x:v>rifampicin</x:v>
      </x:c>
      <x:c r="I767" s="37" t="str">
        <x:v>Concomitant voriconazole treatment resulted in more than doubling of the omeprazole exposure. As high doses of omeprazole have been well- tolerated adjustment of the omeprazole dose is not generally required. However, dose adjustment should be considered in patients with severe hepatic impairment and if long-term treatment is indicated. Inducers of CYP2C19 and/or CYP3A4 Active substances known to induce CYP2C19 or CYP3A4 or both (such as rifampicin and St John’s wort) may lead to decreased omeprazole serum levels by increasing omeprazole’s rate of metabolism. 4.6. Fertility, pregnancy and lactation Pregnancy Results from three prospective epidemiological studies (more than 1000 exposed outcomes) indicate no adverse effects of omeprazole on pregnancy or on the health of the foetus/newborn child. Omeprazole can be used during pregnancy. Breast-feeding Omeprazole is excreted in breas</x:v>
      </x:c>
      <x:c r="J767" s="37" t="str">
        <x:v>https://drug.fda.moph.go.th/media.php?id=810426319253938176&amp;name=SMPC_Omeprazole_Hard Gastro-resistant Capsule.pdf</x:v>
      </x:c>
    </x:row>
    <x:row r="768">
      <x:c r="A768" s="31" t="str">
        <x:v>omeprazole</x:v>
      </x:c>
      <x:c r="B768" s="31" t="str">
        <x:v>rifampicin</x:v>
      </x:c>
      <x:c r="C768" s="31" t="str">
        <x:v>unclassified</x:v>
      </x:c>
      <x:c r="D768" s="31" t="str">
        <x:v>review</x:v>
      </x:c>
      <x:c r="E768" s="31" t="str">
        <x:v>r0435_smpc</x:v>
      </x:c>
      <x:c r="F768" s="31" t="str">
        <x:v>SMPC</x:v>
      </x:c>
      <x:c r="G768" s="31" t="n">
        <x:v>9</x:v>
      </x:c>
      <x:c r="H768" s="31" t="str">
        <x:v>rifampicin</x:v>
      </x:c>
      <x:c r="I768" s="37" t="str">
        <x:v>. Concomitant voriconazole treatment resulted in more than doubling of the omeprazole exposure. As high doses of omeprazole have been well-tolerated adjustment of the omeprazole dose is not generally required. However, dose adjustment should be considered in patients with severe hepatic impairment and if long-term treatment is indicated. Inducers of CYP2C19 and/or CYP3A4 Active substances known to induce CYP2C19 or CYP3A4 or both (such as rifampicin and St John's wort) may lead to decreased omeprazole serum levels by increasing omeprazole's rate of metabolism. 4.6 Fertility, pregnancy and lactation Pregnancy Results from three prospective epidemiological studies (more than 1000 exposed outcomes) indicate no adverse effects of omeprazole on pregnancy or on the health of the foetus/newborn child. Omeprazole can be used during pregnancy. Breast-feeding</x:v>
      </x:c>
      <x:c r="J768" s="37" t="str">
        <x:v>https://drug.fda.moph.go.th/media.php?id=904966130538520576&amp;name=3. Ref SmPC_Omeprazole.pdf</x:v>
      </x:c>
    </x:row>
    <x:row r="769">
      <x:c r="A769" s="31" t="str">
        <x:v>paracetamol</x:v>
      </x:c>
      <x:c r="B769" s="31" t="str">
        <x:v>rifampicin</x:v>
      </x:c>
      <x:c r="C769" s="31" t="str">
        <x:v>unclassified</x:v>
      </x:c>
      <x:c r="D769" s="31" t="str">
        <x:v>review</x:v>
      </x:c>
      <x:c r="E769" s="31" t="str">
        <x:v>r0305_smpc</x:v>
      </x:c>
      <x:c r="F769" s="31" t="str">
        <x:v>SMPC</x:v>
      </x:c>
      <x:c r="G769" s="31" t="n">
        <x:v>13</x:v>
      </x:c>
      <x:c r="H769" s="31" t="str">
        <x:v>paracetamol</x:v>
      </x:c>
      <x:c r="I769" s="37" t="str">
        <x:v>1 Ref: Rifampicin, MHRA, 02/07/2024 13 Antacids: Concomitant antacid administration may reduce the absorption of rifampicin. Daily doses of rifampicin should be given at least 1 hour before the ingestion of antacids. Paracetamol: Concomitant use of paracetamol with rifampicin may increase the risk of hepatotoxicity. Other drug interactions with Rifampicin When the two drugs were taken concomitantly, decreased concentrations of atovaquone and increased concentrations of rifampicin were observed. 4.6. Fertility, pregnancy and lactation Pregnancy At very high doses in animals rifampicin has been shown to have teratogenic effects. There are no well controlled studi</x:v>
      </x:c>
      <x:c r="J769" s="37" t="str">
        <x:v>https://drug.fda.moph.go.th/media.php?id=810448559467012096&amp;name=SMPC_Rifampicin_Tablets.pdf</x:v>
      </x:c>
    </x:row>
    <x:row r="770">
      <x:c r="A770" s="31" t="str">
        <x:v>paracetamol</x:v>
      </x:c>
      <x:c r="B770" s="31" t="str">
        <x:v>tramadol</x:v>
      </x:c>
      <x:c r="C770" s="31" t="str">
        <x:v>unclassified</x:v>
      </x:c>
      <x:c r="D770" s="31" t="str">
        <x:v>review</x:v>
      </x:c>
      <x:c r="E770" s="31" t="str">
        <x:v>r0350_smpc</x:v>
      </x:c>
      <x:c r="F770" s="31" t="str">
        <x:v>SMPC</x:v>
      </x:c>
      <x:c r="G770" s="31" t="n">
        <x:v>15</x:v>
      </x:c>
      <x:c r="H770" s="31" t="str">
        <x:v>paracetamol</x:v>
      </x:c>
      <x:c r="I770" s="37" t="str">
        <x:v>ain treatment studied in those trials i ncluded pain after surgery (mainly abdominal), after surgical tooth extractions, due to fractures, burns and traumas as well as other painful conditions likely to require analgesic treatment for at least 7 days. At single doses of up to 2 mg/kg or multiple doses of up to 8 mg/kg per day (to a maximum of 400 mg per day) efficacy of tramadol was found to be superior to placebo, and superior or equal to paracetamol, nalbuphine, pethidine or low dose morphine. The con ducted trials confirmed the efficacy of tramadol. The safety profile of tramadol was similar in adult and paediatric patients older than 1 year (see section 4.2). 5.2. Pharmacokinetic properties Absorption More than 90% of tramadol is absorbed after oral administration. The mean absolute bioavailability is approximately 70 %, irrespective of the concomitant intake of food. The differen</x:v>
      </x:c>
      <x:c r="J770" s="37" t="str">
        <x:v>https://drug.fda.moph.go.th/media.php?id=810483663501402112&amp;name=SMPC_Tramadol_Capsules.pdf</x:v>
      </x:c>
    </x:row>
    <x:row r="771">
      <x:c r="A771" s="31" t="str">
        <x:v>perphenazine</x:v>
      </x:c>
      <x:c r="B771" s="31" t="str">
        <x:v>trazodone</x:v>
      </x:c>
      <x:c r="C771" s="31" t="str">
        <x:v>unclassified</x:v>
      </x:c>
      <x:c r="D771" s="31" t="str">
        <x:v>review</x:v>
      </x:c>
      <x:c r="E771" s="31" t="str">
        <x:v>r0352_smpc</x:v>
      </x:c>
      <x:c r="F771" s="31" t="str">
        <x:v>SMPC</x:v>
      </x:c>
      <x:c r="G771" s="31" t="n">
        <x:v>12</x:v>
      </x:c>
      <x:c r="H771" s="31" t="str">
        <x:v>perphenazine</x:v>
      </x:c>
      <x:c r="I771" s="37" t="str">
        <x:v>ly been reported. Although some clinicians do give both concurrently, use of &lt;GENERIC NAME&gt; with MAOIs, or within two weeks of stopping treatment with these compounds is not recommended. The giving of MAOIs within one week of stopping &lt;GENERIC NAME&gt; is also not recommended. Phenothiazines: Severe orthostatic hypotension has been observed in case of concomitant use of phenothiazines, like e.g. chlorpromazine, fluphenazine, levomepromazine, perphenazine. Serotonin syndrome: &lt;GENERIC NAME&gt; should be used cautiously when coadministered with: Buprenorphine/opioids, as the risk of serotonin syndrome, a potentially lifethreatening condition, is increased (see section 4.4). Other: Concomitant use of &lt;GENERIC NAME&gt; with drugs known to prolong the QT interval may increase the risk of ventricular arrhythmias, including torsade de pointes. Caution should be used when these drugs are co-administer</x:v>
      </x:c>
      <x:c r="J771" s="37" t="str">
        <x:v>https://drug.fda.moph.go.th/media.php?id=810484413367459840&amp;name=SMPC_Trazodone_Tablets.pdf</x:v>
      </x:c>
    </x:row>
    <x:row r="772">
      <x:c r="A772" s="31" t="str">
        <x:v>pimozide</x:v>
      </x:c>
      <x:c r="B772" s="31" t="str">
        <x:v>quinine</x:v>
      </x:c>
      <x:c r="C772" s="31" t="str">
        <x:v>unclassified</x:v>
      </x:c>
      <x:c r="D772" s="31" t="str">
        <x:v>review</x:v>
      </x:c>
      <x:c r="E772" s="31" t="str">
        <x:v>r0278_smpc</x:v>
      </x:c>
      <x:c r="F772" s="31" t="str">
        <x:v>SMPC</x:v>
      </x:c>
      <x:c r="G772" s="31" t="n">
        <x:v>10</x:v>
      </x:c>
      <x:c r="H772" s="31" t="str">
        <x:v>quinine</x:v>
      </x:c>
      <x:c r="I772" s="37" t="str">
        <x:v>antipsychotic medications (such as phenothiazines and sertindole ), certain antihistamines (such as terfenadine ), cisapride, bretylium and certain antimalarials such as quinine and mefloquine . This list is not comprehensive. There is an increased risk of extrapyramidal effects with anti -emetics such as metoclopramide. Avoid concomitant use with sibutramine due to an increased risk of CNS toxicity. Concomitant use with calcium channel blockers may result in an enhanced hypotensive effect. Concurrent treatment with neuroleptics should be kept to a minimum as they may predispose to the cardiotoxic effects of pi</x:v>
      </x:c>
      <x:c r="J772" s="37" t="str">
        <x:v>https://drug.fda.moph.go.th/media.php?id=810432738745262080&amp;name=SMPC_Pimozide_Tablet.pdf</x:v>
      </x:c>
    </x:row>
    <x:row r="773">
      <x:c r="A773" s="31" t="str">
        <x:v>pimozide</x:v>
      </x:c>
      <x:c r="B773" s="31" t="str">
        <x:v>thioridazine</x:v>
      </x:c>
      <x:c r="C773" s="31" t="str">
        <x:v>unclassified</x:v>
      </x:c>
      <x:c r="D773" s="31" t="str">
        <x:v>review</x:v>
      </x:c>
      <x:c r="E773" s="31" t="str">
        <x:v>r0278_smpc</x:v>
      </x:c>
      <x:c r="F773" s="31" t="str">
        <x:v>SMPC</x:v>
      </x:c>
      <x:c r="G773" s="31" t="n">
        <x:v>10</x:v>
      </x:c>
      <x:c r="H773" s="31" t="str">
        <x:v>thioridazine</x:v>
      </x:c>
      <x:c r="I773" s="37" t="str">
        <x:v>e. Avoid concomitant use with sibutramine due to an increased risk of CNS toxicity. Concomitant use with calcium channel blockers may result in an enhanced hypotensive effect. Concurrent treatment with neuroleptics should be kept to a minimum as they may predispose to the cardiotoxic effects of pimozide . Particular care should be exercised in patients who are using depot neuroleptics . Low potency neuroleptics such as chlorpromazine and thioridazine should not be used concomitantly with pimozide . Pimozide is metabolised mainly via the cytochrome P450 subtype 3A4 (CYP 3A4) enzyme system and, to a lesser extent, via the CYP 2D6 subtype . Concomitant use of pimozide with drugs know n to be inhibitors of cytochrome P450 CYP 3A4 or CYP 2D6 is contraindicated (see Section 4.3). In vitro data indicate that highly potent inhibitors of the CYP 3A4 enzyme system, such as azole antimycotics,</x:v>
      </x:c>
      <x:c r="J773" s="37" t="str">
        <x:v>https://drug.fda.moph.go.th/media.php?id=810432738745262080&amp;name=SMPC_Pimozide_Tablet.pdf</x:v>
      </x:c>
    </x:row>
    <x:row r="774">
      <x:c r="A774" s="31" t="str">
        <x:v>piroxicam</x:v>
      </x:c>
      <x:c r="B774" s="31" t="str">
        <x:v>tenoxicam</x:v>
      </x:c>
      <x:c r="C774" s="31" t="str">
        <x:v>unclassified</x:v>
      </x:c>
      <x:c r="D774" s="31" t="str">
        <x:v>review</x:v>
      </x:c>
      <x:c r="E774" s="31" t="str">
        <x:v>r0333_smpc</x:v>
      </x:c>
      <x:c r="F774" s="31" t="str">
        <x:v>SMPC</x:v>
      </x:c>
      <x:c r="G774" s="31" t="n">
        <x:v>19</x:v>
      </x:c>
      <x:c r="H774" s="31" t="str">
        <x:v>piroxicam</x:v>
      </x:c>
      <x:c r="I774" s="37" t="str">
        <x:v>cal efficacy of tenoxicam is proven in clinical studies for: Rheumatoid arthritis: It was shown that a dose of 20 or 40 mg once daily was effective and the effect was maintained for up to two years. Osteoarthritis: Tenoxicam is effective in the treatment of osteoarthritis. Anti-inflammatory and analgesic effects have been maintained for up to three years. Extra-articular disorders: Tenoxicam (20 mg once daily) was at least as effective as piroxicam (20 mg daily) and diclofenac (75 mg daily). Tenoxicam was better tolerated than diclofenac. 5.2. Pharmacokinetic properties Absorption Tenoxicam is long-acting; a single daily dose is effective. After oral administration, Tenoxicam is rapidly and completely absorbed as unchanged drug. Concomitant food reduces the rate, but not the extent, of absorption of Tenoxicam. Tenoxicam penetrates well into synovial fluid to give concentrations app</x:v>
      </x:c>
      <x:c r="J774" s="37" t="str">
        <x:v>https://drug.fda.moph.go.th/media.php?id=810466026549551104&amp;name=SMPC_Tenoxicam_Tablets.pdf</x:v>
      </x:c>
    </x:row>
    <x:row r="775">
      <x:c r="A775" s="31" t="str">
        <x:v>piroxicam</x:v>
      </x:c>
      <x:c r="B775" s="31" t="str">
        <x:v>tramadol</x:v>
      </x:c>
      <x:c r="C775" s="31" t="str">
        <x:v>unclassified</x:v>
      </x:c>
      <x:c r="D775" s="31" t="str">
        <x:v>review</x:v>
      </x:c>
      <x:c r="E775" s="31" t="str">
        <x:v>r0351_smpc</x:v>
      </x:c>
      <x:c r="F775" s="31" t="str">
        <x:v>SMPC</x:v>
      </x:c>
      <x:c r="G775" s="31" t="n">
        <x:v>19</x:v>
      </x:c>
      <x:c r="H775" s="31" t="str">
        <x:v>piroxicam</x:v>
      </x:c>
      <x:c r="I775" s="37" t="str">
        <x:v>s of all dosage groups (significant, but not dose-dependent). 6. PHARMACEUTICAL PARTICULARS 6.1. List of excipients &lt;REGARDING THE APPROVAL&gt; 6.2. Incompatibilities This medicinal product must not be mixed with other medicinal products except those mentioned in section 6.6. Precipitation will occur if tramadol hydrochloride injection is mixed in the same syringe with injections of diazepam, diclofenac sodium, indomethacin, midazolam and piroxicam. 6.3. Shelf life &lt;REGARDING THE APPROVAL&gt; 6.4. Special precautions for storage &lt;REGARDING THE APPROVAL&gt;</x:v>
      </x:c>
      <x:c r="J775" s="37" t="str">
        <x:v>https://drug.fda.moph.go.th/media.php?id=810484035766853632&amp;name=SMPC_Tramadol_solution for injection or infusion.pdf</x:v>
      </x:c>
    </x:row>
    <x:row r="776">
      <x:c r="A776" s="31" t="str">
        <x:v>propofol</x:v>
      </x:c>
      <x:c r="B776" s="31" t="str">
        <x:v>rifampicin</x:v>
      </x:c>
      <x:c r="C776" s="31" t="str">
        <x:v>unclassified</x:v>
      </x:c>
      <x:c r="D776" s="31" t="str">
        <x:v>review</x:v>
      </x:c>
      <x:c r="E776" s="31" t="str">
        <x:v>r0436_smpc</x:v>
      </x:c>
      <x:c r="F776" s="31" t="str">
        <x:v>SMPC</x:v>
      </x:c>
      <x:c r="G776" s="31" t="n">
        <x:v>15</x:v>
      </x:c>
      <x:c r="H776" s="31" t="str">
        <x:v>rifampicin</x:v>
      </x:c>
      <x:c r="I776" s="37" t="str">
        <x:v>on with spinal and epidural anaesthesia and with commonly used premedicants, neuromuscular blocking drugs, inhalational agents and analgesic agents; no pharmacological incompatibility has been encountered. Lower doses of Propofol Injection 1% may be required where general anaesthesia is used as an adjunct to regional anaesthetic techniques. Profound hypertension has been reported following anaesthetic with propofol in patients treated with rifampicin. The concurrent administration of other CNS depressants such as pre-medication drugs, inhalation agents, analgesic agents may add to the sedative, anaesthetic and cardiorespiratory depressant effects of Propofol Injection 1% (see Section 4.4). A need for lower propofol doses has been observed in patients taking valproate. When used concomitantly, a dose reduction of propofol may be considered. During maintenance of anesthesia or sedation,</x:v>
      </x:c>
      <x:c r="J776" s="37" t="str">
        <x:v>https://drug.fda.moph.go.th/media.php?id=904966130077147136&amp;name=4. Ref SmPC_PROPOFOL.pdf</x:v>
      </x:c>
    </x:row>
    <x:row r="777">
      <x:c r="A777" s="31" t="str">
        <x:v>propofol</x:v>
      </x:c>
      <x:c r="B777" s="31" t="str">
        <x:v>sodium_valproate</x:v>
      </x:c>
      <x:c r="C777" s="31" t="str">
        <x:v>unclassified</x:v>
      </x:c>
      <x:c r="D777" s="31" t="str">
        <x:v>review</x:v>
      </x:c>
      <x:c r="E777" s="31" t="str">
        <x:v>r0325_smpc</x:v>
      </x:c>
      <x:c r="F777" s="31" t="str">
        <x:v>SMPC</x:v>
      </x:c>
      <x:c r="G777" s="31" t="n">
        <x:v>16</x:v>
      </x:c>
      <x:c r="H777" s="31" t="str">
        <x:v>propofol</x:v>
      </x:c>
      <x:c r="I777" s="37" t="str">
        <x:v>clinical monitoring is recomme nded and dosages should be adjusted (lamotrigine dosage decreased) when appropriate. Felbamate Valproic acid may decrease the felbamate mean clearance by up to 16%. Rufinamide Valproic acid may lead to an increase in plasma levels of rufinamide. This increase is dependent on concentration of valproic acid. Caution should be exercised, in particular in children, as this effect is larger in this population. Propofol Valproic acid may lead to an increased blood level of propofol. When co-administered with valproate, a reduction of the dose of propofol should be considered. Zidovudine Sodium valproate may raise zidovudine plasma concentration leading to increased zidovudine toxicity. Nimodipine</x:v>
      </x:c>
      <x:c r="J777" s="37" t="str">
        <x:v>https://drug.fda.moph.go.th/media.php?id=810462806720782336&amp;name=SMPC_Sodium Valproate_Enteric-coated tablet.pdf</x:v>
      </x:c>
    </x:row>
    <x:row r="778">
      <x:c r="A778" s="31" t="str">
        <x:v>propranolol</x:v>
      </x:c>
      <x:c r="B778" s="31" t="str">
        <x:v>ranitidine</x:v>
      </x:c>
      <x:c r="C778" s="31" t="str">
        <x:v>unclassified</x:v>
      </x:c>
      <x:c r="D778" s="31" t="str">
        <x:v>review</x:v>
      </x:c>
      <x:c r="E778" s="31" t="str">
        <x:v>r0301_smpc</x:v>
      </x:c>
      <x:c r="F778" s="31" t="str">
        <x:v>SMPC</x:v>
      </x:c>
      <x:c r="G778" s="31" t="n">
        <x:v>7</x:v>
      </x:c>
      <x:c r="H778" s="31" t="str">
        <x:v>propranolol</x:v>
      </x:c>
      <x:c r="I778" s="37" t="str">
        <x:v>enal excretion of other drugs. The altered pharmacokinetics may necessitate dosage adjustment of the affected drug or discontinuation of treatment . Interactions occur by several mechanisms including: 1) Inhibition of cytochrome P450 -linked mixed function oxygenase system: Ranitidine at usual therapeutic doses does not potentiate the actions of drugs which are inactivated by this enzyme system such as diazepam, lidocaine, phenytoin, propranolol and theophylline.</x:v>
      </x:c>
      <x:c r="J778" s="37" t="str">
        <x:v>https://drug.fda.moph.go.th/media.php?id=810446254327865344&amp;name=SMPC_Ranitidine_Tablet.pdf</x:v>
      </x:c>
    </x:row>
    <x:row r="779">
      <x:c r="A779" s="31" t="str">
        <x:v>propranolol</x:v>
      </x:c>
      <x:c r="B779" s="31" t="str">
        <x:v>salbutamol</x:v>
      </x:c>
      <x:c r="C779" s="31" t="str">
        <x:v>unclassified</x:v>
      </x:c>
      <x:c r="D779" s="31" t="str">
        <x:v>review</x:v>
      </x:c>
      <x:c r="E779" s="31" t="str">
        <x:v>r0307_smpc</x:v>
      </x:c>
      <x:c r="F779" s="31" t="str">
        <x:v>SMPC</x:v>
      </x:c>
      <x:c r="G779" s="31" t="n">
        <x:v>4</x:v>
      </x:c>
      <x:c r="H779" s="31" t="str">
        <x:v>propranolol</x:v>
      </x:c>
      <x:c r="I779" s="37" t="str">
        <x:v>such as increased blood glucose levels. Diabetic patients may be unable to compensate for the increase in blood glucose and the development of ketoacidosis has been reported. Concurrent administration of corticosteroids can exaggerate this effect. Excipient information &lt;REGARDING THE APPROVAL&gt; 4.5. Interaction with other medicinal products and other forms of interaction &lt;GENERIC NAME&gt; syrup and non-selective beta-blocking drugs, such as propranolol, should not usually be prescribed together. 4.6. Fertility, pregnancy and lactation Pregnancy Administration of drugs during pregnancy should only be considered if the expected benefit to the mother is greater than any possible risk to the foetus. As with the majority of drugs, there is little published evidence of its safety in the early stages of human pregnancy, but in animal studies there was evidence of some harmful effects on the fo</x:v>
      </x:c>
      <x:c r="J779" s="37" t="str">
        <x:v>https://drug.fda.moph.go.th/media.php?id=810449076385619968&amp;name=SMPC_Salbutamol_Syrup.pdf</x:v>
      </x:c>
    </x:row>
    <x:row r="780">
      <x:c r="A780" s="31" t="str">
        <x:v>propranolol</x:v>
      </x:c>
      <x:c r="B780" s="31" t="str">
        <x:v>terbutaline</x:v>
      </x:c>
      <x:c r="C780" s="31" t="str">
        <x:v>unclassified</x:v>
      </x:c>
      <x:c r="D780" s="31" t="str">
        <x:v>review</x:v>
      </x:c>
      <x:c r="E780" s="31" t="str">
        <x:v>r0335_smpc</x:v>
      </x:c>
      <x:c r="F780" s="31" t="str">
        <x:v>SMPC</x:v>
      </x:c>
      <x:c r="G780" s="31" t="n">
        <x:v>8</x:v>
      </x:c>
      <x:c r="H780" s="31" t="str">
        <x:v>propranolol</x:v>
      </x:c>
      <x:c r="I780" s="37" t="str">
        <x:v>1 Ref: Bricanyl Injection, MHRA, 09/11/2022 8 Hyperthyroidism Terbutaline should only be administered cautiously to patients suffering from thyrotoxicosis after careful evaluation of the benefits and risks of treatment. Excipient information &lt;REGARDING THE APPROVAL&gt; 4.5. Interaction with other medicinal products and other forms of interaction Beta-blocking agents (including eye drops), especially the non-selective ones such as propranolol, may partially or totally inhibit the effect of beta-stimulants. Therefore, Terbutaline preparations and non -selective beta-blockers should not normally be administered concurrently. Terbutaline should be used with caution in patients receiving other sympathomimetics. Halogenated anaesthetics Owing to the additional antihypertensive effect, there is increased uterine inertia with risk of haemorrhage; in addition, serious ventricular rhy</x:v>
      </x:c>
      <x:c r="J780" s="37" t="str">
        <x:v>https://drug.fda.moph.go.th/media.php?id=810466986881589248&amp;name=SMPC_Terbutaline_Solution for injection or infusion.pdf</x:v>
      </x:c>
    </x:row>
    <x:row r="781">
      <x:c r="A781" s="31" t="str">
        <x:v>propranolol</x:v>
      </x:c>
      <x:c r="B781" s="31" t="str">
        <x:v>terbutaline</x:v>
      </x:c>
      <x:c r="C781" s="31" t="str">
        <x:v>unclassified</x:v>
      </x:c>
      <x:c r="D781" s="31" t="str">
        <x:v>review</x:v>
      </x:c>
      <x:c r="E781" s="31" t="str">
        <x:v>r0336_smpc</x:v>
      </x:c>
      <x:c r="F781" s="31" t="str">
        <x:v>SMPC</x:v>
      </x:c>
      <x:c r="G781" s="31" t="n">
        <x:v>3</x:v>
      </x:c>
      <x:c r="H781" s="31" t="str">
        <x:v>propranolol</x:v>
      </x:c>
      <x:c r="I781" s="37" t="str">
        <x:v>rapy. Consideration should be given to the requirements for additional therapy (including increased dosages of anti -inflammatory medication). Severe exacerbations of asthma should be treated as an emergency in the usual manner. Excipient information &lt;REGARDING THE APPROVAL&gt; 4.5. Interaction with other medicinal products and other forms of interaction Beta-blocking agents (including eye drops), especially the non-selective ones such as propranolol, may partially or totally inhibit the effect of beta-stimulants. Therefore, Terbutaline preparations and non -selective beta-blockers should not normally be administered concurrently. Terbutaline should be used with caution in patients receiving other sympathomimetics. Halogenated anaesthetics Halothane anaesthesia should be avoided during beta2 -agonists treatment, since it increases the risk of cardiac arrhythmias. Other halogenated an</x:v>
      </x:c>
      <x:c r="J781" s="37" t="str">
        <x:v>https://drug.fda.moph.go.th/media.php?id=810467535672713216&amp;name=SMPC_Terbutaline_Syrup.pdf</x:v>
      </x:c>
    </x:row>
    <x:row r="782">
      <x:c r="A782" s="31" t="str">
        <x:v>propylthiouracil</x:v>
      </x:c>
      <x:c r="B782" s="31" t="str">
        <x:v>theophylline</x:v>
      </x:c>
      <x:c r="C782" s="31" t="str">
        <x:v>unclassified</x:v>
      </x:c>
      <x:c r="D782" s="31" t="str">
        <x:v>review</x:v>
      </x:c>
      <x:c r="E782" s="31" t="str">
        <x:v>r0298_smpc</x:v>
      </x:c>
      <x:c r="F782" s="31" t="str">
        <x:v>SMPC</x:v>
      </x:c>
      <x:c r="G782" s="31" t="n">
        <x:v>4</x:v>
      </x:c>
      <x:c r="H782" s="31" t="str">
        <x:v>theophylline</x:v>
      </x:c>
      <x:c r="I782" s="37" t="str">
        <x:v>enzyme abnormalities develop during treatment with propylthiouracil the drug should be discontinued immediately (see section 4.8). Excipient information &lt;REGARDING THE APPROVAL&gt; 4.5. Interaction with other medicinal products and other forms of interaction The response of the thyroid gland to propylthiouracil may be impaired by a concurrent high iodine intake. Drug induced changes in thyroid status may affect the dosage requirements for theophylline and digitalis. The doses of digitalis and theophylline may need to be reduced as thyroid function returns to normal. 4.6. Fertility, pregnancy and lactation Women of childbearing potential Women of childbearing potential should be informed about the potential risks of propylthiouracil use during pregnancy. Pregnancy Hyperthyroidism in pregnant women should be adequately treated to prevent serious maternal and foetal complications. Prop</x:v>
      </x:c>
      <x:c r="J782" s="37" t="str">
        <x:v>https://drug.fda.moph.go.th/media.php?id=810444421324742656&amp;name=SMPC_Propylthiouracil_Tablet.pdf</x:v>
      </x:c>
    </x:row>
    <x:row r="783">
      <x:c r="A783" s="31" t="str">
        <x:v>pyrimethamine</x:v>
      </x:c>
      <x:c r="B783" s="31" t="str">
        <x:v>zidovudine</x:v>
      </x:c>
      <x:c r="C783" s="31" t="str">
        <x:v>unclassified</x:v>
      </x:c>
      <x:c r="D783" s="31" t="str">
        <x:v>review</x:v>
      </x:c>
      <x:c r="E783" s="31" t="str">
        <x:v>r0364_smpc</x:v>
      </x:c>
      <x:c r="F783" s="31" t="str">
        <x:v>SMPC</x:v>
      </x:c>
      <x:c r="G783" s="31" t="n">
        <x:v>10</x:v>
      </x:c>
      <x:c r="H783" s="31" t="str">
        <x:v>pyrimethamine</x:v>
      </x:c>
      <x:c r="I783" s="37" t="str">
        <x:v>1 Ref: Retrovir, MHRA, 02/09/2022 10 dapsone, pyrimethamine, co -trimoxazole, amphotericin, flucytosine, ganciclovir, interferon, vincristine, vinblastine and doxorubicin) may also increase the risk of adverse reactions to zidovudine. If concomitant therapy with any of these drugs is necessary then extra care should be taken in monitoring renal function and haematological parameters and, if required, the dos age of one or more agents should be reduced. Limited data from clinical trials do not indi</x:v>
      </x:c>
      <x:c r="J783" s="37" t="str">
        <x:v>https://drug.fda.moph.go.th/media.php?id=810494978483691520&amp;name=SMPC_Zidovudine_Capsules.pdf</x:v>
      </x:c>
    </x:row>
    <x:row r="784">
      <x:c r="A784" s="31" t="str">
        <x:v>quinine</x:v>
      </x:c>
      <x:c r="B784" s="31" t="str">
        <x:v>sodium_bicarbonate</x:v>
      </x:c>
      <x:c r="C784" s="31" t="str">
        <x:v>unclassified</x:v>
      </x:c>
      <x:c r="D784" s="31" t="str">
        <x:v>review</x:v>
      </x:c>
      <x:c r="E784" s="31" t="str">
        <x:v>r0300_smpc</x:v>
      </x:c>
      <x:c r="F784" s="31" t="str">
        <x:v>SMPC</x:v>
      </x:c>
      <x:c r="G784" s="31" t="n">
        <x:v>4</x:v>
      </x:c>
      <x:c r="H784" s="31" t="str">
        <x:v>sodium bicarbonate</x:v>
      </x:c>
      <x:c r="I784" s="37" t="str">
        <x:v>tic impairment The half-life of quinine is prolonged in hepatitis and moderate chronic liver disease. Use in the elderly No data available. Paediatric use See Section 4.2 Dose and Method of Administration, Paediatric. Effects on laboratory tests No data available. Excipient information &lt;REGARDING THE APPROVAL&gt; 4.5. Interaction with other medicinal products and other forms of interaction Urinary alkalinisers such as acetazolamide and sodium bicarbonate increases blood quinine levels by decreasing renal clearance of quinine. Urinary acidifiers such as ammonium chloride and some other drugs, decrease the pH of the urine and therefore increase the excretion of quinine, resulting in lower quinine blood levels. Cimetidine: If used concurrently, it may reduce the clearance of quinine.</x:v>
      </x:c>
      <x:c r="J784" s="37" t="str">
        <x:v>https://drug.fda.moph.go.th/media.php?id=810445665753767936&amp;name=SMPC_Quinine dihydrochloride_solutions for injections or infusions.pdf</x:v>
      </x:c>
    </x:row>
    <x:row r="785">
      <x:c r="A785" s="31" t="str">
        <x:v>ranitidine</x:v>
      </x:c>
      <x:c r="B785" s="31" t="str">
        <x:v>sucralfate</x:v>
      </x:c>
      <x:c r="C785" s="31" t="str">
        <x:v>unclassified</x:v>
      </x:c>
      <x:c r="D785" s="31" t="str">
        <x:v>review</x:v>
      </x:c>
      <x:c r="E785" s="31" t="str">
        <x:v>r0301_smpc</x:v>
      </x:c>
      <x:c r="F785" s="31" t="str">
        <x:v>SMPC</x:v>
      </x:c>
      <x:c r="G785" s="31" t="n">
        <x:v>8</x:v>
      </x:c>
      <x:c r="H785" s="31" t="str">
        <x:v>sucralfate</x:v>
      </x:c>
      <x:c r="I785" s="37" t="str">
        <x:v>rlotinib decreased erlotinib exposure [AUC] and maximum concentrations [Cmax] by 33% and 54%, respectively. However, when erlotinib was dosed in staggered manner 2 hours before or 10 hours after ranitidine 150 mg b.i.d., erlotinib exposure [AUC] and maximum concentrations [C max] decreased only by 15% and 17%, respectively. There is no evidence of an interaction between ranitidine and amoxicillin or metronidazole. If high doses (2 g) of sucralfate are co-administered with ranitidine the absorption of the latter may be reduced. This effect is not seen if sucralfate is taken after an interval of 2 hours.</x:v>
      </x:c>
      <x:c r="J785" s="37" t="str">
        <x:v>https://drug.fda.moph.go.th/media.php?id=810446254327865344&amp;name=SMPC_Ranitidine_Tablet.pdf</x:v>
      </x:c>
    </x:row>
    <x:row r="786">
      <x:c r="A786" s="31" t="str">
        <x:v>ranitidine</x:v>
      </x:c>
      <x:c r="B786" s="31" t="str">
        <x:v>theophylline</x:v>
      </x:c>
      <x:c r="C786" s="31" t="str">
        <x:v>unclassified</x:v>
      </x:c>
      <x:c r="D786" s="31" t="str">
        <x:v>review</x:v>
      </x:c>
      <x:c r="E786" s="31" t="str">
        <x:v>r0301_smpc</x:v>
      </x:c>
      <x:c r="F786" s="31" t="str">
        <x:v>SMPC</x:v>
      </x:c>
      <x:c r="G786" s="31" t="n">
        <x:v>7</x:v>
      </x:c>
      <x:c r="H786" s="31" t="str">
        <x:v>theophylline</x:v>
      </x:c>
      <x:c r="I786" s="37" t="str">
        <x:v>of other drugs. The altered pharmacokinetics may necessitate dosage adjustment of the affected drug or discontinuation of treatment . Interactions occur by several mechanisms including: 1) Inhibition of cytochrome P450 -linked mixed function oxygenase system: Ranitidine at usual therapeutic doses does not potentiate the actions of drugs which are inactivated by this enzyme system such as diazepam, lidocaine, phenytoin, propranolol and theophylline.</x:v>
      </x:c>
      <x:c r="J786" s="37" t="str">
        <x:v>https://drug.fda.moph.go.th/media.php?id=810446254327865344&amp;name=SMPC_Ranitidine_Tablet.pdf</x:v>
      </x:c>
    </x:row>
    <x:row r="787">
      <x:c r="A787" s="31" t="str">
        <x:v>retinol</x:v>
      </x:c>
      <x:c r="B787" s="31" t="str">
        <x:v>tretinoin</x:v>
      </x:c>
      <x:c r="C787" s="31" t="str">
        <x:v>unclassified</x:v>
      </x:c>
      <x:c r="D787" s="31" t="str">
        <x:v>review</x:v>
      </x:c>
      <x:c r="E787" s="31" t="str">
        <x:v>r0303_smpc</x:v>
      </x:c>
      <x:c r="F787" s="31" t="str">
        <x:v>SMPC</x:v>
      </x:c>
      <x:c r="G787" s="31" t="n">
        <x:v>4</x:v>
      </x:c>
      <x:c r="H787" s="31" t="str">
        <x:v>tretinoin</x:v>
      </x:c>
      <x:c r="I787" s="37" t="str">
        <x:v>deficiency is rare. Multiple vitamin deficiency is expected in any dietary deficiency . 4.5. Interaction with other medicinal products and other forms of interaction Absorption of vitamin A from the gastrointestinal tract may be reduced by the presence of neomycin, colestyramine, or liquid paraffin. There is an increased risk of hypervitaminosis A if vitamin A is coadministered with synthetic retinoids such as acitretin, isotretinoin and tretinoin. There is conflicting evidence regarding the effect of vitamin A on the response to measles vaccine. 4.6. Fertility, pregnancy and lactation High doses of Vitamin A should not be used in (possible) pregnancy, because of potential teratogenic effects.</x:v>
      </x:c>
      <x:c r="J787" s="37" t="str">
        <x:v>https://drug.fda.moph.go.th/media.php?id=810447473809170432&amp;name=SMPC_Retinol_Capsules.pdf</x:v>
      </x:c>
    </x:row>
    <x:row r="788">
      <x:c r="A788" s="31" t="str">
        <x:v>rifampicin</x:v>
      </x:c>
      <x:c r="B788" s="31" t="str">
        <x:v>sodium_bicarbonate</x:v>
      </x:c>
      <x:c r="C788" s="31" t="str">
        <x:v>unclassified</x:v>
      </x:c>
      <x:c r="D788" s="31" t="str">
        <x:v>review</x:v>
      </x:c>
      <x:c r="E788" s="31" t="str">
        <x:v>r0316_smpc</x:v>
      </x:c>
      <x:c r="F788" s="31" t="str">
        <x:v>SMPC</x:v>
      </x:c>
      <x:c r="G788" s="31" t="n">
        <x:v>3</x:v>
      </x:c>
      <x:c r="H788" s="31" t="str">
        <x:v>rifampicin</x:v>
      </x:c>
      <x:c r="I788" s="37" t="str">
        <x:v>recommended in children. 4.5. Interaction with other medicinal products and other forms of interaction Avoid in patients on salt restricted diets and in patients taking corticosteroids. Sodium bicarbonate increases the excretion of lithium. The excretion of aspirin and methotrexate is increased and quinidine and ephedrine reduced in alkaline urine. Antacids reduce the absorption of antibacterials (for example tetracyclines and rifampicin), antifungals (e.g. ketoconazole), dipyridamole, phenothiazines, chloroquine, phenytoin and penicillamine. 4.6. Fertility, pregnancy and lactation Pregnancy Animal studies are insufficient with respect to effects on pregnancy, embryonal fetal development, parturition and postnatal development. The potential risk for humans is unknown. Sodium bicarbonate should not be taken during pregnancy unless advised by a doctor to do so .</x:v>
      </x:c>
      <x:c r="J788" s="37" t="str">
        <x:v>https://drug.fda.moph.go.th/media.php?id=810454498920243200&amp;name=SMPC_Sodium Bicarbonate_oral solution.pdf</x:v>
      </x:c>
    </x:row>
    <x:row r="789">
      <x:c r="A789" s="31" t="str">
        <x:v>rifampicin</x:v>
      </x:c>
      <x:c r="B789" s="31" t="str">
        <x:v>sodium_valproate</x:v>
      </x:c>
      <x:c r="C789" s="31" t="str">
        <x:v>unclassified</x:v>
      </x:c>
      <x:c r="D789" s="31" t="str">
        <x:v>review</x:v>
      </x:c>
      <x:c r="E789" s="31" t="str">
        <x:v>r0325_smpc</x:v>
      </x:c>
      <x:c r="F789" s="31" t="str">
        <x:v>SMPC</x:v>
      </x:c>
      <x:c r="G789" s="31" t="n">
        <x:v>18</x:v>
      </x:c>
      <x:c r="H789" s="31" t="str">
        <x:v>rifampicin</x:v>
      </x:c>
      <x:c r="I789" s="37" t="str">
        <x:v>administered with carbapenem agents resulting in a 60 -100% decrease in valproic acid levels within two days, sometimes associated with convulsions. Due to the rapid onset and the extent of the decrease, co-administration of carbapenem agents in patients stabilised on valproic acid should be avoided (see section 4.4). If treatment with these antibiotics cannot be avoided, close monitoring of valproic acid blood levels should be performed. Rifampicin Rifampicin may decrease the valproic acid blood levels resulting in a lack of therapeutic effect. Therefore, valproate dosage adjustment may be necessary when it is co-administered with rifampicin. Protease inhibitors Protease inhibitors such as lopinavir and ritonavir decrease valproate plasma level when co-administered. Cholestyramine Cholestyramine may lead to a decrease in plasma level of valproate when co-administered. Oestrogen-c</x:v>
      </x:c>
      <x:c r="J789" s="37" t="str">
        <x:v>https://drug.fda.moph.go.th/media.php?id=810462806720782336&amp;name=SMPC_Sodium Valproate_Enteric-coated tablet.pdf</x:v>
      </x:c>
    </x:row>
    <x:row r="790">
      <x:c r="A790" s="31" t="str">
        <x:v>rifampicin</x:v>
      </x:c>
      <x:c r="B790" s="31" t="str">
        <x:v>tamoxifen</x:v>
      </x:c>
      <x:c r="C790" s="31" t="str">
        <x:v>unclassified</x:v>
      </x:c>
      <x:c r="D790" s="31" t="str">
        <x:v>review</x:v>
      </x:c>
      <x:c r="E790" s="31" t="str">
        <x:v>r0305_smpc</x:v>
      </x:c>
      <x:c r="F790" s="31" t="str">
        <x:v>SMPC</x:v>
      </x:c>
      <x:c r="G790" s="31" t="n">
        <x:v>10</x:v>
      </x:c>
      <x:c r="H790" s="31" t="str">
        <x:v>tamoxifen</x:v>
      </x:c>
      <x:c r="I790" s="37" t="str">
        <x:v>eractions against m any drugs and across many drug classes (Table 1). To maintain optimum therapeutic blood levels, dosages of drugs may require adjustment when starting or stopping concomitantly administered Rifampicin. Examples of drugs or drug classes affected by rifampicin: • Antiarrhythmics (e.g. disopyramide, mexiletine, quinidine, propafenone, tocainide) • Antiepileptics (e.g. phenytoin) • Hormone antagonist (anti -oestrogens e.g. tamoxifen, toremifene, gestinone) • Antipsychotics (e.g. haloperidol, aripiprazole) • Anticoagulants (e.g. coumarins) • Antivirals (e.g. saquinavir, indinavir, efavirenz, amprenavir, nelfinavir, atazanavir, lopinavir, nevirapine) • Barbiturates • Beta-blockers (e.g. bisoprolol, propanolol) • Anxiolytics and hypnotics (e.g. diazepam, benzodiazepines, zopiclone, zolpidem) • Calcium channel blockers (e.g. diltiazem, nifedipine, verapamil, nimodipi</x:v>
      </x:c>
      <x:c r="J790" s="37" t="str">
        <x:v>https://drug.fda.moph.go.th/media.php?id=810448559467012096&amp;name=SMPC_Rifampicin_Tablets.pdf</x:v>
      </x:c>
    </x:row>
    <x:row r="791">
      <x:c r="A791" s="31" t="str">
        <x:v>rifampicin</x:v>
      </x:c>
      <x:c r="B791" s="31" t="str">
        <x:v>tamoxifen</x:v>
      </x:c>
      <x:c r="C791" s="31" t="str">
        <x:v>unclassified</x:v>
      </x:c>
      <x:c r="D791" s="31" t="str">
        <x:v>review</x:v>
      </x:c>
      <x:c r="E791" s="31" t="str">
        <x:v>r0331_smpc</x:v>
      </x:c>
      <x:c r="F791" s="31" t="str">
        <x:v>SMPC</x:v>
      </x:c>
      <x:c r="G791" s="31" t="n">
        <x:v>9</x:v>
      </x:c>
      <x:c r="H791" s="31" t="str">
        <x:v>rifampicin</x:v>
      </x:c>
      <x:c r="I791" s="37" t="str">
        <x:v>ts occurring. (See also sections 4.4 and 4.8). Because of this increase in risk of VTE, thrombosis prophylaxis should be conside red for these patients for the period of concomitant chemotherapy. The use of tamoxifen in combination with anastrozole as adjuvant therapy has not shown improved efficacy compared with tamoxifen alone. As Tamoxifen is metabolised by cytochrome P450 3A4, care is required when co-administering with drugs, such as rifampicin, known to induce this enzyme as tamoxifen levels may be reduced. The clinical relevance of this reduction is unknown. Pharmacokinetic interaction with CYP2D6 inhibitors, showing a reduction in plasma level of an active tamoxifen metabolite, 4-hydroxy- N-desmethyltamoxifen (endoxifen), has been reported in the literature. Pharmacokinetic interaction with CYP2D6 inhibitors, showing a 65 - 75% reduction in plasma levels of one of the more acti</x:v>
      </x:c>
      <x:c r="J791" s="37" t="str">
        <x:v>https://drug.fda.moph.go.th/media.php?id=810464618991460352&amp;name=SMPC_Tamoxifen_Tablets.pdf</x:v>
      </x:c>
    </x:row>
    <x:row r="792">
      <x:c r="A792" s="31" t="str">
        <x:v>rifampicin</x:v>
      </x:c>
      <x:c r="B792" s="31" t="str">
        <x:v>triamcinolone_acetonide</x:v>
      </x:c>
      <x:c r="C792" s="31" t="str">
        <x:v>unclassified</x:v>
      </x:c>
      <x:c r="D792" s="31" t="str">
        <x:v>review</x:v>
      </x:c>
      <x:c r="E792" s="31" t="str">
        <x:v>r0355_smpc</x:v>
      </x:c>
      <x:c r="F792" s="31" t="str">
        <x:v>SMPC</x:v>
      </x:c>
      <x:c r="G792" s="31" t="n">
        <x:v>9</x:v>
      </x:c>
      <x:c r="H792" s="31" t="str">
        <x:v>rifampicin</x:v>
      </x:c>
      <x:c r="I792" s="37" t="str">
        <x:v>azid serum concentrations may be decreased. Cyclosporin: Monitor for evidence of increased toxicity of cyclosporin when the two are used concurrently. Digitalis glycosides: Co-administration may enhance the possibility of digitalis toxicity. Oestrogens, including oral contraceptives: Corticosteroid half -life and concentration may be increased and clearance decreased. Hepatic Enzyme Inducers (e.g. barbiturates, phenytoin, carbamazepine, rifampicin, primidone, aminoglutethimide): There may be increased metabolic clearance of Kenalog. Patients should be carefully observed for possible diminished effect of steroid, and the dosage should be adjusted accordingly. Human growth hormone: The growth -promoting effect may be inhibited.</x:v>
      </x:c>
      <x:c r="J792" s="37" t="str">
        <x:v>https://drug.fda.moph.go.th/media.php?id=810493020255428608&amp;name=SMPC_Triamcinolone_Suspensions for injections or infusions.pdf</x:v>
      </x:c>
    </x:row>
    <x:row r="793">
      <x:c r="A793" s="31" t="str">
        <x:v>rifampicin</x:v>
      </x:c>
      <x:c r="B793" s="31" t="str">
        <x:v>triamcinolone_acetonide</x:v>
      </x:c>
      <x:c r="C793" s="31" t="str">
        <x:v>unclassified</x:v>
      </x:c>
      <x:c r="D793" s="31" t="str">
        <x:v>review</x:v>
      </x:c>
      <x:c r="E793" s="31" t="str">
        <x:v>r0356_smpc</x:v>
      </x:c>
      <x:c r="F793" s="31" t="str">
        <x:v>SMPC</x:v>
      </x:c>
      <x:c r="G793" s="31" t="n">
        <x:v>9</x:v>
      </x:c>
      <x:c r="H793" s="31" t="str">
        <x:v>rifampicin</x:v>
      </x:c>
      <x:c r="I793" s="37" t="str">
        <x:v>azid serum concentrations may be decreased. Cyclosporin: Monitor for evidence of increased toxicity of cyclosporin when the two are used concurrently. Digitalis glycosides: Co-administration may enhance the possibility of digitalis toxicity. Oestrogens, including oral contraceptives: Corticosteroid half -life and concentration may be increased and clearance decreased. Hepatic Enzyme Inducers (e.g. barbiturates, phenytoin, carbamazepine, rifampicin, primidone, aminoglutethimide): There may be increased metabolic clearance of Kenalog. Patients should be carefully observed for possible diminished effect of steroid, and the dosage should be adjusted accordingly. Human growth hormone: The growth -promoting effect may be inhibited.</x:v>
      </x:c>
      <x:c r="J793" s="37" t="str">
        <x:v>https://drug.fda.moph.go.th/media.php?id=810493020255428608&amp;name=SMPC_Triamcinolone_Suspensions for injections or infusions.pdf</x:v>
      </x:c>
    </x:row>
    <x:row r="794">
      <x:c r="A794" s="31" t="str">
        <x:v>rifampicin</x:v>
      </x:c>
      <x:c r="B794" s="31" t="str">
        <x:v>trimethoprim_sulfamethoxazole</x:v>
      </x:c>
      <x:c r="C794" s="31" t="str">
        <x:v>unclassified</x:v>
      </x:c>
      <x:c r="D794" s="31" t="str">
        <x:v>review</x:v>
      </x:c>
      <x:c r="E794" s="31" t="str">
        <x:v>r0358_smpc</x:v>
      </x:c>
      <x:c r="F794" s="31" t="str">
        <x:v>SMPC</x:v>
      </x:c>
      <x:c r="G794" s="31" t="n">
        <x:v>9</x:v>
      </x:c>
      <x:c r="H794" s="31" t="str">
        <x:v>rifampicin</x:v>
      </x:c>
      <x:c r="I794" s="37" t="str">
        <x:v>mains unchanged. Zidovudine: in some situations, concomitant treatment with zidovudine may increase the risk of haematological adverse reactions to co - trimoxazole. If concomitant treatment is necessary, consideration should be given to monitoring of haematological parameters. Cyclosporin: reversible deterioration in renal function has been observed in patients treated with co -trimoxazole and ciclosporin following renal transplantation. Rifampicin: concurrent use of rifampicin and Co-Trimoxazole results in a shortening of the plasma half -life of trimethoprim after a period of about one week. This is not thought to be of clinical significance. When trimethoprim is administered simultaneously with drugs that form cations at physiological pH, and are also partly excreted by active renal secretion (e.g. procainamide, amantadine), there is the possibility of competitive inhibition of th</x:v>
      </x:c>
      <x:c r="J794" s="37" t="str">
        <x:v>https://drug.fda.moph.go.th/media.php?id=810494133834752000&amp;name=SMPC_Trimethoprim + Sulfamethoxazole_Solution for Infusion.pdf</x:v>
      </x:c>
    </x:row>
    <x:row r="795">
      <x:c r="A795" s="31" t="str">
        <x:v>rifampicin</x:v>
      </x:c>
      <x:c r="B795" s="31" t="str">
        <x:v>zidovudine</x:v>
      </x:c>
      <x:c r="C795" s="31" t="str">
        <x:v>unclassified</x:v>
      </x:c>
      <x:c r="D795" s="31" t="str">
        <x:v>review</x:v>
      </x:c>
      <x:c r="E795" s="31" t="str">
        <x:v>r0364_smpc</x:v>
      </x:c>
      <x:c r="F795" s="31" t="str">
        <x:v>SMPC</x:v>
      </x:c>
      <x:c r="G795" s="31" t="n">
        <x:v>4</x:v>
      </x:c>
      <x:c r="H795" s="31" t="str">
        <x:v>rifampicin</x:v>
      </x:c>
      <x:c r="I795" s="37" t="str">
        <x:v>n infants with hyperbilirubinaemia requiring treatment other than phototherapy, or with increased transaminase levels of over five times the upper limit of normal. 4.4. Special warnings and precautions for use Zidovudine is not a cure for HIV infection or AIDS. Patients receiving Zidovudine or any other antiretroviral therapy may continue to develop opportunistic infections and other complications of HIV infection. The concomitant use of rifampicin or stavudine with zidovudine should be avoided (see section 4.5).</x:v>
      </x:c>
      <x:c r="J795" s="37" t="str">
        <x:v>https://drug.fda.moph.go.th/media.php?id=810494978483691520&amp;name=SMPC_Zidovudine_Capsules.pdf</x:v>
      </x:c>
    </x:row>
    <x:row r="796">
      <x:c r="A796" s="31" t="str">
        <x:v>rifampicin</x:v>
      </x:c>
      <x:c r="B796" s="31" t="str">
        <x:v>zidovudine</x:v>
      </x:c>
      <x:c r="C796" s="31" t="str">
        <x:v>moderate</x:v>
      </x:c>
      <x:c r="D796" s="31" t="str">
        <x:v>eligible</x:v>
      </x:c>
      <x:c r="E796" s="31" t="str">
        <x:v>r0364_smpc</x:v>
      </x:c>
      <x:c r="F796" s="31" t="str">
        <x:v>SMPC</x:v>
      </x:c>
      <x:c r="G796" s="31" t="n">
        <x:v>8</x:v>
      </x:c>
      <x:c r="H796" s="31" t="str">
        <x:v>rifampicin</x:v>
      </x:c>
      <x:c r="I796" s="37" t="str">
        <x:v>hey experience joint aches and pain, joint stiffness or difficulty in movement. Patients co -infected with hepatitis C virus: The concomitant use of ribavirin with zidovudine is not recommended due to an increased risk of anaemia (see section 4.5). Excipient information &lt;REGARDING THE APPROVAL&gt; 4.5. Interaction with other medicinal products and other forms of interaction Limited data suggests that co -administration of zidovudine with rifampicin decreases the AUC (area under the plasma concentration curve) of zidovudine by 48% ± 34%. This may result in a partial loss or total loss of efficacy of zidovudine. The concomitant use of rifampicin with zidovudine should be avoided (see section 4.4). Zidovudine in combination with stavudine is antagonistic in vitro. The concomitant use of stavudine with zidovudine should be avoided (see section 4.4). Probenecid increases the AUC of zidov</x:v>
      </x:c>
      <x:c r="J796" s="37" t="str">
        <x:v>https://drug.fda.moph.go.th/media.php?id=810494978483691520&amp;name=SMPC_Zidovudine_Capsules.pdf</x:v>
      </x:c>
    </x:row>
    <x:row r="797">
      <x:c r="A797" s="31" t="str">
        <x:v>sodium_dihydrogen</x:v>
      </x:c>
      <x:c r="B797" s="31" t="str">
        <x:v>sodium_phosphate</x:v>
      </x:c>
      <x:c r="C797" s="31" t="str">
        <x:v>unclassified</x:v>
      </x:c>
      <x:c r="D797" s="31" t="str">
        <x:v>review</x:v>
      </x:c>
      <x:c r="E797" s="31" t="str">
        <x:v>r0321_smpc</x:v>
      </x:c>
      <x:c r="F797" s="31" t="str">
        <x:v>SMPC</x:v>
      </x:c>
      <x:c r="G797" s="31" t="n">
        <x:v>6</x:v>
      </x:c>
      <x:c r="H797" s="31" t="str">
        <x:v>sodium phosphate</x:v>
      </x:c>
      <x:c r="I797" s="37" t="str">
        <x:v>1 Ref: Cleen Ready-to-Use 21.4g/9.4g Enema, MHRA, 22/04/2022 6 In general, evacuation occurs approximately 5 minutes after sodium phosphate and sodium biphosphate enema administration; therefore, retention times over 5 minutes are not recommended. If evacuation does not occur after using sodium phosphate and sodium biphosphate enema or if the retention time lasts for more than 10 minutes, serious side effects could occur. No further administrations should be given and the condition of the patient should be assessed by a physician who will decide if laboratory tests should be completed in order to detect possible electrolyte abnormalities and to minimize the risk of severe hyperphosphatemia (see sections 4.8 and 4.9). &lt;Regarding th</x:v>
      </x:c>
      <x:c r="J797" s="37" t="str">
        <x:v>https://drug.fda.moph.go.th/media.php?id=810461583477186560&amp;name=SMPC_Sodium dihydrogen phosphate_enema.pdf</x:v>
      </x:c>
    </x:row>
    <x:row r="798">
      <x:c r="A798" s="31" t="str">
        <x:v>sodium_valproate</x:v>
      </x:c>
      <x:c r="B798" s="31" t="str">
        <x:v>zidovudine</x:v>
      </x:c>
      <x:c r="C798" s="31" t="str">
        <x:v>unclassified</x:v>
      </x:c>
      <x:c r="D798" s="31" t="str">
        <x:v>review</x:v>
      </x:c>
      <x:c r="E798" s="31" t="str">
        <x:v>r0325_smpc</x:v>
      </x:c>
      <x:c r="F798" s="31" t="str">
        <x:v>SMPC</x:v>
      </x:c>
      <x:c r="G798" s="31" t="n">
        <x:v>16</x:v>
      </x:c>
      <x:c r="H798" s="31" t="str">
        <x:v>zidovudine</x:v>
      </x:c>
      <x:c r="I798" s="37" t="str">
        <x:v>ean clearance by up to 16%. Rufinamide Valproic acid may lead to an increase in plasma levels of rufinamide. This increase is dependent on concentration of valproic acid. Caution should be exercised, in particular in children, as this effect is larger in this population. Propofol Valproic acid may lead to an increased blood level of propofol. When co-administered with valproate, a reduction of the dose of propofol should be considered. Zidovudine Sodium valproate may raise zidovudine plasma concentration leading to increased zidovudine toxicity. Nimodipine</x:v>
      </x:c>
      <x:c r="J798" s="37" t="str">
        <x:v>https://drug.fda.moph.go.th/media.php?id=810462806720782336&amp;name=SMPC_Sodium Valproate_Enteric-coated tablet.pdf</x:v>
      </x:c>
    </x:row>
    <x:row r="799">
      <x:c r="A799" s="31" t="str">
        <x:v>sucralfate</x:v>
      </x:c>
      <x:c r="B799" s="31" t="str">
        <x:v>tetracycline</x:v>
      </x:c>
      <x:c r="C799" s="31" t="str">
        <x:v>unclassified</x:v>
      </x:c>
      <x:c r="D799" s="31" t="str">
        <x:v>review</x:v>
      </x:c>
      <x:c r="E799" s="31" t="str">
        <x:v>r0329_smpc</x:v>
      </x:c>
      <x:c r="F799" s="31" t="str">
        <x:v>SMPC</x:v>
      </x:c>
      <x:c r="G799" s="31" t="n">
        <x:v>4</x:v>
      </x:c>
      <x:c r="H799" s="31" t="str">
        <x:v>tetracycline</x:v>
      </x:c>
      <x:c r="I799" s="37" t="str">
        <x:v>1 Ref:Antepsin, HPRA, 03/2019 4 Concomitant administration of sucralfate may reduce the bioavailability of certain drugs including fluoroquinolones such as ciprofloxacin and norfloxacin, tetracycline, ketoconazole, sulpiride, digoxin, warfarin, phenytoin, theophylline, levothyroxine, qui nidine and H2 antagonists.The bioavailability of these agents may be restored by separating the administration of these agents from sucralfate by two hours.This interaction appears to be non systemic in origin presumably resulting from these agents being b ound by sucralfate in the gastrointestinal tract. Because of the potential of sucralfate to alter</x:v>
      </x:c>
      <x:c r="J799" s="37" t="str">
        <x:v>https://drug.fda.moph.go.th/media.php?id=810463510696960000&amp;name=SMPC_Sucralfate_suspension.pdf</x:v>
      </x:c>
    </x:row>
    <x:row r="800">
      <x:c r="A800" s="31" t="str">
        <x:v>sucralfate</x:v>
      </x:c>
      <x:c r="B800" s="31" t="str">
        <x:v>tetracycline</x:v>
      </x:c>
      <x:c r="C800" s="31" t="str">
        <x:v>unclassified</x:v>
      </x:c>
      <x:c r="D800" s="31" t="str">
        <x:v>review</x:v>
      </x:c>
      <x:c r="E800" s="31" t="str">
        <x:v>r0338_smpc</x:v>
      </x:c>
      <x:c r="F800" s="31" t="str">
        <x:v>SMPC</x:v>
      </x:c>
      <x:c r="G800" s="31" t="n">
        <x:v>7</x:v>
      </x:c>
      <x:c r="H800" s="31" t="str">
        <x:v>sucralfate</x:v>
      </x:c>
      <x:c r="I800" s="37" t="str">
        <x:v>1 Ref: Tetracycline, MHRA, 25/06/2023 7 There have been reports of nephrotoxicity (increased blood urea nitrogen and serum creatinine) and death in some cases when tetracycline therapy has been combined with methoxyflurane. Tetracycline may increase the hypoglycaemic effects of insulin and sulphonylureas in patients with diabetes mellitus. The absorption of tetracycline may be reduced by the concomitant administration of sucralfate. Separating administration should be considered. Tetracycline may cause an increase in serum lithium levels. Tetracycline may cause an increase in serum digoxin levels. Tetracycline may cause an increase the risk of methotrexate toxicity. Regular monitoring of toxicity is necessary when taken concurrently. Absorption of tetracycline is impaired by strontium ranelate (manufacturer of strontium ranelate advises avoid concomitant use). Abso</x:v>
      </x:c>
      <x:c r="J800" s="37" t="str">
        <x:v>https://drug.fda.moph.go.th/media.php?id=810476861875429376&amp;name=SMPC_Tetracycline_Tablets.pdf</x:v>
      </x:c>
    </x:row>
    <x:row r="801">
      <x:c r="A801" s="31" t="str">
        <x:v>sucralfate</x:v>
      </x:c>
      <x:c r="B801" s="31" t="str">
        <x:v>theophylline</x:v>
      </x:c>
      <x:c r="C801" s="31" t="str">
        <x:v>unclassified</x:v>
      </x:c>
      <x:c r="D801" s="31" t="str">
        <x:v>review</x:v>
      </x:c>
      <x:c r="E801" s="31" t="str">
        <x:v>r0329_smpc</x:v>
      </x:c>
      <x:c r="F801" s="31" t="str">
        <x:v>SMPC</x:v>
      </x:c>
      <x:c r="G801" s="31" t="n">
        <x:v>4</x:v>
      </x:c>
      <x:c r="H801" s="31" t="str">
        <x:v>theophylline</x:v>
      </x:c>
      <x:c r="I801" s="37" t="str">
        <x:v>1 Ref:Antepsin, HPRA, 03/2019 4 Concomitant administration of sucralfate may reduce the bioavailability of certain drugs including fluoroquinolones such as ciprofloxacin and norfloxacin, tetracycline, ketoconazole, sulpiride, digoxin, warfarin, phenytoin, theophylline, levothyroxine, qui nidine and H2 antagonists.The bioavailability of these agents may be restored by separating the administration of these agents from sucralfate by two hours.This interaction appears to be non systemic in origin presumably resulting from these agents being b ound by sucralfate in the gastrointestinal tract. Because of the potential of sucralfate to alter the absorption of some drugs from the gastrointestinal tract, the se</x:v>
      </x:c>
      <x:c r="J801" s="37" t="str">
        <x:v>https://drug.fda.moph.go.th/media.php?id=810463510696960000&amp;name=SMPC_Sucralfate_suspension.pdf</x:v>
      </x:c>
    </x:row>
    <x:row r="802">
      <x:c r="A802" s="31" t="str">
        <x:v>teicoplanin</x:v>
      </x:c>
      <x:c r="B802" s="31" t="str">
        <x:v>vancomycin</x:v>
      </x:c>
      <x:c r="C802" s="31" t="str">
        <x:v>unclassified</x:v>
      </x:c>
      <x:c r="D802" s="31" t="str">
        <x:v>review</x:v>
      </x:c>
      <x:c r="E802" s="31" t="str">
        <x:v>r0437_smpc</x:v>
      </x:c>
      <x:c r="F802" s="31" t="str">
        <x:v>SMPC</x:v>
      </x:c>
      <x:c r="G802" s="31" t="n">
        <x:v>8</x:v>
      </x:c>
      <x:c r="H802" s="31" t="str">
        <x:v>teicoplanin</x:v>
      </x:c>
      <x:c r="I802" s="37" t="str">
        <x:v>In patients receiving vancomycin over a longer-term period or concurrently with other medications which may cause neutropenia or agranulocytosis, the leukocyte count should be monitored at regular intervals. All patients receiving vancomycin should have periodic haematologic studies, urine analysis, liver and renal function tests. Vancomycin should be used with caution in patients with allergic reactions to teicoplanin, since cross hypersensitivity, including fatal anaphylactic shock, may occur. Spectrum of antibacterial activity Vancomycin has a spectrum of antibacterial activity limited to Gram-positive organisms. It is not suitable for use as a single agent for the treatment of some types of infections unless the pathogen is already documented and known to be susceptible or there is a high suspicion that the most likely pathogen(s) would be suitable</x:v>
      </x:c>
      <x:c r="J802" s="37" t="str">
        <x:v>https://drug.fda.moph.go.th/media.php?id=904966130962145280&amp;name=5. Ref SmPC_Vancomycin.pdf</x:v>
      </x:c>
    </x:row>
    <x:row r="803">
      <x:c r="A803" s="31" t="str">
        <x:v>tenoxicam</x:v>
      </x:c>
      <x:c r="B803" s="31" t="str">
        <x:v>zidovudine</x:v>
      </x:c>
      <x:c r="C803" s="31" t="str">
        <x:v>unclassified</x:v>
      </x:c>
      <x:c r="D803" s="31" t="str">
        <x:v>review</x:v>
      </x:c>
      <x:c r="E803" s="31" t="str">
        <x:v>r0333_smpc</x:v>
      </x:c>
      <x:c r="F803" s="31" t="str">
        <x:v>SMPC</x:v>
      </x:c>
      <x:c r="G803" s="31" t="n">
        <x:v>11</x:v>
      </x:c>
      <x:c r="H803" s="31" t="str">
        <x:v>zidovudine</x:v>
      </x:c>
      <x:c r="I803" s="37" t="str">
        <x:v>ds because of the increased risk of gastrointestinal ulceration or bleeding (see section 4.4). Anti-platelet agents and selective serotonin reuptake inhibitors (SSRIs) There is an increased risk of gastrointestinal bleeding (see section 4.4) when anti -platelet agents and selective serotonin reuptake inhibitors (SSRIs) are combined with NSAIDs. Tacrolimus There is a possible risk of nephrotoxicity when NSAIDs are given with tacrolimus. Zidovudine There is an increased risk of haematological toxicity when NSAIDs are given with zidovudine. There is evidence of an increased risk of haemarthroses and haematoma in HIV(+) haemophiliacs receiving concurrent treatment with zidovudine and ibuprofen. Gold/penicillamine No clinically relevant interaction was found in small numbers of patients receiving treatment with penicillamine or parenteral gold. 4.6. Fertility, pregnancy and lactation</x:v>
      </x:c>
      <x:c r="J803" s="37" t="str">
        <x:v>https://drug.fda.moph.go.th/media.php?id=810466026549551104&amp;name=SMPC_Tenoxicam_Tablets.pdf</x:v>
      </x:c>
    </x:row>
    <x:row r="804">
      <x:c r="A804" s="31" t="str">
        <x:v>tetracycline</x:v>
      </x:c>
      <x:c r="B804" s="31" t="str">
        <x:v>tretinoin</x:v>
      </x:c>
      <x:c r="C804" s="31" t="str">
        <x:v>moderate</x:v>
      </x:c>
      <x:c r="D804" s="31" t="str">
        <x:v>eligible</x:v>
      </x:c>
      <x:c r="E804" s="31" t="str">
        <x:v>r0338_smpc</x:v>
      </x:c>
      <x:c r="F804" s="31" t="str">
        <x:v>SMPC</x:v>
      </x:c>
      <x:c r="G804" s="31" t="n">
        <x:v>6</x:v>
      </x:c>
      <x:c r="H804" s="31" t="str">
        <x:v>tretinoin</x:v>
      </x:c>
      <x:c r="I804" s="37" t="str">
        <x:v>roducts. Since tetracycline has been shown to depress plasma prothrombin activity, patients who are on anticoagulant therapy may require a downward adjustment of their anticoagulant dosage. Tetracycline may prolong the action of coumarin anticoagulants. Plasma-atovaquone concentration is reduced by tetracycline There is a possible increased risk of benign intracranial hypertension with tetracyclines and retinoids (acitretin, isotretinoin, tretinoin). Concomitant use should be avoided. Antidiarrhoeal preparations such as kaolin -pectin and bismuth subsalicylate hinder absorption of tetracyclines. Combination of tetracyclines with diuretics may be detrimental to renal function and may aggravate nephrotoxicity by volume depletion. Since bacteriostatic drugs may interfere with the bactericidal action of penicillin, it is advisable to avoid giving tetracycline in conjunction with penici</x:v>
      </x:c>
      <x:c r="J804" s="37" t="str">
        <x:v>https://drug.fda.moph.go.th/media.php?id=810476861875429376&amp;name=SMPC_Tetracycline_Tablets.pdf</x:v>
      </x:c>
    </x:row>
    <x:row r="805">
      <x:c r="A805" s="31" t="str">
        <x:v>tetracycline</x:v>
      </x:c>
      <x:c r="B805" s="31" t="str">
        <x:v>zinc</x:v>
      </x:c>
      <x:c r="C805" s="31" t="str">
        <x:v>unclassified</x:v>
      </x:c>
      <x:c r="D805" s="31" t="str">
        <x:v>review</x:v>
      </x:c>
      <x:c r="E805" s="31" t="str">
        <x:v>r0338_smpc</x:v>
      </x:c>
      <x:c r="F805" s="31" t="str">
        <x:v>SMPC</x:v>
      </x:c>
      <x:c r="G805" s="31" t="n">
        <x:v>6</x:v>
      </x:c>
      <x:c r="H805" s="31" t="str">
        <x:v>zinc</x:v>
      </x:c>
      <x:c r="I805" s="37" t="str">
        <x:v>1 Ref: Tetracycline, MHRA, 25/06/2023 6 &lt;REGARDING THE APPROVAL&gt; 4.5. Interaction with other medicinal products and other forms of interaction The absorption of tetracycline from the gastrointestinal tract is impaired by the concomitant administration of di and trivalent cations such as iron, calcium, aluminium, magnesium, bismuth and zinc salts. Administration of medicinal products containing th ese cations and tetracycline should be maximally separated by at least two to three hours. The following should be avoided when taking tetracycline: antacids, bismuth containing ulcer -healing drugs, drugs such as quinapril tablets which contain magnesium c arbonate and didanosine which contains calcium and magnesium excipients. Absorption of tetracycline is impaired by food, milk,</x:v>
      </x:c>
      <x:c r="J805" s="37" t="str">
        <x:v>https://drug.fda.moph.go.th/media.php?id=810476861875429376&amp;name=SMPC_Tetracycline_Tablets.pdf</x:v>
      </x:c>
    </x:row>
    <x:row r="806">
      <x:c r="A806" s="31" t="str">
        <x:v>theophylline</x:v>
      </x:c>
      <x:c r="B806" s="31" t="str">
        <x:v>thiamine</x:v>
      </x:c>
      <x:c r="C806" s="31" t="str">
        <x:v>unclassified</x:v>
      </x:c>
      <x:c r="D806" s="31" t="str">
        <x:v>review</x:v>
      </x:c>
      <x:c r="E806" s="31" t="str">
        <x:v>r0340_smpc</x:v>
      </x:c>
      <x:c r="F806" s="31" t="str">
        <x:v>SMPC</x:v>
      </x:c>
      <x:c r="G806" s="31" t="n">
        <x:v>2</x:v>
      </x:c>
      <x:c r="H806" s="31" t="str">
        <x:v>theophylline</x:v>
      </x:c>
      <x:c r="I806" s="37" t="str">
        <x:v>E APPROVAL&gt; 4.5. Interaction with other medicinal products and other forms of interaction The thiamine antagonists thiosemicarbazone and 5 -fluorouracil can neutralise the effect of thiamine. Patients using any of these treatments may need their thiamine dose adjusted. Thiamine could give false positive results for urobilinogen determination by the Ehrlich's reaction. High doses of thiamine may interfere with spectrophotometric assays of theophylline plasma concentration. Furosemide may increase urinary loss of thiamine and prolonged use of furosemide therapy may induce thiamine deficiency. Excessive alcohol intake induces thiamine deficiency.</x:v>
      </x:c>
      <x:c r="J806" s="37" t="str">
        <x:v>https://drug.fda.moph.go.th/media.php?id=810477458427092992&amp;name=SMPC_Thiamine hydrochloride_Tablets.pdf</x:v>
      </x:c>
    </x:row>
    <x:row r="807">
      <x:c r="A807" s="31" t="str">
        <x:v>theophylline</x:v>
      </x:c>
      <x:c r="B807" s="31" t="str">
        <x:v>thiamine</x:v>
      </x:c>
      <x:c r="C807" s="31" t="str">
        <x:v>unclassified</x:v>
      </x:c>
      <x:c r="D807" s="31" t="str">
        <x:v>review</x:v>
      </x:c>
      <x:c r="E807" s="31" t="str">
        <x:v>r0341_smpc</x:v>
      </x:c>
      <x:c r="F807" s="31" t="str">
        <x:v>SMPC</x:v>
      </x:c>
      <x:c r="G807" s="31" t="n">
        <x:v>5</x:v>
      </x:c>
      <x:c r="H807" s="31" t="str">
        <x:v>theophylline</x:v>
      </x:c>
      <x:c r="I807" s="37" t="str">
        <x:v>ins a precipitate. • This drug solution and any syringe containing this medicine are destined for single and individual use (see section 6.3). Interference with laboratory tests Thiamine can give false positive results for urobilinogen determination by the Ehrlich's reaction (urine test) and for uric acid determination by the phosphotungstene method. High doses of thiamine may interfere with Schack and Waxler spectrophotometric as says of theophylline plasma concentration. 4.5. Interaction with other medicinal products and other forms of interaction Medicines that may decrease the effect of thiamine • The thiamine antagonists: 5 -fluorouracil, other fluoropyrimidines (e.g. capecitabine) and ifosfamide. • Diuretics, e.g. furosemide that may increase urinary thiamine excretion. Thiamine deficiency can occur with the chronic use of these medicines. Consider high-dose thiamine supplemen</x:v>
      </x:c>
      <x:c r="J807" s="37" t="str">
        <x:v>https://drug.fda.moph.go.th/media.php?id=810478221882695680&amp;name=SMPC_Thiamine hydrochloride_Solution for Injection.pdf</x:v>
      </x:c>
    </x:row>
    <x:row r="808">
      <x:c r="A808" s="31" t="str">
        <x:v>timolol</x:v>
      </x:c>
      <x:c r="B808" s="31" t="str">
        <x:v>verapamil</x:v>
      </x:c>
      <x:c r="C808" s="31" t="str">
        <x:v>unclassified</x:v>
      </x:c>
      <x:c r="D808" s="31" t="str">
        <x:v>review</x:v>
      </x:c>
      <x:c r="E808" s="31" t="str">
        <x:v>r0345_smpc</x:v>
      </x:c>
      <x:c r="F808" s="31" t="str">
        <x:v>SMPC</x:v>
      </x:c>
      <x:c r="G808" s="31" t="n">
        <x:v>8</x:v>
      </x:c>
      <x:c r="H808" s="31" t="str">
        <x:v>verapamil</x:v>
      </x:c>
      <x:c r="I808" s="37" t="str">
        <x:v>impaired cardiac function. The potential exists for hypotension, AV conduction disturbances and left ventricular failure to occur in patients receiving a beta -blocking agent when an oral calcium -channel blocker is added to the treatment regimen. The nature of any cardiovascular adve rse effects tends to depend on the type of calcium -channel blocker used. Dihydropyridine derivatives, such as nifedipine, may lead to hypotension, whereas verapamil or diltiazem have a greater propensity to lead to AV conduction disturbances or left ventri cular failure when used with a beta-blocker. Intravenous calcium channel blockers should be used with caution in patients receiving beta-adrenergic blocking agents. The concomitant use of beta -adrenergic blocking agents and digitalis with either diltiazem or verapamil may have additive effects in prolonging AV conduction time. 4.6. Fertility, pre</x:v>
      </x:c>
      <x:c r="J808" s="37" t="str">
        <x:v>https://drug.fda.moph.go.th/media.php?id=810482237991690240&amp;name=SMPC_Timolol_Eye Drops Solution.pdf</x:v>
      </x:c>
    </x:row>
    <x:row r="809">
      <x:c r="A809" s="31" t="str">
        <x:v>trimethoprim_sulfamethoxazole</x:v>
      </x:c>
      <x:c r="B809" s="31" t="str">
        <x:v>zidovudine</x:v>
      </x:c>
      <x:c r="C809" s="31" t="str">
        <x:v>moderate</x:v>
      </x:c>
      <x:c r="D809" s="31" t="str">
        <x:v>eligible</x:v>
      </x:c>
      <x:c r="E809" s="31" t="str">
        <x:v>r0358_smpc</x:v>
      </x:c>
      <x:c r="F809" s="31" t="str">
        <x:v>SMPC</x:v>
      </x:c>
      <x:c r="G809" s="31" t="n">
        <x:v>9</x:v>
      </x:c>
      <x:c r="H809" s="31" t="str">
        <x:v>zidovudine</x:v>
      </x:c>
      <x:c r="I809" s="37" t="str">
        <x:v>dicinal products and other forms of interaction Interaction with laboratory tests: Trimethoprim may interfere with the estimation of serum/plasma creatinine when the alkaline picrate reaction is used. This may result in overestimation of serum/plasma creatinine of the order of 10%. The creatinine clearance is reduced: the renal tubular secretion of creatinine is decreased from 23% to 9% whilst the glomerular filtration remains unchanged. Zidovudine: in some situations, concomitant treatment with zidovudine may increase the risk of haematological adverse reactions to co - trimoxazole. If concomitant treatment is necessary, consideration should be given to monitoring of haematological parameters. Cyclosporin: reversible deterioration in renal function has been observed in patients treated with co -trimoxazole and ciclosporin following renal transplantation. Rifampicin: concurrent use o</x:v>
      </x:c>
      <x:c r="J809" s="37" t="str">
        <x:v>https://drug.fda.moph.go.th/media.php?id=810494133834752000&amp;name=SMPC_Trimethoprim + Sulfamethoxazole_Solution for Infusion.pdf</x:v>
      </x:c>
    </x:row>
    <x:row r="810">
      <x:c r="A810" s="31" t="str">
        <x:v>zinc</x:v>
      </x:c>
      <x:c r="B810" s="31" t="str">
        <x:v>zinc_oxide</x:v>
      </x:c>
      <x:c r="C810" s="31" t="str">
        <x:v>unclassified</x:v>
      </x:c>
      <x:c r="D810" s="31" t="str">
        <x:v>review</x:v>
      </x:c>
      <x:c r="E810" s="31" t="str">
        <x:v>r0366_smpc</x:v>
      </x:c>
      <x:c r="F810" s="31" t="str">
        <x:v>SMPC</x:v>
      </x:c>
      <x:c r="G810" s="31" t="n">
        <x:v>2</x:v>
      </x:c>
      <x:c r="H810" s="31" t="str">
        <x:v>zinc</x:v>
      </x:c>
      <x:c r="I810" s="37" t="str">
        <x:v>9/2019 2 4.4. Special warnings and precautions for use For external use only. Keep all medicines out of sight and reach of children. Instruct patients not to smoke or go near naked flames – risk of severe burns. Fabric (clothing, bedding, dressings, etc.) that has been in contact with this product burns more easily and is a serious fire hazard. Washing clothing and bedding may reduce product build-up but not totally remove it. Zinc and castor oil ointment BP contains arachis oil (peanut oil) and should not be applied by patients known to be allergic to peanut. As there is a possible relationship between allergy to peanut and allergy to soya, patients with soya allergy should also avoid zinc and castor oil ointment BP or zinc and castor oil cream BP contains arachis oil (peanut oil) and should not be applied by patients known to be allergic to peanut. As there i</x:v>
      </x:c>
      <x:c r="J810" s="37" t="str">
        <x:v>https://drug.fda.moph.go.th/media.php?id=810495384341323776&amp;name=SMPC_Zinc oxide_Ointment.pdf</x:v>
      </x:c>
    </x:row>
  </x:sheetData>
  <x:pageMargins left="0.7" right="0.7" top="0.75" bottom="0.75" header="0.3" footer="0.3"/>
  <x:tableParts count="1">
    <x:tablePart xmlns:r="http://schemas.openxmlformats.org/officeDocument/2006/relationships" r:id="Rad1e5709e9e9414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1" hidden="0" customWidth="1"/>
    <x:col min="2" max="2" width="38" hidden="0" customWidth="1"/>
    <x:col min="3" max="3" width="70" hidden="0" customWidth="1"/>
    <x:col min="4" max="4" width="65" hidden="0" customWidth="1"/>
    <x:col min="5" max="5" width="18" hidden="0" customWidth="1"/>
  </x:cols>
  <x:sheetData>
    <x:row r="1" ht="30" customHeight="1">
      <x:c r="A1" s="36" t="str">
        <x:v>drug_code</x:v>
      </x:c>
      <x:c r="B1" s="36" t="str">
        <x:v>issue_type</x:v>
      </x:c>
      <x:c r="C1" s="36" t="str">
        <x:v>issue_description</x:v>
      </x:c>
      <x:c r="D1" s="36" t="str">
        <x:v>source_url</x:v>
      </x:c>
      <x:c r="E1" s="36" t="str">
        <x:v>review_status</x:v>
      </x:c>
    </x:row>
    <x:row r="2">
      <x:c r="A2" s="31" t="str">
        <x:v>acetylcysteine</x:v>
      </x:c>
      <x:c r="B2" s="31" t="str">
        <x:v>interaction_severity_unclassified</x:v>
      </x:c>
      <x:c r="C2" s="37" t="str">
        <x:v>Possible named interaction with activated_charcoal requires clinical severity review.</x:v>
      </x:c>
      <x:c r="D2" s="37" t="str">
        <x:v>https://drug.fda.moph.go.th/media.php?id=809595104229728256&amp;name=SMPC_Acetylcysteine_Powder for Oral Solution.pdf</x:v>
      </x:c>
      <x:c r="E2" s="39" t="str">
        <x:v>Open</x:v>
      </x:c>
    </x:row>
    <x:row r="3">
      <x:c r="A3" s="31" t="str">
        <x:v>acetylcysteine</x:v>
      </x:c>
      <x:c r="B3" s="31" t="str">
        <x:v>interaction_severity_unclassified</x:v>
      </x:c>
      <x:c r="C3" s="37" t="str">
        <x:v>Possible named interaction with paracetamol requires clinical severity review.</x:v>
      </x:c>
      <x:c r="D3" s="37" t="str">
        <x:v>https://drug.fda.moph.go.th/media.php?id=809596981939937280&amp;name=SMPC_Acetylcysteine_Solutions for injections or infusions.pdf</x:v>
      </x:c>
      <x:c r="E3" s="39" t="str">
        <x:v>Open</x:v>
      </x:c>
    </x:row>
    <x:row r="4">
      <x:c r="A4" s="31" t="str">
        <x:v>aluminium_hydroxide_magnesium_hydroxide</x:v>
      </x:c>
      <x:c r="B4" s="31" t="str">
        <x:v>interaction_severity_unclassified</x:v>
      </x:c>
      <x:c r="C4" s="37" t="str">
        <x:v>Possible named interaction with magnesium requires clinical severity review.</x:v>
      </x:c>
      <x:c r="D4" s="37" t="str">
        <x:v>https://drug.fda.moph.go.th/media.php?id=809650671178620928&amp;name=SMPC_aluminium hydroxide and magnesium hydroxide_suspension.pdf</x:v>
      </x:c>
      <x:c r="E4" s="39" t="str">
        <x:v>Open</x:v>
      </x:c>
    </x:row>
    <x:row r="5">
      <x:c r="A5" s="31" t="str">
        <x:v>ambroxol</x:v>
      </x:c>
      <x:c r="B5" s="31" t="str">
        <x:v>interaction_severity_unclassified</x:v>
      </x:c>
      <x:c r="C5" s="37" t="str">
        <x:v>Possible named interaction with amoxicillin requires clinical severity review.</x:v>
      </x:c>
      <x:c r="D5" s="37" t="str">
        <x:v>https://drug.fda.moph.go.th/media.php?id=809651334000287744&amp;name=SMPC_Ambroxol_Syrup.pdf</x:v>
      </x:c>
      <x:c r="E5" s="39" t="str">
        <x:v>Open</x:v>
      </x:c>
    </x:row>
    <x:row r="6">
      <x:c r="A6" s="31" t="str">
        <x:v>ambroxol</x:v>
      </x:c>
      <x:c r="B6" s="31" t="str">
        <x:v>interaction_severity_unclassified</x:v>
      </x:c>
      <x:c r="C6" s="37" t="str">
        <x:v>Possible named interaction with erythromycin requires clinical severity review.</x:v>
      </x:c>
      <x:c r="D6" s="37" t="str">
        <x:v>https://drug.fda.moph.go.th/media.php?id=809651334000287744&amp;name=SMPC_Ambroxol_Syrup.pdf</x:v>
      </x:c>
      <x:c r="E6" s="39" t="str">
        <x:v>Open</x:v>
      </x:c>
    </x:row>
    <x:row r="7">
      <x:c r="A7" s="31" t="str">
        <x:v>amitriptyline</x:v>
      </x:c>
      <x:c r="B7" s="31" t="str">
        <x:v>interaction_severity_unclassified</x:v>
      </x:c>
      <x:c r="C7" s="37" t="str">
        <x:v>Possible named interaction with nortriptyline requires clinical severity review.</x:v>
      </x:c>
      <x:c r="D7" s="37" t="str">
        <x:v>https://drug.fda.moph.go.th/media.php?id=809652580375470080&amp;name=SMPC_Amitriptyline_Tablets.pdf</x:v>
      </x:c>
      <x:c r="E7" s="39" t="str">
        <x:v>Open</x:v>
      </x:c>
    </x:row>
    <x:row r="8">
      <x:c r="A8" s="31" t="str">
        <x:v>amitriptyline</x:v>
      </x:c>
      <x:c r="B8" s="31" t="str">
        <x:v>interaction_severity_unclassified</x:v>
      </x:c>
      <x:c r="C8" s="37" t="str">
        <x:v>Possible named interaction with clonidine requires clinical severity review.</x:v>
      </x:c>
      <x:c r="D8" s="37" t="str">
        <x:v>https://drug.fda.moph.go.th/media.php?id=809652580375470080&amp;name=SMPC_Amitriptyline_Tablets.pdf</x:v>
      </x:c>
      <x:c r="E8" s="39" t="str">
        <x:v>Open</x:v>
      </x:c>
    </x:row>
    <x:row r="9">
      <x:c r="A9" s="31" t="str">
        <x:v>amitriptyline</x:v>
      </x:c>
      <x:c r="B9" s="31" t="str">
        <x:v>interaction_severity_unclassified</x:v>
      </x:c>
      <x:c r="C9" s="37" t="str">
        <x:v>Possible named interaction with furosemide requires clinical severity review.</x:v>
      </x:c>
      <x:c r="D9" s="37" t="str">
        <x:v>https://drug.fda.moph.go.th/media.php?id=809652580375470080&amp;name=SMPC_Amitriptyline_Tablets.pdf</x:v>
      </x:c>
      <x:c r="E9" s="39" t="str">
        <x:v>Open</x:v>
      </x:c>
    </x:row>
    <x:row r="10">
      <x:c r="A10" s="31" t="str">
        <x:v>amitriptyline</x:v>
      </x:c>
      <x:c r="B10" s="31" t="str">
        <x:v>interaction_severity_unclassified</x:v>
      </x:c>
      <x:c r="C10" s="37" t="str">
        <x:v>Possible named interaction with methyldopa requires clinical severity review.</x:v>
      </x:c>
      <x:c r="D10" s="37" t="str">
        <x:v>https://drug.fda.moph.go.th/media.php?id=809652580375470080&amp;name=SMPC_Amitriptyline_Tablets.pdf</x:v>
      </x:c>
      <x:c r="E10" s="39" t="str">
        <x:v>Open</x:v>
      </x:c>
    </x:row>
    <x:row r="11">
      <x:c r="A11" s="31" t="str">
        <x:v>amitriptyline</x:v>
      </x:c>
      <x:c r="B11" s="31" t="str">
        <x:v>interaction_severity_unclassified</x:v>
      </x:c>
      <x:c r="C11" s="37" t="str">
        <x:v>Possible named interaction with pimozide requires clinical severity review.</x:v>
      </x:c>
      <x:c r="D11" s="37" t="str">
        <x:v>https://drug.fda.moph.go.th/media.php?id=809652580375470080&amp;name=SMPC_Amitriptyline_Tablets.pdf</x:v>
      </x:c>
      <x:c r="E11" s="39" t="str">
        <x:v>Open</x:v>
      </x:c>
    </x:row>
    <x:row r="12">
      <x:c r="A12" s="31" t="str">
        <x:v>amitriptyline</x:v>
      </x:c>
      <x:c r="B12" s="31" t="str">
        <x:v>interaction_severity_unclassified</x:v>
      </x:c>
      <x:c r="C12" s="37" t="str">
        <x:v>Possible named interaction with thioridazine requires clinical severity review.</x:v>
      </x:c>
      <x:c r="D12" s="37" t="str">
        <x:v>https://drug.fda.moph.go.th/media.php?id=809652580375470080&amp;name=SMPC_Amitriptyline_Tablets.pdf</x:v>
      </x:c>
      <x:c r="E12" s="39" t="str">
        <x:v>Open</x:v>
      </x:c>
    </x:row>
    <x:row r="13">
      <x:c r="A13" s="31" t="str">
        <x:v>amitriptyline</x:v>
      </x:c>
      <x:c r="B13" s="31" t="str">
        <x:v>interaction_severity_unclassified</x:v>
      </x:c>
      <x:c r="C13" s="37" t="str">
        <x:v>Possible named interaction with tramadol requires clinical severity review.</x:v>
      </x:c>
      <x:c r="D13" s="37" t="str">
        <x:v>https://drug.fda.moph.go.th/media.php?id=809652580375470080&amp;name=SMPC_Amitriptyline_Tablets.pdf</x:v>
      </x:c>
      <x:c r="E13" s="39" t="str">
        <x:v>Open</x:v>
      </x:c>
    </x:row>
    <x:row r="14">
      <x:c r="A14" s="31" t="str">
        <x:v>amitriptyline</x:v>
      </x:c>
      <x:c r="B14" s="31" t="str">
        <x:v>interaction_severity_unclassified</x:v>
      </x:c>
      <x:c r="C14" s="37" t="str">
        <x:v>Possible named interaction with cimetidine requires clinical severity review.</x:v>
      </x:c>
      <x:c r="D14" s="37" t="str">
        <x:v>https://drug.fda.moph.go.th/media.php?id=809652580375470080&amp;name=SMPC_Amitriptyline_Tablets.pdf</x:v>
      </x:c>
      <x:c r="E14" s="39" t="str">
        <x:v>Open</x:v>
      </x:c>
    </x:row>
    <x:row r="15">
      <x:c r="A15" s="31" t="str">
        <x:v>amitriptyline</x:v>
      </x:c>
      <x:c r="B15" s="31" t="str">
        <x:v>interaction_severity_unclassified</x:v>
      </x:c>
      <x:c r="C15" s="37" t="str">
        <x:v>Possible named interaction with diltiazem requires clinical severity review.</x:v>
      </x:c>
      <x:c r="D15" s="37" t="str">
        <x:v>https://drug.fda.moph.go.th/media.php?id=809652580375470080&amp;name=SMPC_Amitriptyline_Tablets.pdf</x:v>
      </x:c>
      <x:c r="E15" s="39" t="str">
        <x:v>Open</x:v>
      </x:c>
    </x:row>
    <x:row r="16">
      <x:c r="A16" s="31" t="str">
        <x:v>amitriptyline</x:v>
      </x:c>
      <x:c r="B16" s="31" t="str">
        <x:v>interaction_severity_unclassified</x:v>
      </x:c>
      <x:c r="C16" s="37" t="str">
        <x:v>Possible named interaction with nortriptyline requires clinical severity review.</x:v>
      </x:c>
      <x:c r="D16" s="37" t="str">
        <x:v>https://drug.fda.moph.go.th/media.php?id=809652580375470080&amp;name=SMPC_Amitriptyline_Tablets.pdf</x:v>
      </x:c>
      <x:c r="E16" s="39" t="str">
        <x:v>Open</x:v>
      </x:c>
    </x:row>
    <x:row r="17">
      <x:c r="A17" s="31" t="str">
        <x:v>amitriptyline</x:v>
      </x:c>
      <x:c r="B17" s="31" t="str">
        <x:v>interaction_severity_unclassified</x:v>
      </x:c>
      <x:c r="C17" s="37" t="str">
        <x:v>Possible named interaction with verapamil requires clinical severity review.</x:v>
      </x:c>
      <x:c r="D17" s="37" t="str">
        <x:v>https://drug.fda.moph.go.th/media.php?id=809652580375470080&amp;name=SMPC_Amitriptyline_Tablets.pdf</x:v>
      </x:c>
      <x:c r="E17" s="39" t="str">
        <x:v>Open</x:v>
      </x:c>
    </x:row>
    <x:row r="18">
      <x:c r="A18" s="31" t="str">
        <x:v>amitriptyline</x:v>
      </x:c>
      <x:c r="B18" s="31" t="str">
        <x:v>interaction_severity_unclassified</x:v>
      </x:c>
      <x:c r="C18" s="37" t="str">
        <x:v>Possible named interaction with carbamazepine requires clinical severity review.</x:v>
      </x:c>
      <x:c r="D18" s="37" t="str">
        <x:v>https://drug.fda.moph.go.th/media.php?id=809652580375470080&amp;name=SMPC_Amitriptyline_Tablets.pdf</x:v>
      </x:c>
      <x:c r="E18" s="39" t="str">
        <x:v>Open</x:v>
      </x:c>
    </x:row>
    <x:row r="19">
      <x:c r="A19" s="31" t="str">
        <x:v>amitriptyline</x:v>
      </x:c>
      <x:c r="B19" s="31" t="str">
        <x:v>interaction_severity_unclassified</x:v>
      </x:c>
      <x:c r="C19" s="37" t="str">
        <x:v>Possible named interaction with itraconazole requires clinical severity review.</x:v>
      </x:c>
      <x:c r="D19" s="37" t="str">
        <x:v>https://drug.fda.moph.go.th/media.php?id=809652580375470080&amp;name=SMPC_Amitriptyline_Tablets.pdf</x:v>
      </x:c>
      <x:c r="E19" s="39" t="str">
        <x:v>Open</x:v>
      </x:c>
    </x:row>
    <x:row r="20">
      <x:c r="A20" s="31" t="str">
        <x:v>amitriptyline</x:v>
      </x:c>
      <x:c r="B20" s="31" t="str">
        <x:v>interaction_severity_unclassified</x:v>
      </x:c>
      <x:c r="C20" s="37" t="str">
        <x:v>Possible named interaction with ketoconazole requires clinical severity review.</x:v>
      </x:c>
      <x:c r="D20" s="37" t="str">
        <x:v>https://drug.fda.moph.go.th/media.php?id=809652580375470080&amp;name=SMPC_Amitriptyline_Tablets.pdf</x:v>
      </x:c>
      <x:c r="E20" s="39" t="str">
        <x:v>Open</x:v>
      </x:c>
    </x:row>
    <x:row r="21">
      <x:c r="A21" s="31" t="str">
        <x:v>amitriptyline</x:v>
      </x:c>
      <x:c r="B21" s="31" t="str">
        <x:v>interaction_severity_unclassified</x:v>
      </x:c>
      <x:c r="C21" s="37" t="str">
        <x:v>Possible named interaction with rifampicin requires clinical severity review.</x:v>
      </x:c>
      <x:c r="D21" s="37" t="str">
        <x:v>https://drug.fda.moph.go.th/media.php?id=809652580375470080&amp;name=SMPC_Amitriptyline_Tablets.pdf</x:v>
      </x:c>
      <x:c r="E21" s="39" t="str">
        <x:v>Open</x:v>
      </x:c>
    </x:row>
    <x:row r="22">
      <x:c r="A22" s="31" t="str">
        <x:v>amoxicillin</x:v>
      </x:c>
      <x:c r="B22" s="31" t="str">
        <x:v>interaction_severity_unclassified</x:v>
      </x:c>
      <x:c r="C22" s="37" t="str">
        <x:v>Possible named interaction with methotrexate requires clinical severity review.</x:v>
      </x:c>
      <x:c r="D22" s="37" t="str">
        <x:v>https://drug.fda.moph.go.th/media.php?id=809653143766966272&amp;name=SMPC_Amoxicillin_Dry syrup.pdf</x:v>
      </x:c>
      <x:c r="E22" s="39" t="str">
        <x:v>Open</x:v>
      </x:c>
    </x:row>
    <x:row r="23">
      <x:c r="A23" s="31" t="str">
        <x:v>amoxicillin</x:v>
      </x:c>
      <x:c r="B23" s="31" t="str">
        <x:v>interaction_severity_unclassified</x:v>
      </x:c>
      <x:c r="C23" s="37" t="str">
        <x:v>Possible named interaction with methotrexate requires clinical severity review.</x:v>
      </x:c>
      <x:c r="D23" s="37" t="str">
        <x:v>https://drug.fda.moph.go.th/media.php?id=809653635419086848&amp;name=SMPC_Amoxicillin_Film-coated tablet.pdf</x:v>
      </x:c>
      <x:c r="E23" s="39" t="str">
        <x:v>Open</x:v>
      </x:c>
    </x:row>
    <x:row r="24">
      <x:c r="A24" s="31" t="str">
        <x:v>ascorbic_acid</x:v>
      </x:c>
      <x:c r="B24" s="31" t="str">
        <x:v>interaction_severity_unclassified</x:v>
      </x:c>
      <x:c r="C24" s="37" t="str">
        <x:v>Possible named interaction with tetracycline requires clinical severity review.</x:v>
      </x:c>
      <x:c r="D24" s="37" t="str">
        <x:v>https://drug.fda.moph.go.th/media.php?id=809654213054439424&amp;name=SMPC_Ascorbic acid_solution for injection.pdf</x:v>
      </x:c>
      <x:c r="E24" s="39" t="str">
        <x:v>Open</x:v>
      </x:c>
    </x:row>
    <x:row r="25">
      <x:c r="A25" s="31" t="str">
        <x:v>atropine</x:v>
      </x:c>
      <x:c r="B25" s="31" t="str">
        <x:v>interaction_severity_unclassified</x:v>
      </x:c>
      <x:c r="C25" s="37" t="str">
        <x:v>Possible named interaction with ketoconazole requires clinical severity review.</x:v>
      </x:c>
      <x:c r="D25" s="37" t="str">
        <x:v>https://drug.fda.moph.go.th/media.php?id=809657437689880576&amp;name=SMPC_Atropine_Tablets.pdf</x:v>
      </x:c>
      <x:c r="E25" s="39" t="str">
        <x:v>Open</x:v>
      </x:c>
    </x:row>
    <x:row r="26">
      <x:c r="A26" s="31" t="str">
        <x:v>benzoyl_peroxide</x:v>
      </x:c>
      <x:c r="B26" s="31" t="str">
        <x:v>interaction_severity_unclassified</x:v>
      </x:c>
      <x:c r="C26" s="37" t="str">
        <x:v>Possible named interaction with tretinoin requires clinical severity review.</x:v>
      </x:c>
      <x:c r="D26" s="37" t="str">
        <x:v>https://drug.fda.moph.go.th/media.php?id=809657948493193216&amp;name=SMPC_Benzoyl peroxide_cream.pdf</x:v>
      </x:c>
      <x:c r="E26" s="39" t="str">
        <x:v>Open</x:v>
      </x:c>
    </x:row>
    <x:row r="27">
      <x:c r="A27" s="31" t="str">
        <x:v>amino_acid</x:v>
      </x:c>
      <x:c r="B27" s="31" t="str">
        <x:v>interaction_severity_unclassified</x:v>
      </x:c>
      <x:c r="C27" s="37" t="str">
        <x:v>Possible named interaction with benzylpenicillin_penicillin_g requires clinical severity review.</x:v>
      </x:c>
      <x:c r="D27" s="37" t="str">
        <x:v>https://drug.fda.moph.go.th/media.php?id=809658888994562048&amp;name=SMPC_Benzylpenicillin Sodium_Powders for solutions for injections or infusions.pdf</x:v>
      </x:c>
      <x:c r="E27" s="39" t="str">
        <x:v>Open</x:v>
      </x:c>
    </x:row>
    <x:row r="28">
      <x:c r="A28" s="31" t="str">
        <x:v>benzylpenicillin_penicillin_g</x:v>
      </x:c>
      <x:c r="B28" s="31" t="str">
        <x:v>interaction_severity_unclassified</x:v>
      </x:c>
      <x:c r="C28" s="37" t="str">
        <x:v>Possible named interaction with digoxin requires clinical severity review.</x:v>
      </x:c>
      <x:c r="D28" s="37" t="str">
        <x:v>https://drug.fda.moph.go.th/media.php?id=809658888994562048&amp;name=SMPC_Benzylpenicillin Sodium_Powders for solutions for injections or infusions.pdf</x:v>
      </x:c>
      <x:c r="E28" s="39" t="str">
        <x:v>Open</x:v>
      </x:c>
    </x:row>
    <x:row r="29">
      <x:c r="A29" s="31" t="str">
        <x:v>benzylpenicillin_penicillin_g</x:v>
      </x:c>
      <x:c r="B29" s="31" t="str">
        <x:v>interaction_severity_unclassified</x:v>
      </x:c>
      <x:c r="C29" s="37" t="str">
        <x:v>Possible named interaction with indomethacin requires clinical severity review.</x:v>
      </x:c>
      <x:c r="D29" s="37" t="str">
        <x:v>https://drug.fda.moph.go.th/media.php?id=809658888994562048&amp;name=SMPC_Benzylpenicillin Sodium_Powders for solutions for injections or infusions.pdf</x:v>
      </x:c>
      <x:c r="E29" s="39" t="str">
        <x:v>Open</x:v>
      </x:c>
    </x:row>
    <x:row r="30">
      <x:c r="A30" s="31" t="str">
        <x:v>benzylpenicillin_penicillin_g</x:v>
      </x:c>
      <x:c r="B30" s="31" t="str">
        <x:v>interaction_severity_unclassified</x:v>
      </x:c>
      <x:c r="C30" s="37" t="str">
        <x:v>Possible named interaction with methotrexate requires clinical severity review.</x:v>
      </x:c>
      <x:c r="D30" s="37" t="str">
        <x:v>https://drug.fda.moph.go.th/media.php?id=809658888994562048&amp;name=SMPC_Benzylpenicillin Sodium_Powders for solutions for injections or infusions.pdf</x:v>
      </x:c>
      <x:c r="E30" s="39" t="str">
        <x:v>Open</x:v>
      </x:c>
    </x:row>
    <x:row r="31">
      <x:c r="A31" s="31" t="str">
        <x:v>benzylpenicillin_penicillin_g</x:v>
      </x:c>
      <x:c r="B31" s="31" t="str">
        <x:v>interaction_severity_unclassified</x:v>
      </x:c>
      <x:c r="C31" s="37" t="str">
        <x:v>Possible named interaction with methotrexate requires clinical severity review.</x:v>
      </x:c>
      <x:c r="D31" s="37" t="str">
        <x:v>https://drug.fda.moph.go.th/media.php?id=809658888994562048&amp;name=SMPC_Benzylpenicillin Sodium_Powders for solutions for injections or infusions.pdf</x:v>
      </x:c>
      <x:c r="E31" s="39" t="str">
        <x:v>Open</x:v>
      </x:c>
    </x:row>
    <x:row r="32">
      <x:c r="A32" s="31" t="str">
        <x:v>ampicillin</x:v>
      </x:c>
      <x:c r="B32" s="31" t="str">
        <x:v>interaction_severity_unclassified</x:v>
      </x:c>
      <x:c r="C32" s="37" t="str">
        <x:v>Possible named interaction with bromhexine requires clinical severity review.</x:v>
      </x:c>
      <x:c r="D32" s="37" t="str">
        <x:v>https://drug.fda.moph.go.th/media.php?id=809661846922600448&amp;name=SMPC_Bromhexine_Tablets.pdf</x:v>
      </x:c>
      <x:c r="E32" s="39" t="str">
        <x:v>Open</x:v>
      </x:c>
    </x:row>
    <x:row r="33">
      <x:c r="A33" s="31" t="str">
        <x:v>bromhexine</x:v>
      </x:c>
      <x:c r="B33" s="31" t="str">
        <x:v>interaction_severity_unclassified</x:v>
      </x:c>
      <x:c r="C33" s="37" t="str">
        <x:v>Possible named interaction with digoxin requires clinical severity review.</x:v>
      </x:c>
      <x:c r="D33" s="37" t="str">
        <x:v>https://drug.fda.moph.go.th/media.php?id=809661846922600448&amp;name=SMPC_Bromhexine_Tablets.pdf</x:v>
      </x:c>
      <x:c r="E33" s="39" t="str">
        <x:v>Open</x:v>
      </x:c>
    </x:row>
    <x:row r="34">
      <x:c r="A34" s="31" t="str">
        <x:v>bromhexine</x:v>
      </x:c>
      <x:c r="B34" s="31" t="str">
        <x:v>interaction_severity_unclassified</x:v>
      </x:c>
      <x:c r="C34" s="37" t="str">
        <x:v>Possible named interaction with erythromycin requires clinical severity review.</x:v>
      </x:c>
      <x:c r="D34" s="37" t="str">
        <x:v>https://drug.fda.moph.go.th/media.php?id=809661846922600448&amp;name=SMPC_Bromhexine_Tablets.pdf</x:v>
      </x:c>
      <x:c r="E34" s="39" t="str">
        <x:v>Open</x:v>
      </x:c>
    </x:row>
    <x:row r="35">
      <x:c r="A35" s="31" t="str">
        <x:v>bromhexine</x:v>
      </x:c>
      <x:c r="B35" s="31" t="str">
        <x:v>interaction_severity_unclassified</x:v>
      </x:c>
      <x:c r="C35" s="37" t="str">
        <x:v>Possible named interaction with oxytetracycline requires clinical severity review.</x:v>
      </x:c>
      <x:c r="D35" s="37" t="str">
        <x:v>https://drug.fda.moph.go.th/media.php?id=809661846922600448&amp;name=SMPC_Bromhexine_Tablets.pdf</x:v>
      </x:c>
      <x:c r="E35" s="39" t="str">
        <x:v>Open</x:v>
      </x:c>
    </x:row>
    <x:row r="36">
      <x:c r="A36" s="31" t="str">
        <x:v>calcium</x:v>
      </x:c>
      <x:c r="B36" s="31" t="str">
        <x:v>interaction_severity_unclassified</x:v>
      </x:c>
      <x:c r="C36" s="37" t="str">
        <x:v>Possible named interaction with tetracycline requires clinical severity review.</x:v>
      </x:c>
      <x:c r="D36" s="37" t="str">
        <x:v>https://drug.fda.moph.go.th/media.php?id=809662943624044544&amp;name=SMPC_Calcium carbonate_chewable tablets.pdf</x:v>
      </x:c>
      <x:c r="E36" s="39" t="str">
        <x:v>Open</x:v>
      </x:c>
    </x:row>
    <x:row r="37">
      <x:c r="A37" s="31" t="str">
        <x:v>calcium_folinate</x:v>
      </x:c>
      <x:c r="B37" s="31" t="str">
        <x:v>interaction_severity_unclassified</x:v>
      </x:c>
      <x:c r="C37" s="37" t="str">
        <x:v>Possible named interaction with pyrimethamine requires clinical severity review.</x:v>
      </x:c>
      <x:c r="D37" s="37" t="str">
        <x:v>https://drug.fda.moph.go.th/media.php?id=809663362920226816&amp;name=SMPC_Calcium Folinate_Solutions for injections or infusions.pdf</x:v>
      </x:c>
      <x:c r="E37" s="39" t="str">
        <x:v>Open</x:v>
      </x:c>
    </x:row>
    <x:row r="38">
      <x:c r="A38" s="31" t="str">
        <x:v>calcium_folinate</x:v>
      </x:c>
      <x:c r="B38" s="31" t="str">
        <x:v>interaction_severity_unclassified</x:v>
      </x:c>
      <x:c r="C38" s="37" t="str">
        <x:v>Possible named interaction with fluorouracil requires clinical severity review.</x:v>
      </x:c>
      <x:c r="D38" s="37" t="str">
        <x:v>https://drug.fda.moph.go.th/media.php?id=809663362920226816&amp;name=SMPC_Calcium Folinate_Solutions for injections or infusions.pdf</x:v>
      </x:c>
      <x:c r="E38" s="39" t="str">
        <x:v>Open</x:v>
      </x:c>
    </x:row>
    <x:row r="39">
      <x:c r="A39" s="31" t="str">
        <x:v>calcium_folinate</x:v>
      </x:c>
      <x:c r="B39" s="31" t="str">
        <x:v>interaction_severity_unclassified</x:v>
      </x:c>
      <x:c r="C39" s="37" t="str">
        <x:v>Possible named interaction with folic_acid requires clinical severity review.</x:v>
      </x:c>
      <x:c r="D39" s="37" t="str">
        <x:v>https://drug.fda.moph.go.th/media.php?id=809663362920226816&amp;name=SMPC_Calcium Folinate_Solutions for injections or infusions.pdf</x:v>
      </x:c>
      <x:c r="E39" s="39" t="str">
        <x:v>Open</x:v>
      </x:c>
    </x:row>
    <x:row r="40">
      <x:c r="A40" s="31" t="str">
        <x:v>calcium_folinate</x:v>
      </x:c>
      <x:c r="B40" s="31" t="str">
        <x:v>interaction_severity_unclassified</x:v>
      </x:c>
      <x:c r="C40" s="37" t="str">
        <x:v>Possible named interaction with methotrexate requires clinical severity review.</x:v>
      </x:c>
      <x:c r="D40" s="37" t="str">
        <x:v>https://drug.fda.moph.go.th/media.php?id=809663362920226816&amp;name=SMPC_Calcium Folinate_Solutions for injections or infusions.pdf</x:v>
      </x:c>
      <x:c r="E40" s="39" t="str">
        <x:v>Open</x:v>
      </x:c>
    </x:row>
    <x:row r="41">
      <x:c r="A41" s="31" t="str">
        <x:v>calcium_folinate</x:v>
      </x:c>
      <x:c r="B41" s="31" t="str">
        <x:v>interaction_severity_unclassified</x:v>
      </x:c>
      <x:c r="C41" s="37" t="str">
        <x:v>Possible named interaction with pyrimethamine requires clinical severity review.</x:v>
      </x:c>
      <x:c r="D41" s="37" t="str">
        <x:v>https://drug.fda.moph.go.th/media.php?id=809663362920226816&amp;name=SMPC_Calcium Folinate_Solutions for injections or infusions.pdf</x:v>
      </x:c>
      <x:c r="E41" s="39" t="str">
        <x:v>Open</x:v>
      </x:c>
    </x:row>
    <x:row r="42">
      <x:c r="A42" s="31" t="str">
        <x:v>captopril</x:v>
      </x:c>
      <x:c r="B42" s="31" t="str">
        <x:v>interaction_severity_unclassified</x:v>
      </x:c>
      <x:c r="C42" s="37" t="str">
        <x:v>Possible named interaction with furosemide requires clinical severity review.</x:v>
      </x:c>
      <x:c r="D42" s="37" t="str">
        <x:v>https://drug.fda.moph.go.th/media.php?id=809664599430406144&amp;name=SMPC_Captopril_tablets.pdf</x:v>
      </x:c>
      <x:c r="E42" s="39" t="str">
        <x:v>Open</x:v>
      </x:c>
    </x:row>
    <x:row r="43">
      <x:c r="A43" s="31" t="str">
        <x:v>captopril</x:v>
      </x:c>
      <x:c r="B43" s="31" t="str">
        <x:v>interaction_severity_unclassified</x:v>
      </x:c>
      <x:c r="C43" s="37" t="str">
        <x:v>Possible named interaction with furosemide requires clinical severity review.</x:v>
      </x:c>
      <x:c r="D43" s="37" t="str">
        <x:v>https://drug.fda.moph.go.th/media.php?id=809664599430406144&amp;name=SMPC_Captopril_tablets.pdf</x:v>
      </x:c>
      <x:c r="E43" s="39" t="str">
        <x:v>Open</x:v>
      </x:c>
    </x:row>
    <x:row r="44">
      <x:c r="A44" s="31" t="str">
        <x:v>captopril</x:v>
      </x:c>
      <x:c r="B44" s="31" t="str">
        <x:v>interaction_severity_unclassified</x:v>
      </x:c>
      <x:c r="C44" s="37" t="str">
        <x:v>Possible named interaction with ibuprofen requires clinical severity review.</x:v>
      </x:c>
      <x:c r="D44" s="37" t="str">
        <x:v>https://drug.fda.moph.go.th/media.php?id=809664599430406144&amp;name=SMPC_Captopril_tablets.pdf</x:v>
      </x:c>
      <x:c r="E44" s="39" t="str">
        <x:v>Open</x:v>
      </x:c>
    </x:row>
    <x:row r="45">
      <x:c r="A45" s="31" t="str">
        <x:v>captopril</x:v>
      </x:c>
      <x:c r="B45" s="31" t="str">
        <x:v>interaction_severity_unclassified</x:v>
      </x:c>
      <x:c r="C45" s="37" t="str">
        <x:v>Possible named interaction with indomethacin requires clinical severity review.</x:v>
      </x:c>
      <x:c r="D45" s="37" t="str">
        <x:v>https://drug.fda.moph.go.th/media.php?id=809664599430406144&amp;name=SMPC_Captopril_tablets.pdf</x:v>
      </x:c>
      <x:c r="E45" s="39" t="str">
        <x:v>Open</x:v>
      </x:c>
    </x:row>
    <x:row r="46">
      <x:c r="A46" s="31" t="str">
        <x:v>captopril</x:v>
      </x:c>
      <x:c r="B46" s="31" t="str">
        <x:v>interaction_severity_unclassified</x:v>
      </x:c>
      <x:c r="C46" s="37" t="str">
        <x:v>Possible named interaction with minoxidil requires clinical severity review.</x:v>
      </x:c>
      <x:c r="D46" s="37" t="str">
        <x:v>https://drug.fda.moph.go.th/media.php?id=809664599430406144&amp;name=SMPC_Captopril_tablets.pdf</x:v>
      </x:c>
      <x:c r="E46" s="39" t="str">
        <x:v>Open</x:v>
      </x:c>
    </x:row>
    <x:row r="47">
      <x:c r="A47" s="31" t="str">
        <x:v>captopril</x:v>
      </x:c>
      <x:c r="B47" s="31" t="str">
        <x:v>interaction_severity_unclassified</x:v>
      </x:c>
      <x:c r="C47" s="37" t="str">
        <x:v>Possible named interaction with lithium requires clinical severity review.</x:v>
      </x:c>
      <x:c r="D47" s="37" t="str">
        <x:v>https://drug.fda.moph.go.th/media.php?id=809664599430406144&amp;name=SMPC_Captopril_tablets.pdf</x:v>
      </x:c>
      <x:c r="E47" s="39" t="str">
        <x:v>Open</x:v>
      </x:c>
    </x:row>
    <x:row r="48">
      <x:c r="A48" s="31" t="str">
        <x:v>captopril</x:v>
      </x:c>
      <x:c r="B48" s="31" t="str">
        <x:v>interaction_severity_unclassified</x:v>
      </x:c>
      <x:c r="C48" s="37" t="str">
        <x:v>Possible named interaction with clonidine requires clinical severity review.</x:v>
      </x:c>
      <x:c r="D48" s="37" t="str">
        <x:v>https://drug.fda.moph.go.th/media.php?id=809664599430406144&amp;name=SMPC_Captopril_tablets.pdf</x:v>
      </x:c>
      <x:c r="E48" s="39" t="str">
        <x:v>Open</x:v>
      </x:c>
    </x:row>
    <x:row r="49">
      <x:c r="A49" s="31" t="str">
        <x:v>captopril</x:v>
      </x:c>
      <x:c r="B49" s="31" t="str">
        <x:v>interaction_severity_unclassified</x:v>
      </x:c>
      <x:c r="C49" s="37" t="str">
        <x:v>Possible named interaction with insulin requires clinical severity review.</x:v>
      </x:c>
      <x:c r="D49" s="37" t="str">
        <x:v>https://drug.fda.moph.go.th/media.php?id=809664599430406144&amp;name=SMPC_Captopril_tablets.pdf</x:v>
      </x:c>
      <x:c r="E49" s="39" t="str">
        <x:v>Open</x:v>
      </x:c>
    </x:row>
    <x:row r="50">
      <x:c r="A50" s="31" t="str">
        <x:v>captopril</x:v>
      </x:c>
      <x:c r="B50" s="31" t="str">
        <x:v>interaction_severity_unclassified</x:v>
      </x:c>
      <x:c r="C50" s="37" t="str">
        <x:v>Possible named interaction with insulin requires clinical severity review.</x:v>
      </x:c>
      <x:c r="D50" s="37" t="str">
        <x:v>https://drug.fda.moph.go.th/media.php?id=809664599430406144&amp;name=SMPC_Captopril_tablets.pdf</x:v>
      </x:c>
      <x:c r="E50" s="39" t="str">
        <x:v>Open</x:v>
      </x:c>
    </x:row>
    <x:row r="51">
      <x:c r="A51" s="31" t="str">
        <x:v>carbamazepine</x:v>
      </x:c>
      <x:c r="B51" s="31" t="str">
        <x:v>interaction_severity_unclassified</x:v>
      </x:c>
      <x:c r="C51" s="37" t="str">
        <x:v>Possible named interaction with cimetidine requires clinical severity review.</x:v>
      </x:c>
      <x:c r="D51" s="37" t="str">
        <x:v>https://drug.fda.moph.go.th/media.php?id=809665211119312896&amp;name=SMPC_Carbamazepine_Tablets.pdf</x:v>
      </x:c>
      <x:c r="E51" s="39" t="str">
        <x:v>Open</x:v>
      </x:c>
    </x:row>
    <x:row r="52">
      <x:c r="A52" s="31" t="str">
        <x:v>carbamazepine</x:v>
      </x:c>
      <x:c r="B52" s="31" t="str">
        <x:v>interaction_severity_unclassified</x:v>
      </x:c>
      <x:c r="C52" s="37" t="str">
        <x:v>Possible named interaction with clarithromycin requires clinical severity review.</x:v>
      </x:c>
      <x:c r="D52" s="37" t="str">
        <x:v>https://drug.fda.moph.go.th/media.php?id=809665211119312896&amp;name=SMPC_Carbamazepine_Tablets.pdf</x:v>
      </x:c>
      <x:c r="E52" s="39" t="str">
        <x:v>Open</x:v>
      </x:c>
    </x:row>
    <x:row r="53">
      <x:c r="A53" s="31" t="str">
        <x:v>carbamazepine</x:v>
      </x:c>
      <x:c r="B53" s="31" t="str">
        <x:v>interaction_severity_unclassified</x:v>
      </x:c>
      <x:c r="C53" s="37" t="str">
        <x:v>Possible named interaction with diltiazem requires clinical severity review.</x:v>
      </x:c>
      <x:c r="D53" s="37" t="str">
        <x:v>https://drug.fda.moph.go.th/media.php?id=809665211119312896&amp;name=SMPC_Carbamazepine_Tablets.pdf</x:v>
      </x:c>
      <x:c r="E53" s="39" t="str">
        <x:v>Open</x:v>
      </x:c>
    </x:row>
    <x:row r="54">
      <x:c r="A54" s="31" t="str">
        <x:v>carbamazepine</x:v>
      </x:c>
      <x:c r="B54" s="31" t="str">
        <x:v>interaction_severity_unclassified</x:v>
      </x:c>
      <x:c r="C54" s="37" t="str">
        <x:v>Possible named interaction with erythromycin requires clinical severity review.</x:v>
      </x:c>
      <x:c r="D54" s="37" t="str">
        <x:v>https://drug.fda.moph.go.th/media.php?id=809665211119312896&amp;name=SMPC_Carbamazepine_Tablets.pdf</x:v>
      </x:c>
      <x:c r="E54" s="39" t="str">
        <x:v>Open</x:v>
      </x:c>
    </x:row>
    <x:row r="55">
      <x:c r="A55" s="31" t="str">
        <x:v>carbamazepine</x:v>
      </x:c>
      <x:c r="B55" s="31" t="str">
        <x:v>interaction_severity_unclassified</x:v>
      </x:c>
      <x:c r="C55" s="37" t="str">
        <x:v>Possible named interaction with fluoxetine requires clinical severity review.</x:v>
      </x:c>
      <x:c r="D55" s="37" t="str">
        <x:v>https://drug.fda.moph.go.th/media.php?id=809665211119312896&amp;name=SMPC_Carbamazepine_Tablets.pdf</x:v>
      </x:c>
      <x:c r="E55" s="39" t="str">
        <x:v>Open</x:v>
      </x:c>
    </x:row>
    <x:row r="56">
      <x:c r="A56" s="31" t="str">
        <x:v>carbamazepine</x:v>
      </x:c>
      <x:c r="B56" s="31" t="str">
        <x:v>interaction_severity_unclassified</x:v>
      </x:c>
      <x:c r="C56" s="37" t="str">
        <x:v>Possible named interaction with isoniazid requires clinical severity review.</x:v>
      </x:c>
      <x:c r="D56" s="37" t="str">
        <x:v>https://drug.fda.moph.go.th/media.php?id=809665211119312896&amp;name=SMPC_Carbamazepine_Tablets.pdf</x:v>
      </x:c>
      <x:c r="E56" s="39" t="str">
        <x:v>Open</x:v>
      </x:c>
    </x:row>
    <x:row r="57">
      <x:c r="A57" s="31" t="str">
        <x:v>carbamazepine</x:v>
      </x:c>
      <x:c r="B57" s="31" t="str">
        <x:v>interaction_severity_unclassified</x:v>
      </x:c>
      <x:c r="C57" s="37" t="str">
        <x:v>Possible named interaction with itraconazole requires clinical severity review.</x:v>
      </x:c>
      <x:c r="D57" s="37" t="str">
        <x:v>https://drug.fda.moph.go.th/media.php?id=809665211119312896&amp;name=SMPC_Carbamazepine_Tablets.pdf</x:v>
      </x:c>
      <x:c r="E57" s="39" t="str">
        <x:v>Open</x:v>
      </x:c>
    </x:row>
    <x:row r="58">
      <x:c r="A58" s="31" t="str">
        <x:v>carbamazepine</x:v>
      </x:c>
      <x:c r="B58" s="31" t="str">
        <x:v>interaction_severity_unclassified</x:v>
      </x:c>
      <x:c r="C58" s="37" t="str">
        <x:v>Possible named interaction with ketoconazole requires clinical severity review.</x:v>
      </x:c>
      <x:c r="D58" s="37" t="str">
        <x:v>https://drug.fda.moph.go.th/media.php?id=809665211119312896&amp;name=SMPC_Carbamazepine_Tablets.pdf</x:v>
      </x:c>
      <x:c r="E58" s="39" t="str">
        <x:v>Open</x:v>
      </x:c>
    </x:row>
    <x:row r="59">
      <x:c r="A59" s="31" t="str">
        <x:v>carbamazepine</x:v>
      </x:c>
      <x:c r="B59" s="31" t="str">
        <x:v>interaction_severity_unclassified</x:v>
      </x:c>
      <x:c r="C59" s="37" t="str">
        <x:v>Possible named interaction with omeprazole requires clinical severity review.</x:v>
      </x:c>
      <x:c r="D59" s="37" t="str">
        <x:v>https://drug.fda.moph.go.th/media.php?id=809665211119312896&amp;name=SMPC_Carbamazepine_Tablets.pdf</x:v>
      </x:c>
      <x:c r="E59" s="39" t="str">
        <x:v>Open</x:v>
      </x:c>
    </x:row>
    <x:row r="60">
      <x:c r="A60" s="31" t="str">
        <x:v>carbamazepine</x:v>
      </x:c>
      <x:c r="B60" s="31" t="str">
        <x:v>interaction_severity_unclassified</x:v>
      </x:c>
      <x:c r="C60" s="37" t="str">
        <x:v>Possible named interaction with trazodone requires clinical severity review.</x:v>
      </x:c>
      <x:c r="D60" s="37" t="str">
        <x:v>https://drug.fda.moph.go.th/media.php?id=809665211119312896&amp;name=SMPC_Carbamazepine_Tablets.pdf</x:v>
      </x:c>
      <x:c r="E60" s="39" t="str">
        <x:v>Open</x:v>
      </x:c>
    </x:row>
    <x:row r="61">
      <x:c r="A61" s="31" t="str">
        <x:v>carbamazepine</x:v>
      </x:c>
      <x:c r="B61" s="31" t="str">
        <x:v>interaction_severity_unclassified</x:v>
      </x:c>
      <x:c r="C61" s="37" t="str">
        <x:v>Possible named interaction with verapamil requires clinical severity review.</x:v>
      </x:c>
      <x:c r="D61" s="37" t="str">
        <x:v>https://drug.fda.moph.go.th/media.php?id=809665211119312896&amp;name=SMPC_Carbamazepine_Tablets.pdf</x:v>
      </x:c>
      <x:c r="E61" s="39" t="str">
        <x:v>Open</x:v>
      </x:c>
    </x:row>
    <x:row r="62">
      <x:c r="A62" s="31" t="str">
        <x:v>carbamazepine</x:v>
      </x:c>
      <x:c r="B62" s="31" t="str">
        <x:v>interaction_severity_unclassified</x:v>
      </x:c>
      <x:c r="C62" s="37" t="str">
        <x:v>Possible named interaction with mianserin requires clinical severity review.</x:v>
      </x:c>
      <x:c r="D62" s="37" t="str">
        <x:v>https://drug.fda.moph.go.th/media.php?id=809665211119312896&amp;name=SMPC_Carbamazepine_Tablets.pdf</x:v>
      </x:c>
      <x:c r="E62" s="39" t="str">
        <x:v>Open</x:v>
      </x:c>
    </x:row>
    <x:row r="63">
      <x:c r="A63" s="31" t="str">
        <x:v>carbamazepine</x:v>
      </x:c>
      <x:c r="B63" s="31" t="str">
        <x:v>interaction_severity_unclassified</x:v>
      </x:c>
      <x:c r="C63" s="37" t="str">
        <x:v>Possible named interaction with paracetamol requires clinical severity review.</x:v>
      </x:c>
      <x:c r="D63" s="37" t="str">
        <x:v>https://drug.fda.moph.go.th/media.php?id=809665211119312896&amp;name=SMPC_Carbamazepine_Tablets.pdf</x:v>
      </x:c>
      <x:c r="E63" s="39" t="str">
        <x:v>Open</x:v>
      </x:c>
    </x:row>
    <x:row r="64">
      <x:c r="A64" s="31" t="str">
        <x:v>carbamazepine</x:v>
      </x:c>
      <x:c r="B64" s="31" t="str">
        <x:v>interaction_severity_unclassified</x:v>
      </x:c>
      <x:c r="C64" s="37" t="str">
        <x:v>Possible named interaction with rifampicin requires clinical severity review.</x:v>
      </x:c>
      <x:c r="D64" s="37" t="str">
        <x:v>https://drug.fda.moph.go.th/media.php?id=809665211119312896&amp;name=SMPC_Carbamazepine_Tablets.pdf</x:v>
      </x:c>
      <x:c r="E64" s="39" t="str">
        <x:v>Open</x:v>
      </x:c>
    </x:row>
    <x:row r="65">
      <x:c r="A65" s="31" t="str">
        <x:v>carbamazepine</x:v>
      </x:c>
      <x:c r="B65" s="31" t="str">
        <x:v>interaction_severity_unclassified</x:v>
      </x:c>
      <x:c r="C65" s="37" t="str">
        <x:v>Possible named interaction with theophylline requires clinical severity review.</x:v>
      </x:c>
      <x:c r="D65" s="37" t="str">
        <x:v>https://drug.fda.moph.go.th/media.php?id=809665211119312896&amp;name=SMPC_Carbamazepine_Tablets.pdf</x:v>
      </x:c>
      <x:c r="E65" s="39" t="str">
        <x:v>Open</x:v>
      </x:c>
    </x:row>
    <x:row r="66">
      <x:c r="A66" s="31" t="str">
        <x:v>carbamazepine</x:v>
      </x:c>
      <x:c r="B66" s="31" t="str">
        <x:v>interaction_severity_unclassified</x:v>
      </x:c>
      <x:c r="C66" s="37" t="str">
        <x:v>Possible named interaction with tramadol requires clinical severity review.</x:v>
      </x:c>
      <x:c r="D66" s="37" t="str">
        <x:v>https://drug.fda.moph.go.th/media.php?id=809665211119312896&amp;name=SMPC_Carbamazepine_Tablets.pdf</x:v>
      </x:c>
      <x:c r="E66" s="39" t="str">
        <x:v>Open</x:v>
      </x:c>
    </x:row>
    <x:row r="67">
      <x:c r="A67" s="31" t="str">
        <x:v>carbamazepine</x:v>
      </x:c>
      <x:c r="B67" s="31" t="str">
        <x:v>interaction_severity_unclassified</x:v>
      </x:c>
      <x:c r="C67" s="37" t="str">
        <x:v>Possible named interaction with trazodone requires clinical severity review.</x:v>
      </x:c>
      <x:c r="D67" s="37" t="str">
        <x:v>https://drug.fda.moph.go.th/media.php?id=809665211119312896&amp;name=SMPC_Carbamazepine_Tablets.pdf</x:v>
      </x:c>
      <x:c r="E67" s="39" t="str">
        <x:v>Open</x:v>
      </x:c>
    </x:row>
    <x:row r="68">
      <x:c r="A68" s="31" t="str">
        <x:v>carbamazepine</x:v>
      </x:c>
      <x:c r="B68" s="31" t="str">
        <x:v>interaction_severity_unclassified</x:v>
      </x:c>
      <x:c r="C68" s="37" t="str">
        <x:v>Possible named interaction with doxorubicin requires clinical severity review.</x:v>
      </x:c>
      <x:c r="D68" s="37" t="str">
        <x:v>https://drug.fda.moph.go.th/media.php?id=809665211119312896&amp;name=SMPC_Carbamazepine_Tablets.pdf</x:v>
      </x:c>
      <x:c r="E68" s="39" t="str">
        <x:v>Open</x:v>
      </x:c>
    </x:row>
    <x:row r="69">
      <x:c r="A69" s="31" t="str">
        <x:v>aminophylline</x:v>
      </x:c>
      <x:c r="B69" s="31" t="str">
        <x:v>interaction_severity_unclassified</x:v>
      </x:c>
      <x:c r="C69" s="37" t="str">
        <x:v>Possible named interaction with carbamazepine requires clinical severity review.</x:v>
      </x:c>
      <x:c r="D69" s="37" t="str">
        <x:v>https://drug.fda.moph.go.th/media.php?id=809665211119312896&amp;name=SMPC_Carbamazepine_Tablets.pdf</x:v>
      </x:c>
      <x:c r="E69" s="39" t="str">
        <x:v>Open</x:v>
      </x:c>
    </x:row>
    <x:row r="70">
      <x:c r="A70" s="31" t="str">
        <x:v>carbamazepine</x:v>
      </x:c>
      <x:c r="B70" s="31" t="str">
        <x:v>interaction_severity_unclassified</x:v>
      </x:c>
      <x:c r="C70" s="37" t="str">
        <x:v>Possible named interaction with dexamethasone requires clinical severity review.</x:v>
      </x:c>
      <x:c r="D70" s="37" t="str">
        <x:v>https://drug.fda.moph.go.th/media.php?id=809665211119312896&amp;name=SMPC_Carbamazepine_Tablets.pdf</x:v>
      </x:c>
      <x:c r="E70" s="39" t="str">
        <x:v>Open</x:v>
      </x:c>
    </x:row>
    <x:row r="71">
      <x:c r="A71" s="31" t="str">
        <x:v>carbamazepine</x:v>
      </x:c>
      <x:c r="B71" s="31" t="str">
        <x:v>interaction_severity_unclassified</x:v>
      </x:c>
      <x:c r="C71" s="37" t="str">
        <x:v>Possible named interaction with digoxin requires clinical severity review.</x:v>
      </x:c>
      <x:c r="D71" s="37" t="str">
        <x:v>https://drug.fda.moph.go.th/media.php?id=809665211119312896&amp;name=SMPC_Carbamazepine_Tablets.pdf</x:v>
      </x:c>
      <x:c r="E71" s="39" t="str">
        <x:v>Open</x:v>
      </x:c>
    </x:row>
    <x:row r="72">
      <x:c r="A72" s="31" t="str">
        <x:v>carbamazepine</x:v>
      </x:c>
      <x:c r="B72" s="31" t="str">
        <x:v>interaction_severity_unclassified</x:v>
      </x:c>
      <x:c r="C72" s="37" t="str">
        <x:v>Possible named interaction with felodipine requires clinical severity review.</x:v>
      </x:c>
      <x:c r="D72" s="37" t="str">
        <x:v>https://drug.fda.moph.go.th/media.php?id=809665211119312896&amp;name=SMPC_Carbamazepine_Tablets.pdf</x:v>
      </x:c>
      <x:c r="E72" s="39" t="str">
        <x:v>Open</x:v>
      </x:c>
    </x:row>
    <x:row r="73">
      <x:c r="A73" s="31" t="str">
        <x:v>carbamazepine</x:v>
      </x:c>
      <x:c r="B73" s="31" t="str">
        <x:v>interaction_severity_unclassified</x:v>
      </x:c>
      <x:c r="C73" s="37" t="str">
        <x:v>Possible named interaction with levothyroxine requires clinical severity review.</x:v>
      </x:c>
      <x:c r="D73" s="37" t="str">
        <x:v>https://drug.fda.moph.go.th/media.php?id=809665211119312896&amp;name=SMPC_Carbamazepine_Tablets.pdf</x:v>
      </x:c>
      <x:c r="E73" s="39" t="str">
        <x:v>Open</x:v>
      </x:c>
    </x:row>
    <x:row r="74">
      <x:c r="A74" s="31" t="str">
        <x:v>carbamazepine</x:v>
      </x:c>
      <x:c r="B74" s="31" t="str">
        <x:v>interaction_severity_unclassified</x:v>
      </x:c>
      <x:c r="C74" s="37" t="str">
        <x:v>Possible named interaction with prednisolone requires clinical severity review.</x:v>
      </x:c>
      <x:c r="D74" s="37" t="str">
        <x:v>https://drug.fda.moph.go.th/media.php?id=809665211119312896&amp;name=SMPC_Carbamazepine_Tablets.pdf</x:v>
      </x:c>
      <x:c r="E74" s="39" t="str">
        <x:v>Open</x:v>
      </x:c>
    </x:row>
    <x:row r="75">
      <x:c r="A75" s="31" t="str">
        <x:v>carbamazepine</x:v>
      </x:c>
      <x:c r="B75" s="31" t="str">
        <x:v>interaction_severity_unclassified</x:v>
      </x:c>
      <x:c r="C75" s="37" t="str">
        <x:v>Possible named interaction with simvastatin requires clinical severity review.</x:v>
      </x:c>
      <x:c r="D75" s="37" t="str">
        <x:v>https://drug.fda.moph.go.th/media.php?id=809665211119312896&amp;name=SMPC_Carbamazepine_Tablets.pdf</x:v>
      </x:c>
      <x:c r="E75" s="39" t="str">
        <x:v>Open</x:v>
      </x:c>
    </x:row>
    <x:row r="76">
      <x:c r="A76" s="31" t="str">
        <x:v>carbamazepine</x:v>
      </x:c>
      <x:c r="B76" s="31" t="str">
        <x:v>interaction_severity_unclassified</x:v>
      </x:c>
      <x:c r="C76" s="37" t="str">
        <x:v>Possible named interaction with theophylline requires clinical severity review.</x:v>
      </x:c>
      <x:c r="D76" s="37" t="str">
        <x:v>https://drug.fda.moph.go.th/media.php?id=809665211119312896&amp;name=SMPC_Carbamazepine_Tablets.pdf</x:v>
      </x:c>
      <x:c r="E76" s="39" t="str">
        <x:v>Open</x:v>
      </x:c>
    </x:row>
    <x:row r="77">
      <x:c r="A77" s="31" t="str">
        <x:v>carbamazepine</x:v>
      </x:c>
      <x:c r="B77" s="31" t="str">
        <x:v>interaction_severity_unclassified</x:v>
      </x:c>
      <x:c r="C77" s="37" t="str">
        <x:v>Possible named interaction with furosemide requires clinical severity review.</x:v>
      </x:c>
      <x:c r="D77" s="37" t="str">
        <x:v>https://drug.fda.moph.go.th/media.php?id=809665211119312896&amp;name=SMPC_Carbamazepine_Tablets.pdf</x:v>
      </x:c>
      <x:c r="E77" s="39" t="str">
        <x:v>Open</x:v>
      </x:c>
    </x:row>
    <x:row r="78">
      <x:c r="A78" s="31" t="str">
        <x:v>carbamazepine</x:v>
      </x:c>
      <x:c r="B78" s="31" t="str">
        <x:v>interaction_severity_unclassified</x:v>
      </x:c>
      <x:c r="C78" s="37" t="str">
        <x:v>Possible named interaction with haloperidol requires clinical severity review.</x:v>
      </x:c>
      <x:c r="D78" s="37" t="str">
        <x:v>https://drug.fda.moph.go.th/media.php?id=809665211119312896&amp;name=SMPC_Carbamazepine_Tablets.pdf</x:v>
      </x:c>
      <x:c r="E78" s="39" t="str">
        <x:v>Open</x:v>
      </x:c>
    </x:row>
    <x:row r="79">
      <x:c r="A79" s="31" t="str">
        <x:v>carbamazepine</x:v>
      </x:c>
      <x:c r="B79" s="31" t="str">
        <x:v>interaction_severity_unclassified</x:v>
      </x:c>
      <x:c r="C79" s="37" t="str">
        <x:v>Possible named interaction with isoniazid requires clinical severity review.</x:v>
      </x:c>
      <x:c r="D79" s="37" t="str">
        <x:v>https://drug.fda.moph.go.th/media.php?id=809665211119312896&amp;name=SMPC_Carbamazepine_Tablets.pdf</x:v>
      </x:c>
      <x:c r="E79" s="39" t="str">
        <x:v>Open</x:v>
      </x:c>
    </x:row>
    <x:row r="80">
      <x:c r="A80" s="31" t="str">
        <x:v>carbamazepine</x:v>
      </x:c>
      <x:c r="B80" s="31" t="str">
        <x:v>interaction_severity_unclassified</x:v>
      </x:c>
      <x:c r="C80" s="37" t="str">
        <x:v>Possible named interaction with metoclopramide requires clinical severity review.</x:v>
      </x:c>
      <x:c r="D80" s="37" t="str">
        <x:v>https://drug.fda.moph.go.th/media.php?id=809665211119312896&amp;name=SMPC_Carbamazepine_Tablets.pdf</x:v>
      </x:c>
      <x:c r="E80" s="39" t="str">
        <x:v>Open</x:v>
      </x:c>
    </x:row>
    <x:row r="81">
      <x:c r="A81" s="31" t="str">
        <x:v>carbamazepine</x:v>
      </x:c>
      <x:c r="B81" s="31" t="str">
        <x:v>interaction_severity_unclassified</x:v>
      </x:c>
      <x:c r="C81" s="37" t="str">
        <x:v>Possible named interaction with lithium requires clinical severity review.</x:v>
      </x:c>
      <x:c r="D81" s="37" t="str">
        <x:v>https://drug.fda.moph.go.th/media.php?id=809665211119312896&amp;name=SMPC_Carbamazepine_Tablets.pdf</x:v>
      </x:c>
      <x:c r="E81" s="39" t="str">
        <x:v>Open</x:v>
      </x:c>
    </x:row>
    <x:row r="82">
      <x:c r="A82" s="31" t="str">
        <x:v>carbamazepine</x:v>
      </x:c>
      <x:c r="B82" s="31" t="str">
        <x:v>interaction_severity_unclassified</x:v>
      </x:c>
      <x:c r="C82" s="37" t="str">
        <x:v>Possible named interaction with perphenazine requires clinical severity review.</x:v>
      </x:c>
      <x:c r="D82" s="37" t="str">
        <x:v>https://drug.fda.moph.go.th/media.php?id=809665211119312896&amp;name=SMPC_Carbamazepine_Tablets.pdf</x:v>
      </x:c>
      <x:c r="E82" s="39" t="str">
        <x:v>Open</x:v>
      </x:c>
    </x:row>
    <x:row r="83">
      <x:c r="A83" s="31" t="str">
        <x:v>cefalexin</x:v>
      </x:c>
      <x:c r="B83" s="31" t="str">
        <x:v>interaction_severity_unclassified</x:v>
      </x:c>
      <x:c r="C83" s="37" t="str">
        <x:v>Possible named interaction with gentamicin requires clinical severity review.</x:v>
      </x:c>
      <x:c r="D83" s="37" t="str">
        <x:v>https://drug.fda.moph.go.th/media.php?id=809667813055799296&amp;name=SMPC_Cefalexin_Dry syrup.pdf</x:v>
      </x:c>
      <x:c r="E83" s="39" t="str">
        <x:v>Open</x:v>
      </x:c>
    </x:row>
    <x:row r="84">
      <x:c r="A84" s="31" t="str">
        <x:v>cefalexin</x:v>
      </x:c>
      <x:c r="B84" s="31" t="str">
        <x:v>interaction_severity_unclassified</x:v>
      </x:c>
      <x:c r="C84" s="37" t="str">
        <x:v>Possible named interaction with metformin requires clinical severity review.</x:v>
      </x:c>
      <x:c r="D84" s="37" t="str">
        <x:v>https://drug.fda.moph.go.th/media.php?id=809667813055799296&amp;name=SMPC_Cefalexin_Dry syrup.pdf</x:v>
      </x:c>
      <x:c r="E84" s="39" t="str">
        <x:v>Open</x:v>
      </x:c>
    </x:row>
    <x:row r="85">
      <x:c r="A85" s="31" t="str">
        <x:v>cefazolin</x:v>
      </x:c>
      <x:c r="B85" s="31" t="str">
        <x:v>interaction_severity_unclassified</x:v>
      </x:c>
      <x:c r="C85" s="37" t="str">
        <x:v>Possible named interaction with erythromycin requires clinical severity review.</x:v>
      </x:c>
      <x:c r="D85" s="37" t="str">
        <x:v>https://drug.fda.moph.go.th/media.php?id=809668324005912576&amp;name=SMPC_Cefazolin_Powders for solutions for injections or infusions.pdf</x:v>
      </x:c>
      <x:c r="E85" s="39" t="str">
        <x:v>Open</x:v>
      </x:c>
    </x:row>
    <x:row r="86">
      <x:c r="A86" s="31" t="str">
        <x:v>cefazolin</x:v>
      </x:c>
      <x:c r="B86" s="31" t="str">
        <x:v>interaction_severity_unclassified</x:v>
      </x:c>
      <x:c r="C86" s="37" t="str">
        <x:v>Possible named interaction with tetracycline requires clinical severity review.</x:v>
      </x:c>
      <x:c r="D86" s="37" t="str">
        <x:v>https://drug.fda.moph.go.th/media.php?id=809668324005912576&amp;name=SMPC_Cefazolin_Powders for solutions for injections or infusions.pdf</x:v>
      </x:c>
      <x:c r="E86" s="39" t="str">
        <x:v>Open</x:v>
      </x:c>
    </x:row>
    <x:row r="87">
      <x:c r="A87" s="31" t="str">
        <x:v>cefuroxime</x:v>
      </x:c>
      <x:c r="B87" s="31" t="str">
        <x:v>interaction_severity_unclassified</x:v>
      </x:c>
      <x:c r="C87" s="37" t="str">
        <x:v>Possible named interaction with lidocaine requires clinical severity review.</x:v>
      </x:c>
      <x:c r="D87" s="37" t="str">
        <x:v>https://drug.fda.moph.go.th/media.php?id=808219138211323904&amp;name=smpc_Cefuroxime (POWDER FOR SOLUTION FOR INJECTIONINFUSION) (1).pdf</x:v>
      </x:c>
      <x:c r="E87" s="39" t="str">
        <x:v>Open</x:v>
      </x:c>
    </x:row>
    <x:row r="88">
      <x:c r="A88" s="31" t="str">
        <x:v>chloramphenicol</x:v>
      </x:c>
      <x:c r="B88" s="31" t="str">
        <x:v>interaction_severity_unclassified</x:v>
      </x:c>
      <x:c r="C88" s="37" t="str">
        <x:v>Possible named interaction with rifampicin requires clinical severity review.</x:v>
      </x:c>
      <x:c r="D88" s="37" t="str">
        <x:v>https://drug.fda.moph.go.th/media.php?id=809670694370680832&amp;name=SMPC_Chloramphenicol_Powders for solutions for injections or infusions.pdf</x:v>
      </x:c>
      <x:c r="E88" s="39" t="str">
        <x:v>Open</x:v>
      </x:c>
    </x:row>
    <x:row r="89">
      <x:c r="A89" s="31" t="str">
        <x:v>chlorpromazine</x:v>
      </x:c>
      <x:c r="B89" s="31" t="str">
        <x:v>interaction_severity_unclassified</x:v>
      </x:c>
      <x:c r="C89" s="37" t="str">
        <x:v>Possible named interaction with lithium requires clinical severity review.</x:v>
      </x:c>
      <x:c r="D89" s="37" t="str">
        <x:v>https://drug.fda.moph.go.th/media.php?id=809674435173949440&amp;name=SMPC_Chlorpromazine_Capsules.pdf</x:v>
      </x:c>
      <x:c r="E89" s="39" t="str">
        <x:v>Open</x:v>
      </x:c>
    </x:row>
    <x:row r="90">
      <x:c r="A90" s="31" t="str">
        <x:v>chlorpromazine</x:v>
      </x:c>
      <x:c r="B90" s="31" t="str">
        <x:v>interaction_severity_unclassified</x:v>
      </x:c>
      <x:c r="C90" s="37" t="str">
        <x:v>Possible named interaction with clonidine requires clinical severity review.</x:v>
      </x:c>
      <x:c r="D90" s="37" t="str">
        <x:v>https://drug.fda.moph.go.th/media.php?id=809674435173949440&amp;name=SMPC_Chlorpromazine_Capsules.pdf</x:v>
      </x:c>
      <x:c r="E90" s="39" t="str">
        <x:v>Open</x:v>
      </x:c>
    </x:row>
    <x:row r="91">
      <x:c r="A91" s="31" t="str">
        <x:v>chlorpromazine</x:v>
      </x:c>
      <x:c r="B91" s="31" t="str">
        <x:v>interaction_severity_unclassified</x:v>
      </x:c>
      <x:c r="C91" s="37" t="str">
        <x:v>Possible named interaction with insulin requires clinical severity review.</x:v>
      </x:c>
      <x:c r="D91" s="37" t="str">
        <x:v>https://drug.fda.moph.go.th/media.php?id=809674435173949440&amp;name=SMPC_Chlorpromazine_Capsules.pdf</x:v>
      </x:c>
      <x:c r="E91" s="39" t="str">
        <x:v>Open</x:v>
      </x:c>
    </x:row>
    <x:row r="92">
      <x:c r="A92" s="31" t="str">
        <x:v>chlorpromazine</x:v>
      </x:c>
      <x:c r="B92" s="31" t="str">
        <x:v>interaction_severity_unclassified</x:v>
      </x:c>
      <x:c r="C92" s="37" t="str">
        <x:v>Possible named interaction with magnesium requires clinical severity review.</x:v>
      </x:c>
      <x:c r="D92" s="37" t="str">
        <x:v>https://drug.fda.moph.go.th/media.php?id=809674435173949440&amp;name=SMPC_Chlorpromazine_Capsules.pdf</x:v>
      </x:c>
      <x:c r="E92" s="39" t="str">
        <x:v>Open</x:v>
      </x:c>
    </x:row>
    <x:row r="93">
      <x:c r="A93" s="31" t="str">
        <x:v>chlorpromazine</x:v>
      </x:c>
      <x:c r="B93" s="31" t="str">
        <x:v>interaction_severity_unclassified</x:v>
      </x:c>
      <x:c r="C93" s="37" t="str">
        <x:v>Possible named interaction with lithium requires clinical severity review.</x:v>
      </x:c>
      <x:c r="D93" s="37" t="str">
        <x:v>https://drug.fda.moph.go.th/media.php?id=809674435173949440&amp;name=SMPC_Chlorpromazine_Capsules.pdf</x:v>
      </x:c>
      <x:c r="E93" s="39" t="str">
        <x:v>Open</x:v>
      </x:c>
    </x:row>
    <x:row r="94">
      <x:c r="A94" s="31" t="str">
        <x:v>cimetidine</x:v>
      </x:c>
      <x:c r="B94" s="31" t="str">
        <x:v>interaction_severity_unclassified</x:v>
      </x:c>
      <x:c r="C94" s="37" t="str">
        <x:v>Possible named interaction with theophylline requires clinical severity review.</x:v>
      </x:c>
      <x:c r="D94" s="37" t="str">
        <x:v>https://drug.fda.moph.go.th/media.php?id=809675069696647168&amp;name=SMPC_Cimetidine_Tablets.pdf</x:v>
      </x:c>
      <x:c r="E94" s="39" t="str">
        <x:v>Open</x:v>
      </x:c>
    </x:row>
    <x:row r="95">
      <x:c r="A95" s="31" t="str">
        <x:v>amitriptyline</x:v>
      </x:c>
      <x:c r="B95" s="31" t="str">
        <x:v>interaction_severity_unclassified</x:v>
      </x:c>
      <x:c r="C95" s="37" t="str">
        <x:v>Possible named interaction with cimetidine requires clinical severity review.</x:v>
      </x:c>
      <x:c r="D95" s="37" t="str">
        <x:v>https://drug.fda.moph.go.th/media.php?id=809675069696647168&amp;name=SMPC_Cimetidine_Tablets.pdf</x:v>
      </x:c>
      <x:c r="E95" s="39" t="str">
        <x:v>Open</x:v>
      </x:c>
    </x:row>
    <x:row r="96">
      <x:c r="A96" s="31" t="str">
        <x:v>cimetidine</x:v>
      </x:c>
      <x:c r="B96" s="31" t="str">
        <x:v>interaction_severity_unclassified</x:v>
      </x:c>
      <x:c r="C96" s="37" t="str">
        <x:v>Possible named interaction with lidocaine requires clinical severity review.</x:v>
      </x:c>
      <x:c r="D96" s="37" t="str">
        <x:v>https://drug.fda.moph.go.th/media.php?id=809675069696647168&amp;name=SMPC_Cimetidine_Tablets.pdf</x:v>
      </x:c>
      <x:c r="E96" s="39" t="str">
        <x:v>Open</x:v>
      </x:c>
    </x:row>
    <x:row r="97">
      <x:c r="A97" s="31" t="str">
        <x:v>cimetidine</x:v>
      </x:c>
      <x:c r="B97" s="31" t="str">
        <x:v>interaction_severity_unclassified</x:v>
      </x:c>
      <x:c r="C97" s="37" t="str">
        <x:v>Possible named interaction with propranolol requires clinical severity review.</x:v>
      </x:c>
      <x:c r="D97" s="37" t="str">
        <x:v>https://drug.fda.moph.go.th/media.php?id=809675069696647168&amp;name=SMPC_Cimetidine_Tablets.pdf</x:v>
      </x:c>
      <x:c r="E97" s="39" t="str">
        <x:v>Open</x:v>
      </x:c>
    </x:row>
    <x:row r="98">
      <x:c r="A98" s="31" t="str">
        <x:v>cimetidine</x:v>
      </x:c>
      <x:c r="B98" s="31" t="str">
        <x:v>interaction_severity_unclassified</x:v>
      </x:c>
      <x:c r="C98" s="37" t="str">
        <x:v>Possible named interaction with fluorouracil requires clinical severity review.</x:v>
      </x:c>
      <x:c r="D98" s="37" t="str">
        <x:v>https://drug.fda.moph.go.th/media.php?id=809675069696647168&amp;name=SMPC_Cimetidine_Tablets.pdf</x:v>
      </x:c>
      <x:c r="E98" s="39" t="str">
        <x:v>Open</x:v>
      </x:c>
    </x:row>
    <x:row r="99">
      <x:c r="A99" s="31" t="str">
        <x:v>cimetidine</x:v>
      </x:c>
      <x:c r="B99" s="31" t="str">
        <x:v>interaction_severity_unclassified</x:v>
      </x:c>
      <x:c r="C99" s="37" t="str">
        <x:v>Possible named interaction with itraconazole requires clinical severity review.</x:v>
      </x:c>
      <x:c r="D99" s="37" t="str">
        <x:v>https://drug.fda.moph.go.th/media.php?id=809675069696647168&amp;name=SMPC_Cimetidine_Tablets.pdf</x:v>
      </x:c>
      <x:c r="E99" s="39" t="str">
        <x:v>Open</x:v>
      </x:c>
    </x:row>
    <x:row r="100">
      <x:c r="A100" s="31" t="str">
        <x:v>cimetidine</x:v>
      </x:c>
      <x:c r="B100" s="31" t="str">
        <x:v>interaction_severity_unclassified</x:v>
      </x:c>
      <x:c r="C100" s="37" t="str">
        <x:v>Possible named interaction with ketoconazole requires clinical severity review.</x:v>
      </x:c>
      <x:c r="D100" s="37" t="str">
        <x:v>https://drug.fda.moph.go.th/media.php?id=809675069696647168&amp;name=SMPC_Cimetidine_Tablets.pdf</x:v>
      </x:c>
      <x:c r="E100" s="39" t="str">
        <x:v>Open</x:v>
      </x:c>
    </x:row>
    <x:row r="101">
      <x:c r="A101" s="31" t="str">
        <x:v>cimetidine</x:v>
      </x:c>
      <x:c r="B101" s="31" t="str">
        <x:v>interaction_severity_unclassified</x:v>
      </x:c>
      <x:c r="C101" s="37" t="str">
        <x:v>Possible named interaction with metformin requires clinical severity review.</x:v>
      </x:c>
      <x:c r="D101" s="37" t="str">
        <x:v>https://drug.fda.moph.go.th/media.php?id=809675069696647168&amp;name=SMPC_Cimetidine_Tablets.pdf</x:v>
      </x:c>
      <x:c r="E101" s="39" t="str">
        <x:v>Open</x:v>
      </x:c>
    </x:row>
    <x:row r="102">
      <x:c r="A102" s="31" t="str">
        <x:v>ciprofloxacin</x:v>
      </x:c>
      <x:c r="B102" s="31" t="str">
        <x:v>interaction_severity_unclassified</x:v>
      </x:c>
      <x:c r="C102" s="37" t="str">
        <x:v>Possible named interaction with theophylline requires clinical severity review.</x:v>
      </x:c>
      <x:c r="D102" s="37" t="str">
        <x:v>https://drug.fda.moph.go.th/media.php?id=842359238230679552&amp;name=SmPC Ciprofloxacin film-coated tablets.pdf</x:v>
      </x:c>
      <x:c r="E102" s="39" t="str">
        <x:v>Open</x:v>
      </x:c>
    </x:row>
    <x:row r="103">
      <x:c r="A103" s="31" t="str">
        <x:v>ciprofloxacin</x:v>
      </x:c>
      <x:c r="B103" s="31" t="str">
        <x:v>interaction_severity_unclassified</x:v>
      </x:c>
      <x:c r="C103" s="37" t="str">
        <x:v>Possible named interaction with methotrexate requires clinical severity review.</x:v>
      </x:c>
      <x:c r="D103" s="37" t="str">
        <x:v>https://drug.fda.moph.go.th/media.php?id=842359238230679552&amp;name=SmPC Ciprofloxacin film-coated tablets.pdf</x:v>
      </x:c>
      <x:c r="E103" s="39" t="str">
        <x:v>Open</x:v>
      </x:c>
    </x:row>
    <x:row r="104">
      <x:c r="A104" s="31" t="str">
        <x:v>ciprofloxacin</x:v>
      </x:c>
      <x:c r="B104" s="31" t="str">
        <x:v>interaction_severity_unclassified</x:v>
      </x:c>
      <x:c r="C104" s="37" t="str">
        <x:v>Possible named interaction with insulin requires clinical severity review.</x:v>
      </x:c>
      <x:c r="D104" s="37" t="str">
        <x:v>https://drug.fda.moph.go.th/media.php?id=842359238230679552&amp;name=SmPC Ciprofloxacin film-coated tablets.pdf</x:v>
      </x:c>
      <x:c r="E104" s="39" t="str">
        <x:v>Open</x:v>
      </x:c>
    </x:row>
    <x:row r="105">
      <x:c r="A105" s="31" t="str">
        <x:v>ciprofloxacin</x:v>
      </x:c>
      <x:c r="B105" s="31" t="str">
        <x:v>interaction_severity_unclassified</x:v>
      </x:c>
      <x:c r="C105" s="37" t="str">
        <x:v>Possible named interaction with sucralfate requires clinical severity review.</x:v>
      </x:c>
      <x:c r="D105" s="37" t="str">
        <x:v>https://drug.fda.moph.go.th/media.php?id=842359238230679552&amp;name=SmPC Ciprofloxacin film-coated tablets.pdf</x:v>
      </x:c>
      <x:c r="E105" s="39" t="str">
        <x:v>Open</x:v>
      </x:c>
    </x:row>
    <x:row r="106">
      <x:c r="A106" s="31" t="str">
        <x:v>ciprofloxacin</x:v>
      </x:c>
      <x:c r="B106" s="31" t="str">
        <x:v>interaction_severity_unclassified</x:v>
      </x:c>
      <x:c r="C106" s="37" t="str">
        <x:v>Possible named interaction with metoclopramide requires clinical severity review.</x:v>
      </x:c>
      <x:c r="D106" s="37" t="str">
        <x:v>https://drug.fda.moph.go.th/media.php?id=842359238230679552&amp;name=SmPC Ciprofloxacin film-coated tablets.pdf</x:v>
      </x:c>
      <x:c r="E106" s="39" t="str">
        <x:v>Open</x:v>
      </x:c>
    </x:row>
    <x:row r="107">
      <x:c r="A107" s="31" t="str">
        <x:v>ciprofloxacin</x:v>
      </x:c>
      <x:c r="B107" s="31" t="str">
        <x:v>interaction_severity_unclassified</x:v>
      </x:c>
      <x:c r="C107" s="37" t="str">
        <x:v>Possible named interaction with omeprazole requires clinical severity review.</x:v>
      </x:c>
      <x:c r="D107" s="37" t="str">
        <x:v>https://drug.fda.moph.go.th/media.php?id=842359238230679552&amp;name=SmPC Ciprofloxacin film-coated tablets.pdf</x:v>
      </x:c>
      <x:c r="E107" s="39" t="str">
        <x:v>Open</x:v>
      </x:c>
    </x:row>
    <x:row r="108">
      <x:c r="A108" s="31" t="str">
        <x:v>ciprofloxacin</x:v>
      </x:c>
      <x:c r="B108" s="31" t="str">
        <x:v>interaction_severity_unclassified</x:v>
      </x:c>
      <x:c r="C108" s="37" t="str">
        <x:v>Possible named interaction with theophylline requires clinical severity review.</x:v>
      </x:c>
      <x:c r="D108" s="37" t="str">
        <x:v>https://drug.fda.moph.go.th/media.php?id=842359238230679552&amp;name=SmPC Ciprofloxacin film-coated tablets.pdf</x:v>
      </x:c>
      <x:c r="E108" s="39" t="str">
        <x:v>Open</x:v>
      </x:c>
    </x:row>
    <x:row r="109">
      <x:c r="A109" s="31" t="str">
        <x:v>ciprofloxacin</x:v>
      </x:c>
      <x:c r="B109" s="31" t="str">
        <x:v>interaction_severity_unclassified</x:v>
      </x:c>
      <x:c r="C109" s="37" t="str">
        <x:v>Possible named interaction with methotrexate requires clinical severity review.</x:v>
      </x:c>
      <x:c r="D109" s="37" t="str">
        <x:v>https://drug.fda.moph.go.th/media.php?id=842359238230679552&amp;name=SmPC Ciprofloxacin film-coated tablets.pdf</x:v>
      </x:c>
      <x:c r="E109" s="39" t="str">
        <x:v>Open</x:v>
      </x:c>
    </x:row>
    <x:row r="110">
      <x:c r="A110" s="31" t="str">
        <x:v>ciprofloxacin</x:v>
      </x:c>
      <x:c r="B110" s="31" t="str">
        <x:v>interaction_severity_unclassified</x:v>
      </x:c>
      <x:c r="C110" s="37" t="str">
        <x:v>Possible named interaction with lidocaine requires clinical severity review.</x:v>
      </x:c>
      <x:c r="D110" s="37" t="str">
        <x:v>https://drug.fda.moph.go.th/media.php?id=842359238230679552&amp;name=SmPC Ciprofloxacin film-coated tablets.pdf</x:v>
      </x:c>
      <x:c r="E110" s="39" t="str">
        <x:v>Open</x:v>
      </x:c>
    </x:row>
    <x:row r="111">
      <x:c r="A111" s="31" t="str">
        <x:v>ciprofloxacin</x:v>
      </x:c>
      <x:c r="B111" s="31" t="str">
        <x:v>interaction_severity_unclassified</x:v>
      </x:c>
      <x:c r="C111" s="37" t="str">
        <x:v>Possible named interaction with insulin requires clinical severity review.</x:v>
      </x:c>
      <x:c r="D111" s="37" t="str">
        <x:v>https://drug.fda.moph.go.th/media.php?id=809677740591685632&amp;name=SMPC_Ciprofloxacin_Solution for infusion.pdf</x:v>
      </x:c>
      <x:c r="E111" s="39" t="str">
        <x:v>Open</x:v>
      </x:c>
    </x:row>
    <x:row r="112">
      <x:c r="A112" s="31" t="str">
        <x:v>ciprofloxacin</x:v>
      </x:c>
      <x:c r="B112" s="31" t="str">
        <x:v>interaction_severity_unclassified</x:v>
      </x:c>
      <x:c r="C112" s="37" t="str">
        <x:v>Possible named interaction with theophylline requires clinical severity review.</x:v>
      </x:c>
      <x:c r="D112" s="37" t="str">
        <x:v>https://drug.fda.moph.go.th/media.php?id=809677740591685632&amp;name=SMPC_Ciprofloxacin_Solution for infusion.pdf</x:v>
      </x:c>
      <x:c r="E112" s="39" t="str">
        <x:v>Open</x:v>
      </x:c>
    </x:row>
    <x:row r="113">
      <x:c r="A113" s="31" t="str">
        <x:v>ciprofloxacin</x:v>
      </x:c>
      <x:c r="B113" s="31" t="str">
        <x:v>interaction_severity_unclassified</x:v>
      </x:c>
      <x:c r="C113" s="37" t="str">
        <x:v>Possible named interaction with methotrexate requires clinical severity review.</x:v>
      </x:c>
      <x:c r="D113" s="37" t="str">
        <x:v>https://drug.fda.moph.go.th/media.php?id=809677740591685632&amp;name=SMPC_Ciprofloxacin_Solution for infusion.pdf</x:v>
      </x:c>
      <x:c r="E113" s="39" t="str">
        <x:v>Open</x:v>
      </x:c>
    </x:row>
    <x:row r="114">
      <x:c r="A114" s="31" t="str">
        <x:v>ciprofloxacin</x:v>
      </x:c>
      <x:c r="B114" s="31" t="str">
        <x:v>interaction_severity_unclassified</x:v>
      </x:c>
      <x:c r="C114" s="37" t="str">
        <x:v>Possible named interaction with theophylline requires clinical severity review.</x:v>
      </x:c>
      <x:c r="D114" s="37" t="str">
        <x:v>https://drug.fda.moph.go.th/media.php?id=809677740591685632&amp;name=SMPC_Ciprofloxacin_Solution for infusion.pdf</x:v>
      </x:c>
      <x:c r="E114" s="39" t="str">
        <x:v>Open</x:v>
      </x:c>
    </x:row>
    <x:row r="115">
      <x:c r="A115" s="31" t="str">
        <x:v>ciprofloxacin</x:v>
      </x:c>
      <x:c r="B115" s="31" t="str">
        <x:v>interaction_severity_unclassified</x:v>
      </x:c>
      <x:c r="C115" s="37" t="str">
        <x:v>Possible named interaction with methotrexate requires clinical severity review.</x:v>
      </x:c>
      <x:c r="D115" s="37" t="str">
        <x:v>https://drug.fda.moph.go.th/media.php?id=809677740591685632&amp;name=SMPC_Ciprofloxacin_Solution for infusion.pdf</x:v>
      </x:c>
      <x:c r="E115" s="39" t="str">
        <x:v>Open</x:v>
      </x:c>
    </x:row>
    <x:row r="116">
      <x:c r="A116" s="31" t="str">
        <x:v>ciprofloxacin</x:v>
      </x:c>
      <x:c r="B116" s="31" t="str">
        <x:v>interaction_severity_unclassified</x:v>
      </x:c>
      <x:c r="C116" s="37" t="str">
        <x:v>Possible named interaction with lidocaine requires clinical severity review.</x:v>
      </x:c>
      <x:c r="D116" s="37" t="str">
        <x:v>https://drug.fda.moph.go.th/media.php?id=809677740591685632&amp;name=SMPC_Ciprofloxacin_Solution for infusion.pdf</x:v>
      </x:c>
      <x:c r="E116" s="39" t="str">
        <x:v>Open</x:v>
      </x:c>
    </x:row>
    <x:row r="117">
      <x:c r="A117" s="31" t="str">
        <x:v>ciprofloxacin</x:v>
      </x:c>
      <x:c r="B117" s="31" t="str">
        <x:v>interaction_severity_unclassified</x:v>
      </x:c>
      <x:c r="C117" s="37" t="str">
        <x:v>Possible named interaction with insulin requires clinical severity review.</x:v>
      </x:c>
      <x:c r="D117" s="37" t="str">
        <x:v>https://drug.fda.moph.go.th/media.php?id=842360112483016704&amp;name=SmPC Ciprofloxacin hydrochloride tablet.pdf</x:v>
      </x:c>
      <x:c r="E117" s="39" t="str">
        <x:v>Open</x:v>
      </x:c>
    </x:row>
    <x:row r="118">
      <x:c r="A118" s="31" t="str">
        <x:v>ciprofloxacin</x:v>
      </x:c>
      <x:c r="B118" s="31" t="str">
        <x:v>interaction_severity_unclassified</x:v>
      </x:c>
      <x:c r="C118" s="37" t="str">
        <x:v>Possible named interaction with magnesium requires clinical severity review.</x:v>
      </x:c>
      <x:c r="D118" s="37" t="str">
        <x:v>https://drug.fda.moph.go.th/media.php?id=842360112483016704&amp;name=SmPC Ciprofloxacin hydrochloride tablet.pdf</x:v>
      </x:c>
      <x:c r="E118" s="39" t="str">
        <x:v>Open</x:v>
      </x:c>
    </x:row>
    <x:row r="119">
      <x:c r="A119" s="31" t="str">
        <x:v>ciprofloxacin</x:v>
      </x:c>
      <x:c r="B119" s="31" t="str">
        <x:v>interaction_severity_unclassified</x:v>
      </x:c>
      <x:c r="C119" s="37" t="str">
        <x:v>Possible named interaction with sucralfate requires clinical severity review.</x:v>
      </x:c>
      <x:c r="D119" s="37" t="str">
        <x:v>https://drug.fda.moph.go.th/media.php?id=842360112483016704&amp;name=SmPC Ciprofloxacin hydrochloride tablet.pdf</x:v>
      </x:c>
      <x:c r="E119" s="39" t="str">
        <x:v>Open</x:v>
      </x:c>
    </x:row>
    <x:row r="120">
      <x:c r="A120" s="31" t="str">
        <x:v>ciprofloxacin</x:v>
      </x:c>
      <x:c r="B120" s="31" t="str">
        <x:v>interaction_severity_unclassified</x:v>
      </x:c>
      <x:c r="C120" s="37" t="str">
        <x:v>Possible named interaction with theophylline requires clinical severity review.</x:v>
      </x:c>
      <x:c r="D120" s="37" t="str">
        <x:v>https://drug.fda.moph.go.th/media.php?id=842360112483016704&amp;name=SmPC Ciprofloxacin hydrochloride tablet.pdf</x:v>
      </x:c>
      <x:c r="E120" s="39" t="str">
        <x:v>Open</x:v>
      </x:c>
    </x:row>
    <x:row r="121">
      <x:c r="A121" s="31" t="str">
        <x:v>ciprofloxacin</x:v>
      </x:c>
      <x:c r="B121" s="31" t="str">
        <x:v>interaction_severity_unclassified</x:v>
      </x:c>
      <x:c r="C121" s="37" t="str">
        <x:v>Possible named interaction with methotrexate requires clinical severity review.</x:v>
      </x:c>
      <x:c r="D121" s="37" t="str">
        <x:v>https://drug.fda.moph.go.th/media.php?id=842360112483016704&amp;name=SmPC Ciprofloxacin hydrochloride tablet.pdf</x:v>
      </x:c>
      <x:c r="E121" s="39" t="str">
        <x:v>Open</x:v>
      </x:c>
    </x:row>
    <x:row r="122">
      <x:c r="A122" s="31" t="str">
        <x:v>ciprofloxacin</x:v>
      </x:c>
      <x:c r="B122" s="31" t="str">
        <x:v>interaction_severity_unclassified</x:v>
      </x:c>
      <x:c r="C122" s="37" t="str">
        <x:v>Possible named interaction with metoclopramide requires clinical severity review.</x:v>
      </x:c>
      <x:c r="D122" s="37" t="str">
        <x:v>https://drug.fda.moph.go.th/media.php?id=842360112483016704&amp;name=SmPC Ciprofloxacin hydrochloride tablet.pdf</x:v>
      </x:c>
      <x:c r="E122" s="39" t="str">
        <x:v>Open</x:v>
      </x:c>
    </x:row>
    <x:row r="123">
      <x:c r="A123" s="31" t="str">
        <x:v>ciprofloxacin</x:v>
      </x:c>
      <x:c r="B123" s="31" t="str">
        <x:v>interaction_severity_unclassified</x:v>
      </x:c>
      <x:c r="C123" s="37" t="str">
        <x:v>Possible named interaction with omeprazole requires clinical severity review.</x:v>
      </x:c>
      <x:c r="D123" s="37" t="str">
        <x:v>https://drug.fda.moph.go.th/media.php?id=842360112483016704&amp;name=SmPC Ciprofloxacin hydrochloride tablet.pdf</x:v>
      </x:c>
      <x:c r="E123" s="39" t="str">
        <x:v>Open</x:v>
      </x:c>
    </x:row>
    <x:row r="124">
      <x:c r="A124" s="31" t="str">
        <x:v>ciprofloxacin</x:v>
      </x:c>
      <x:c r="B124" s="31" t="str">
        <x:v>interaction_severity_unclassified</x:v>
      </x:c>
      <x:c r="C124" s="37" t="str">
        <x:v>Possible named interaction with theophylline requires clinical severity review.</x:v>
      </x:c>
      <x:c r="D124" s="37" t="str">
        <x:v>https://drug.fda.moph.go.th/media.php?id=842360112483016704&amp;name=SmPC Ciprofloxacin hydrochloride tablet.pdf</x:v>
      </x:c>
      <x:c r="E124" s="39" t="str">
        <x:v>Open</x:v>
      </x:c>
    </x:row>
    <x:row r="125">
      <x:c r="A125" s="31" t="str">
        <x:v>ciprofloxacin</x:v>
      </x:c>
      <x:c r="B125" s="31" t="str">
        <x:v>interaction_severity_unclassified</x:v>
      </x:c>
      <x:c r="C125" s="37" t="str">
        <x:v>Possible named interaction with methotrexate requires clinical severity review.</x:v>
      </x:c>
      <x:c r="D125" s="37" t="str">
        <x:v>https://drug.fda.moph.go.th/media.php?id=842360112483016704&amp;name=SmPC Ciprofloxacin hydrochloride tablet.pdf</x:v>
      </x:c>
      <x:c r="E125" s="39" t="str">
        <x:v>Open</x:v>
      </x:c>
    </x:row>
    <x:row r="126">
      <x:c r="A126" s="31" t="str">
        <x:v>ciprofloxacin</x:v>
      </x:c>
      <x:c r="B126" s="31" t="str">
        <x:v>interaction_severity_unclassified</x:v>
      </x:c>
      <x:c r="C126" s="37" t="str">
        <x:v>Possible named interaction with lidocaine requires clinical severity review.</x:v>
      </x:c>
      <x:c r="D126" s="37" t="str">
        <x:v>https://drug.fda.moph.go.th/media.php?id=842360112483016704&amp;name=SmPC Ciprofloxacin hydrochloride tablet.pdf</x:v>
      </x:c>
      <x:c r="E126" s="39" t="str">
        <x:v>Open</x:v>
      </x:c>
    </x:row>
    <x:row r="127">
      <x:c r="A127" s="31" t="str">
        <x:v>clarithromycin</x:v>
      </x:c>
      <x:c r="B127" s="31" t="str">
        <x:v>interaction_severity_unclassified</x:v>
      </x:c>
      <x:c r="C127" s="37" t="str">
        <x:v>Possible named interaction with colchicine requires clinical severity review.</x:v>
      </x:c>
      <x:c r="D127" s="37" t="str">
        <x:v>https://drug.fda.moph.go.th/media.php?id=809678715939332096&amp;name=SMPC_Clarithromycin_Film-coated tablets.pdf</x:v>
      </x:c>
      <x:c r="E127" s="39" t="str">
        <x:v>Open</x:v>
      </x:c>
    </x:row>
    <x:row r="128">
      <x:c r="A128" s="31" t="str">
        <x:v>clarithromycin</x:v>
      </x:c>
      <x:c r="B128" s="31" t="str">
        <x:v>interaction_severity_unclassified</x:v>
      </x:c>
      <x:c r="C128" s="37" t="str">
        <x:v>Possible named interaction with insulin requires clinical severity review.</x:v>
      </x:c>
      <x:c r="D128" s="37" t="str">
        <x:v>https://drug.fda.moph.go.th/media.php?id=809678715939332096&amp;name=SMPC_Clarithromycin_Film-coated tablets.pdf</x:v>
      </x:c>
      <x:c r="E128" s="39" t="str">
        <x:v>Open</x:v>
      </x:c>
    </x:row>
    <x:row r="129">
      <x:c r="A129" s="31" t="str">
        <x:v>carbamazepine</x:v>
      </x:c>
      <x:c r="B129" s="31" t="str">
        <x:v>interaction_severity_unclassified</x:v>
      </x:c>
      <x:c r="C129" s="37" t="str">
        <x:v>Possible named interaction with clarithromycin requires clinical severity review.</x:v>
      </x:c>
      <x:c r="D129" s="37" t="str">
        <x:v>https://drug.fda.moph.go.th/media.php?id=809678715939332096&amp;name=SMPC_Clarithromycin_Film-coated tablets.pdf</x:v>
      </x:c>
      <x:c r="E129" s="39" t="str">
        <x:v>Open</x:v>
      </x:c>
    </x:row>
    <x:row r="130">
      <x:c r="A130" s="31" t="str">
        <x:v>clarithromycin</x:v>
      </x:c>
      <x:c r="B130" s="31" t="str">
        <x:v>interaction_severity_unclassified</x:v>
      </x:c>
      <x:c r="C130" s="37" t="str">
        <x:v>Possible named interaction with rifampicin requires clinical severity review.</x:v>
      </x:c>
      <x:c r="D130" s="37" t="str">
        <x:v>https://drug.fda.moph.go.th/media.php?id=809678715939332096&amp;name=SMPC_Clarithromycin_Film-coated tablets.pdf</x:v>
      </x:c>
      <x:c r="E130" s="39" t="str">
        <x:v>Open</x:v>
      </x:c>
    </x:row>
    <x:row r="131">
      <x:c r="A131" s="31" t="str">
        <x:v>carbamazepine</x:v>
      </x:c>
      <x:c r="B131" s="31" t="str">
        <x:v>interaction_severity_unclassified</x:v>
      </x:c>
      <x:c r="C131" s="37" t="str">
        <x:v>Possible named interaction with clarithromycin requires clinical severity review.</x:v>
      </x:c>
      <x:c r="D131" s="37" t="str">
        <x:v>https://drug.fda.moph.go.th/media.php?id=809678715939332096&amp;name=SMPC_Clarithromycin_Film-coated tablets.pdf</x:v>
      </x:c>
      <x:c r="E131" s="39" t="str">
        <x:v>Open</x:v>
      </x:c>
    </x:row>
    <x:row r="132">
      <x:c r="A132" s="31" t="str">
        <x:v>clarithromycin</x:v>
      </x:c>
      <x:c r="B132" s="31" t="str">
        <x:v>interaction_severity_unclassified</x:v>
      </x:c>
      <x:c r="C132" s="37" t="str">
        <x:v>Possible named interaction with colchicine requires clinical severity review.</x:v>
      </x:c>
      <x:c r="D132" s="37" t="str">
        <x:v>https://drug.fda.moph.go.th/media.php?id=809678715939332096&amp;name=SMPC_Clarithromycin_Film-coated tablets.pdf</x:v>
      </x:c>
      <x:c r="E132" s="39" t="str">
        <x:v>Open</x:v>
      </x:c>
    </x:row>
    <x:row r="133">
      <x:c r="A133" s="31" t="str">
        <x:v>clarithromycin</x:v>
      </x:c>
      <x:c r="B133" s="31" t="str">
        <x:v>interaction_severity_unclassified</x:v>
      </x:c>
      <x:c r="C133" s="37" t="str">
        <x:v>Possible named interaction with simvastatin requires clinical severity review.</x:v>
      </x:c>
      <x:c r="D133" s="37" t="str">
        <x:v>https://drug.fda.moph.go.th/media.php?id=809678715939332096&amp;name=SMPC_Clarithromycin_Film-coated tablets.pdf</x:v>
      </x:c>
      <x:c r="E133" s="39" t="str">
        <x:v>Open</x:v>
      </x:c>
    </x:row>
    <x:row r="134">
      <x:c r="A134" s="31" t="str">
        <x:v>clarithromycin</x:v>
      </x:c>
      <x:c r="B134" s="31" t="str">
        <x:v>interaction_severity_unclassified</x:v>
      </x:c>
      <x:c r="C134" s="37" t="str">
        <x:v>Possible named interaction with insulin requires clinical severity review.</x:v>
      </x:c>
      <x:c r="D134" s="37" t="str">
        <x:v>https://drug.fda.moph.go.th/media.php?id=809678715939332096&amp;name=SMPC_Clarithromycin_Film-coated tablets.pdf</x:v>
      </x:c>
      <x:c r="E134" s="39" t="str">
        <x:v>Open</x:v>
      </x:c>
    </x:row>
    <x:row r="135">
      <x:c r="A135" s="31" t="str">
        <x:v>clarithromycin</x:v>
      </x:c>
      <x:c r="B135" s="31" t="str">
        <x:v>interaction_severity_unclassified</x:v>
      </x:c>
      <x:c r="C135" s="37" t="str">
        <x:v>Possible named interaction with theophylline requires clinical severity review.</x:v>
      </x:c>
      <x:c r="D135" s="37" t="str">
        <x:v>https://drug.fda.moph.go.th/media.php?id=809678715939332096&amp;name=SMPC_Clarithromycin_Film-coated tablets.pdf</x:v>
      </x:c>
      <x:c r="E135" s="39" t="str">
        <x:v>Open</x:v>
      </x:c>
    </x:row>
    <x:row r="136">
      <x:c r="A136" s="31" t="str">
        <x:v>clarithromycin</x:v>
      </x:c>
      <x:c r="B136" s="31" t="str">
        <x:v>interaction_severity_unclassified</x:v>
      </x:c>
      <x:c r="C136" s="37" t="str">
        <x:v>Possible named interaction with omeprazole requires clinical severity review.</x:v>
      </x:c>
      <x:c r="D136" s="37" t="str">
        <x:v>https://drug.fda.moph.go.th/media.php?id=809678715939332096&amp;name=SMPC_Clarithromycin_Film-coated tablets.pdf</x:v>
      </x:c>
      <x:c r="E136" s="39" t="str">
        <x:v>Open</x:v>
      </x:c>
    </x:row>
    <x:row r="137">
      <x:c r="A137" s="31" t="str">
        <x:v>clarithromycin</x:v>
      </x:c>
      <x:c r="B137" s="31" t="str">
        <x:v>interaction_severity_unclassified</x:v>
      </x:c>
      <x:c r="C137" s="37" t="str">
        <x:v>Possible named interaction with colchicine requires clinical severity review.</x:v>
      </x:c>
      <x:c r="D137" s="37" t="str">
        <x:v>https://drug.fda.moph.go.th/media.php?id=809678715939332096&amp;name=SMPC_Clarithromycin_Film-coated tablets.pdf</x:v>
      </x:c>
      <x:c r="E137" s="39" t="str">
        <x:v>Open</x:v>
      </x:c>
    </x:row>
    <x:row r="138">
      <x:c r="A138" s="31" t="str">
        <x:v>clarithromycin</x:v>
      </x:c>
      <x:c r="B138" s="31" t="str">
        <x:v>interaction_severity_unclassified</x:v>
      </x:c>
      <x:c r="C138" s="37" t="str">
        <x:v>Possible named interaction with digoxin requires clinical severity review.</x:v>
      </x:c>
      <x:c r="D138" s="37" t="str">
        <x:v>https://drug.fda.moph.go.th/media.php?id=809678715939332096&amp;name=SMPC_Clarithromycin_Film-coated tablets.pdf</x:v>
      </x:c>
      <x:c r="E138" s="39" t="str">
        <x:v>Open</x:v>
      </x:c>
    </x:row>
    <x:row r="139">
      <x:c r="A139" s="31" t="str">
        <x:v>clarithromycin</x:v>
      </x:c>
      <x:c r="B139" s="31" t="str">
        <x:v>interaction_severity_unclassified</x:v>
      </x:c>
      <x:c r="C139" s="37" t="str">
        <x:v>Possible named interaction with digoxin requires clinical severity review.</x:v>
      </x:c>
      <x:c r="D139" s="37" t="str">
        <x:v>https://drug.fda.moph.go.th/media.php?id=809678715939332096&amp;name=SMPC_Clarithromycin_Film-coated tablets.pdf</x:v>
      </x:c>
      <x:c r="E139" s="39" t="str">
        <x:v>Open</x:v>
      </x:c>
    </x:row>
    <x:row r="140">
      <x:c r="A140" s="31" t="str">
        <x:v>clarithromycin</x:v>
      </x:c>
      <x:c r="B140" s="31" t="str">
        <x:v>interaction_severity_unclassified</x:v>
      </x:c>
      <x:c r="C140" s="37" t="str">
        <x:v>Possible named interaction with zidovudine requires clinical severity review.</x:v>
      </x:c>
      <x:c r="D140" s="37" t="str">
        <x:v>https://drug.fda.moph.go.th/media.php?id=809678715939332096&amp;name=SMPC_Clarithromycin_Film-coated tablets.pdf</x:v>
      </x:c>
      <x:c r="E140" s="39" t="str">
        <x:v>Open</x:v>
      </x:c>
    </x:row>
    <x:row r="141">
      <x:c r="A141" s="31" t="str">
        <x:v>clarithromycin</x:v>
      </x:c>
      <x:c r="B141" s="31" t="str">
        <x:v>interaction_severity_unclassified</x:v>
      </x:c>
      <x:c r="C141" s="37" t="str">
        <x:v>Possible named interaction with diltiazem requires clinical severity review.</x:v>
      </x:c>
      <x:c r="D141" s="37" t="str">
        <x:v>https://drug.fda.moph.go.th/media.php?id=809678715939332096&amp;name=SMPC_Clarithromycin_Film-coated tablets.pdf</x:v>
      </x:c>
      <x:c r="E141" s="39" t="str">
        <x:v>Open</x:v>
      </x:c>
    </x:row>
    <x:row r="142">
      <x:c r="A142" s="31" t="str">
        <x:v>clarithromycin</x:v>
      </x:c>
      <x:c r="B142" s="31" t="str">
        <x:v>interaction_severity_unclassified</x:v>
      </x:c>
      <x:c r="C142" s="37" t="str">
        <x:v>Possible named interaction with itraconazole requires clinical severity review.</x:v>
      </x:c>
      <x:c r="D142" s="37" t="str">
        <x:v>https://drug.fda.moph.go.th/media.php?id=809678715939332096&amp;name=SMPC_Clarithromycin_Film-coated tablets.pdf</x:v>
      </x:c>
      <x:c r="E142" s="39" t="str">
        <x:v>Open</x:v>
      </x:c>
    </x:row>
    <x:row r="143">
      <x:c r="A143" s="31" t="str">
        <x:v>clarithromycin</x:v>
      </x:c>
      <x:c r="B143" s="31" t="str">
        <x:v>interaction_severity_unclassified</x:v>
      </x:c>
      <x:c r="C143" s="37" t="str">
        <x:v>Possible named interaction with verapamil requires clinical severity review.</x:v>
      </x:c>
      <x:c r="D143" s="37" t="str">
        <x:v>https://drug.fda.moph.go.th/media.php?id=809678715939332096&amp;name=SMPC_Clarithromycin_Film-coated tablets.pdf</x:v>
      </x:c>
      <x:c r="E143" s="39" t="str">
        <x:v>Open</x:v>
      </x:c>
    </x:row>
    <x:row r="144">
      <x:c r="A144" s="31" t="str">
        <x:v>clarithromycin</x:v>
      </x:c>
      <x:c r="B144" s="31" t="str">
        <x:v>interaction_severity_unclassified</x:v>
      </x:c>
      <x:c r="C144" s="37" t="str">
        <x:v>Possible named interaction with colchicine requires clinical severity review.</x:v>
      </x:c>
      <x:c r="D144" s="37" t="str">
        <x:v>https://drug.fda.moph.go.th/media.php?id=809678715939332096&amp;name=SMPC_Clarithromycin_Film-coated tablets.pdf</x:v>
      </x:c>
      <x:c r="E144" s="39" t="str">
        <x:v>Open</x:v>
      </x:c>
    </x:row>
    <x:row r="145">
      <x:c r="A145" s="31" t="str">
        <x:v>clarithromycin</x:v>
      </x:c>
      <x:c r="B145" s="31" t="str">
        <x:v>interaction_severity_unclassified</x:v>
      </x:c>
      <x:c r="C145" s="37" t="str">
        <x:v>Possible named interaction with tinidazole requires clinical severity review.</x:v>
      </x:c>
      <x:c r="D145" s="37" t="str">
        <x:v>https://drug.fda.moph.go.th/media.php?id=809678715939332096&amp;name=SMPC_Clarithromycin_Film-coated tablets.pdf</x:v>
      </x:c>
      <x:c r="E145" s="39" t="str">
        <x:v>Open</x:v>
      </x:c>
    </x:row>
    <x:row r="146">
      <x:c r="A146" s="31" t="str">
        <x:v>carbamazepine</x:v>
      </x:c>
      <x:c r="B146" s="31" t="str">
        <x:v>interaction_severity_unclassified</x:v>
      </x:c>
      <x:c r="C146" s="37" t="str">
        <x:v>Possible named interaction with clindamycin requires clinical severity review.</x:v>
      </x:c>
      <x:c r="D146" s="37" t="str">
        <x:v>https://drug.fda.moph.go.th/media.php?id=809679498764230656&amp;name=SMPC_clindamycin phosphate_solution for injection and infusion.pdf</x:v>
      </x:c>
      <x:c r="E146" s="39" t="str">
        <x:v>Open</x:v>
      </x:c>
    </x:row>
    <x:row r="147">
      <x:c r="A147" s="31" t="str">
        <x:v>ampicillin</x:v>
      </x:c>
      <x:c r="B147" s="31" t="str">
        <x:v>interaction_severity_unclassified</x:v>
      </x:c>
      <x:c r="C147" s="37" t="str">
        <x:v>Possible named interaction with clindamycin requires clinical severity review.</x:v>
      </x:c>
      <x:c r="D147" s="37" t="str">
        <x:v>https://drug.fda.moph.go.th/media.php?id=809679498764230656&amp;name=SMPC_clindamycin phosphate_solution for injection and infusion.pdf</x:v>
      </x:c>
      <x:c r="E147" s="39" t="str">
        <x:v>Open</x:v>
      </x:c>
    </x:row>
    <x:row r="148">
      <x:c r="A148" s="31" t="str">
        <x:v>ciprofloxacin</x:v>
      </x:c>
      <x:c r="B148" s="31" t="str">
        <x:v>interaction_severity_unclassified</x:v>
      </x:c>
      <x:c r="C148" s="37" t="str">
        <x:v>Possible named interaction with clindamycin requires clinical severity review.</x:v>
      </x:c>
      <x:c r="D148" s="37" t="str">
        <x:v>https://drug.fda.moph.go.th/media.php?id=809679498764230656&amp;name=SMPC_clindamycin phosphate_solution for injection and infusion.pdf</x:v>
      </x:c>
      <x:c r="E148" s="39" t="str">
        <x:v>Open</x:v>
      </x:c>
    </x:row>
    <x:row r="149">
      <x:c r="A149" s="31" t="str">
        <x:v>clindamycin</x:v>
      </x:c>
      <x:c r="B149" s="31" t="str">
        <x:v>interaction_severity_unclassified</x:v>
      </x:c>
      <x:c r="C149" s="37" t="str">
        <x:v>Possible named interaction with magnesium requires clinical severity review.</x:v>
      </x:c>
      <x:c r="D149" s="37" t="str">
        <x:v>https://drug.fda.moph.go.th/media.php?id=809679498764230656&amp;name=SMPC_clindamycin phosphate_solution for injection and infusion.pdf</x:v>
      </x:c>
      <x:c r="E149" s="39" t="str">
        <x:v>Open</x:v>
      </x:c>
    </x:row>
    <x:row r="150">
      <x:c r="A150" s="31" t="str">
        <x:v>clindamycin</x:v>
      </x:c>
      <x:c r="B150" s="31" t="str">
        <x:v>interaction_severity_unclassified</x:v>
      </x:c>
      <x:c r="C150" s="37" t="str">
        <x:v>Possible named interaction with ranitidine requires clinical severity review.</x:v>
      </x:c>
      <x:c r="D150" s="37" t="str">
        <x:v>https://drug.fda.moph.go.th/media.php?id=809679498764230656&amp;name=SMPC_clindamycin phosphate_solution for injection and infusion.pdf</x:v>
      </x:c>
      <x:c r="E150" s="39" t="str">
        <x:v>Open</x:v>
      </x:c>
    </x:row>
    <x:row r="151">
      <x:c r="A151" s="31" t="str">
        <x:v>aminophylline</x:v>
      </x:c>
      <x:c r="B151" s="31" t="str">
        <x:v>interaction_severity_unclassified</x:v>
      </x:c>
      <x:c r="C151" s="37" t="str">
        <x:v>Possible named interaction with clindamycin requires clinical severity review.</x:v>
      </x:c>
      <x:c r="D151" s="37" t="str">
        <x:v>https://drug.fda.moph.go.th/media.php?id=809679498764230656&amp;name=SMPC_clindamycin phosphate_solution for injection and infusion.pdf</x:v>
      </x:c>
      <x:c r="E151" s="39" t="str">
        <x:v>Open</x:v>
      </x:c>
    </x:row>
    <x:row r="152">
      <x:c r="A152" s="31" t="str">
        <x:v>clonidine</x:v>
      </x:c>
      <x:c r="B152" s="31" t="str">
        <x:v>interaction_severity_unclassified</x:v>
      </x:c>
      <x:c r="C152" s="37" t="str">
        <x:v>Possible named interaction with haloperidol requires clinical severity review.</x:v>
      </x:c>
      <x:c r="D152" s="37" t="str">
        <x:v>https://drug.fda.moph.go.th/media.php?id=809689391965544448&amp;name=SMPC_Clonidine_tablets.pdf</x:v>
      </x:c>
      <x:c r="E152" s="39" t="str">
        <x:v>Open</x:v>
      </x:c>
    </x:row>
    <x:row r="153">
      <x:c r="A153" s="31" t="str">
        <x:v>chloramphenicol</x:v>
      </x:c>
      <x:c r="B153" s="31" t="str">
        <x:v>interaction_severity_unclassified</x:v>
      </x:c>
      <x:c r="C153" s="37" t="str">
        <x:v>Possible named interaction with cyanocobalamin requires clinical severity review.</x:v>
      </x:c>
      <x:c r="D153" s="37" t="str">
        <x:v>https://drug.fda.moph.go.th/media.php?id=809692799212593152&amp;name=SMPC_Cyanocobalamin_Tablets.pdf</x:v>
      </x:c>
      <x:c r="E153" s="39" t="str">
        <x:v>Open</x:v>
      </x:c>
    </x:row>
    <x:row r="154">
      <x:c r="A154" s="31" t="str">
        <x:v>cholestyramine</x:v>
      </x:c>
      <x:c r="B154" s="31" t="str">
        <x:v>interaction_severity_unclassified</x:v>
      </x:c>
      <x:c r="C154" s="37" t="str">
        <x:v>Possible named interaction with cyanocobalamin requires clinical severity review.</x:v>
      </x:c>
      <x:c r="D154" s="37" t="str">
        <x:v>https://drug.fda.moph.go.th/media.php?id=809692799212593152&amp;name=SMPC_Cyanocobalamin_Tablets.pdf</x:v>
      </x:c>
      <x:c r="E154" s="39" t="str">
        <x:v>Open</x:v>
      </x:c>
    </x:row>
    <x:row r="155">
      <x:c r="A155" s="31" t="str">
        <x:v>cimetidine</x:v>
      </x:c>
      <x:c r="B155" s="31" t="str">
        <x:v>interaction_severity_unclassified</x:v>
      </x:c>
      <x:c r="C155" s="37" t="str">
        <x:v>Possible named interaction with cyanocobalamin requires clinical severity review.</x:v>
      </x:c>
      <x:c r="D155" s="37" t="str">
        <x:v>https://drug.fda.moph.go.th/media.php?id=809692799212593152&amp;name=SMPC_Cyanocobalamin_Tablets.pdf</x:v>
      </x:c>
      <x:c r="E155" s="39" t="str">
        <x:v>Open</x:v>
      </x:c>
    </x:row>
    <x:row r="156">
      <x:c r="A156" s="31" t="str">
        <x:v>cyanocobalamin</x:v>
      </x:c>
      <x:c r="B156" s="31" t="str">
        <x:v>interaction_severity_unclassified</x:v>
      </x:c>
      <x:c r="C156" s="37" t="str">
        <x:v>Possible named interaction with methyldopa requires clinical severity review.</x:v>
      </x:c>
      <x:c r="D156" s="37" t="str">
        <x:v>https://drug.fda.moph.go.th/media.php?id=809692799212593152&amp;name=SMPC_Cyanocobalamin_Tablets.pdf</x:v>
      </x:c>
      <x:c r="E156" s="39" t="str">
        <x:v>Open</x:v>
      </x:c>
    </x:row>
    <x:row r="157">
      <x:c r="A157" s="31" t="str">
        <x:v>cyanocobalamin</x:v>
      </x:c>
      <x:c r="B157" s="31" t="str">
        <x:v>interaction_severity_unclassified</x:v>
      </x:c>
      <x:c r="C157" s="37" t="str">
        <x:v>Possible named interaction with potassium_chloride requires clinical severity review.</x:v>
      </x:c>
      <x:c r="D157" s="37" t="str">
        <x:v>https://drug.fda.moph.go.th/media.php?id=809692799212593152&amp;name=SMPC_Cyanocobalamin_Tablets.pdf</x:v>
      </x:c>
      <x:c r="E157" s="39" t="str">
        <x:v>Open</x:v>
      </x:c>
    </x:row>
    <x:row r="158">
      <x:c r="A158" s="31" t="str">
        <x:v>chloramphenicol</x:v>
      </x:c>
      <x:c r="B158" s="31" t="str">
        <x:v>interaction_severity_unclassified</x:v>
      </x:c>
      <x:c r="C158" s="37" t="str">
        <x:v>Possible named interaction with cyclophosphamide requires clinical severity review.</x:v>
      </x:c>
      <x:c r="D158" s="37" t="str">
        <x:v>https://drug.fda.moph.go.th/media.php?id=809693226402455552&amp;name=SMPC_Cyclophosphamide_Powders for solutions for injections or infusions.pdf</x:v>
      </x:c>
      <x:c r="E158" s="39" t="str">
        <x:v>Open</x:v>
      </x:c>
    </x:row>
    <x:row r="159">
      <x:c r="A159" s="31" t="str">
        <x:v>ciprofloxacin</x:v>
      </x:c>
      <x:c r="B159" s="31" t="str">
        <x:v>interaction_severity_unclassified</x:v>
      </x:c>
      <x:c r="C159" s="37" t="str">
        <x:v>Possible named interaction with cyclophosphamide requires clinical severity review.</x:v>
      </x:c>
      <x:c r="D159" s="37" t="str">
        <x:v>https://drug.fda.moph.go.th/media.php?id=809693226402455552&amp;name=SMPC_Cyclophosphamide_Powders for solutions for injections or infusions.pdf</x:v>
      </x:c>
      <x:c r="E159" s="39" t="str">
        <x:v>Open</x:v>
      </x:c>
    </x:row>
    <x:row r="160">
      <x:c r="A160" s="31" t="str">
        <x:v>cimetidine</x:v>
      </x:c>
      <x:c r="B160" s="31" t="str">
        <x:v>interaction_severity_unclassified</x:v>
      </x:c>
      <x:c r="C160" s="37" t="str">
        <x:v>Possible named interaction with cyclophosphamide requires clinical severity review.</x:v>
      </x:c>
      <x:c r="D160" s="37" t="str">
        <x:v>https://drug.fda.moph.go.th/media.php?id=809693226402455552&amp;name=SMPC_Cyclophosphamide_Powders for solutions for injections or infusions.pdf</x:v>
      </x:c>
      <x:c r="E160" s="39" t="str">
        <x:v>Open</x:v>
      </x:c>
    </x:row>
    <x:row r="161">
      <x:c r="A161" s="31" t="str">
        <x:v>cyclophosphamide</x:v>
      </x:c>
      <x:c r="B161" s="31" t="str">
        <x:v>interaction_severity_unclassified</x:v>
      </x:c>
      <x:c r="C161" s="37" t="str">
        <x:v>Possible named interaction with disulfiram requires clinical severity review.</x:v>
      </x:c>
      <x:c r="D161" s="37" t="str">
        <x:v>https://drug.fda.moph.go.th/media.php?id=809693226402455552&amp;name=SMPC_Cyclophosphamide_Powders for solutions for injections or infusions.pdf</x:v>
      </x:c>
      <x:c r="E161" s="39" t="str">
        <x:v>Open</x:v>
      </x:c>
    </x:row>
    <x:row r="162">
      <x:c r="A162" s="31" t="str">
        <x:v>cyclophosphamide</x:v>
      </x:c>
      <x:c r="B162" s="31" t="str">
        <x:v>interaction_severity_unclassified</x:v>
      </x:c>
      <x:c r="C162" s="37" t="str">
        <x:v>Possible named interaction with itraconazole requires clinical severity review.</x:v>
      </x:c>
      <x:c r="D162" s="37" t="str">
        <x:v>https://drug.fda.moph.go.th/media.php?id=809693226402455552&amp;name=SMPC_Cyclophosphamide_Powders for solutions for injections or infusions.pdf</x:v>
      </x:c>
      <x:c r="E162" s="39" t="str">
        <x:v>Open</x:v>
      </x:c>
    </x:row>
    <x:row r="163">
      <x:c r="A163" s="31" t="str">
        <x:v>cyclophosphamide</x:v>
      </x:c>
      <x:c r="B163" s="31" t="str">
        <x:v>interaction_severity_unclassified</x:v>
      </x:c>
      <x:c r="C163" s="37" t="str">
        <x:v>Possible named interaction with rifampicin requires clinical severity review.</x:v>
      </x:c>
      <x:c r="D163" s="37" t="str">
        <x:v>https://drug.fda.moph.go.th/media.php?id=809693226402455552&amp;name=SMPC_Cyclophosphamide_Powders for solutions for injections or infusions.pdf</x:v>
      </x:c>
      <x:c r="E163" s="39" t="str">
        <x:v>Open</x:v>
      </x:c>
    </x:row>
    <x:row r="164">
      <x:c r="A164" s="31" t="str">
        <x:v>carbamazepine</x:v>
      </x:c>
      <x:c r="B164" s="31" t="str">
        <x:v>interaction_severity_unclassified</x:v>
      </x:c>
      <x:c r="C164" s="37" t="str">
        <x:v>Possible named interaction with cyclophosphamide requires clinical severity review.</x:v>
      </x:c>
      <x:c r="D164" s="37" t="str">
        <x:v>https://drug.fda.moph.go.th/media.php?id=809693226402455552&amp;name=SMPC_Cyclophosphamide_Powders for solutions for injections or infusions.pdf</x:v>
      </x:c>
      <x:c r="E164" s="39" t="str">
        <x:v>Open</x:v>
      </x:c>
    </x:row>
    <x:row r="165">
      <x:c r="A165" s="31" t="str">
        <x:v>cyclophosphamide</x:v>
      </x:c>
      <x:c r="B165" s="31" t="str">
        <x:v>interaction_severity_unclassified</x:v>
      </x:c>
      <x:c r="C165" s="37" t="str">
        <x:v>Possible named interaction with zidovudine requires clinical severity review.</x:v>
      </x:c>
      <x:c r="D165" s="37" t="str">
        <x:v>https://drug.fda.moph.go.th/media.php?id=809693226402455552&amp;name=SMPC_Cyclophosphamide_Powders for solutions for injections or infusions.pdf</x:v>
      </x:c>
      <x:c r="E165" s="39" t="str">
        <x:v>Open</x:v>
      </x:c>
    </x:row>
    <x:row r="166">
      <x:c r="A166" s="31" t="str">
        <x:v>cyclophosphamide</x:v>
      </x:c>
      <x:c r="B166" s="31" t="str">
        <x:v>interaction_severity_unclassified</x:v>
      </x:c>
      <x:c r="C166" s="37" t="str">
        <x:v>Possible named interaction with doxorubicin requires clinical severity review.</x:v>
      </x:c>
      <x:c r="D166" s="37" t="str">
        <x:v>https://drug.fda.moph.go.th/media.php?id=809693226402455552&amp;name=SMPC_Cyclophosphamide_Powders for solutions for injections or infusions.pdf</x:v>
      </x:c>
      <x:c r="E166" s="39" t="str">
        <x:v>Open</x:v>
      </x:c>
    </x:row>
    <x:row r="167">
      <x:c r="A167" s="31" t="str">
        <x:v>cyclophosphamide</x:v>
      </x:c>
      <x:c r="B167" s="31" t="str">
        <x:v>interaction_severity_unclassified</x:v>
      </x:c>
      <x:c r="C167" s="37" t="str">
        <x:v>Possible named interaction with indomethacin requires clinical severity review.</x:v>
      </x:c>
      <x:c r="D167" s="37" t="str">
        <x:v>https://drug.fda.moph.go.th/media.php?id=809693226402455552&amp;name=SMPC_Cyclophosphamide_Powders for solutions for injections or infusions.pdf</x:v>
      </x:c>
      <x:c r="E167" s="39" t="str">
        <x:v>Open</x:v>
      </x:c>
    </x:row>
    <x:row r="168">
      <x:c r="A168" s="31" t="str">
        <x:v>cyclophosphamide</x:v>
      </x:c>
      <x:c r="B168" s="31" t="str">
        <x:v>interaction_severity_unclassified</x:v>
      </x:c>
      <x:c r="C168" s="37" t="str">
        <x:v>Possible named interaction with metronidazole requires clinical severity review.</x:v>
      </x:c>
      <x:c r="D168" s="37" t="str">
        <x:v>https://drug.fda.moph.go.th/media.php?id=809693226402455552&amp;name=SMPC_Cyclophosphamide_Powders for solutions for injections or infusions.pdf</x:v>
      </x:c>
      <x:c r="E168" s="39" t="str">
        <x:v>Open</x:v>
      </x:c>
    </x:row>
    <x:row r="169">
      <x:c r="A169" s="31" t="str">
        <x:v>cyclophosphamide</x:v>
      </x:c>
      <x:c r="B169" s="31" t="str">
        <x:v>interaction_severity_unclassified</x:v>
      </x:c>
      <x:c r="C169" s="37" t="str">
        <x:v>Possible named interaction with digoxin requires clinical severity review.</x:v>
      </x:c>
      <x:c r="D169" s="37" t="str">
        <x:v>https://drug.fda.moph.go.th/media.php?id=809693226402455552&amp;name=SMPC_Cyclophosphamide_Powders for solutions for injections or infusions.pdf</x:v>
      </x:c>
      <x:c r="E169" s="39" t="str">
        <x:v>Open</x:v>
      </x:c>
    </x:row>
    <x:row r="170">
      <x:c r="A170" s="31" t="str">
        <x:v>cyclophosphamide</x:v>
      </x:c>
      <x:c r="B170" s="31" t="str">
        <x:v>interaction_severity_unclassified</x:v>
      </x:c>
      <x:c r="C170" s="37" t="str">
        <x:v>Possible named interaction with metronidazole requires clinical severity review.</x:v>
      </x:c>
      <x:c r="D170" s="37" t="str">
        <x:v>https://drug.fda.moph.go.th/media.php?id=809693226402455552&amp;name=SMPC_Cyclophosphamide_Powders for solutions for injections or infusions.pdf</x:v>
      </x:c>
      <x:c r="E170" s="39" t="str">
        <x:v>Open</x:v>
      </x:c>
    </x:row>
    <x:row r="171">
      <x:c r="A171" s="31" t="str">
        <x:v>cyclophosphamide</x:v>
      </x:c>
      <x:c r="B171" s="31" t="str">
        <x:v>interaction_severity_unclassified</x:v>
      </x:c>
      <x:c r="C171" s="37" t="str">
        <x:v>Possible named interaction with tamoxifen requires clinical severity review.</x:v>
      </x:c>
      <x:c r="D171" s="37" t="str">
        <x:v>https://drug.fda.moph.go.th/media.php?id=809693226402455552&amp;name=SMPC_Cyclophosphamide_Powders for solutions for injections or infusions.pdf</x:v>
      </x:c>
      <x:c r="E171" s="39" t="str">
        <x:v>Open</x:v>
      </x:c>
    </x:row>
    <x:row r="172">
      <x:c r="A172" s="31" t="str">
        <x:v>cyclophosphamide</x:v>
      </x:c>
      <x:c r="B172" s="31" t="str">
        <x:v>interaction_severity_unclassified</x:v>
      </x:c>
      <x:c r="C172" s="37" t="str">
        <x:v>Possible named interaction with digoxin requires clinical severity review.</x:v>
      </x:c>
      <x:c r="D172" s="37" t="str">
        <x:v>https://drug.fda.moph.go.th/media.php?id=809693226402455552&amp;name=SMPC_Cyclophosphamide_Powders for solutions for injections or infusions.pdf</x:v>
      </x:c>
      <x:c r="E172" s="39" t="str">
        <x:v>Open</x:v>
      </x:c>
    </x:row>
    <x:row r="173">
      <x:c r="A173" s="31" t="str">
        <x:v>cyclophosphamide</x:v>
      </x:c>
      <x:c r="B173" s="31" t="str">
        <x:v>interaction_severity_unclassified</x:v>
      </x:c>
      <x:c r="C173" s="37" t="str">
        <x:v>Possible named interaction with verapamil requires clinical severity review.</x:v>
      </x:c>
      <x:c r="D173" s="37" t="str">
        <x:v>https://drug.fda.moph.go.th/media.php?id=809693226402455552&amp;name=SMPC_Cyclophosphamide_Powders for solutions for injections or infusions.pdf</x:v>
      </x:c>
      <x:c r="E173" s="39" t="str">
        <x:v>Open</x:v>
      </x:c>
    </x:row>
    <x:row r="174">
      <x:c r="A174" s="31" t="str">
        <x:v>atropine</x:v>
      </x:c>
      <x:c r="B174" s="31" t="str">
        <x:v>interaction_severity_unclassified</x:v>
      </x:c>
      <x:c r="C174" s="37" t="str">
        <x:v>Possible named interaction with cyproheptadine requires clinical severity review.</x:v>
      </x:c>
      <x:c r="D174" s="37" t="str">
        <x:v>https://drug.fda.moph.go.th/media.php?id=809699643461083136&amp;name=SMPC_Cyproheptadine_Tablets.pdf</x:v>
      </x:c>
      <x:c r="E174" s="39" t="str">
        <x:v>Open</x:v>
      </x:c>
    </x:row>
    <x:row r="175">
      <x:c r="A175" s="31" t="str">
        <x:v>carbamazepine</x:v>
      </x:c>
      <x:c r="B175" s="31" t="str">
        <x:v>interaction_severity_unclassified</x:v>
      </x:c>
      <x:c r="C175" s="37" t="str">
        <x:v>Possible named interaction with dexamethasone requires clinical severity review.</x:v>
      </x:c>
      <x:c r="D175" s="37" t="str">
        <x:v>https://drug.fda.moph.go.th/media.php?id=810062372298432512&amp;name=SMPC_Dexamethasone_Oral solution.pdf</x:v>
      </x:c>
      <x:c r="E175" s="39" t="str">
        <x:v>Open</x:v>
      </x:c>
    </x:row>
    <x:row r="176">
      <x:c r="A176" s="31" t="str">
        <x:v>dexamethasone</x:v>
      </x:c>
      <x:c r="B176" s="31" t="str">
        <x:v>interaction_severity_unclassified</x:v>
      </x:c>
      <x:c r="C176" s="37" t="str">
        <x:v>Possible named interaction with rifampicin requires clinical severity review.</x:v>
      </x:c>
      <x:c r="D176" s="37" t="str">
        <x:v>https://drug.fda.moph.go.th/media.php?id=810062372298432512&amp;name=SMPC_Dexamethasone_Oral solution.pdf</x:v>
      </x:c>
      <x:c r="E176" s="39" t="str">
        <x:v>Open</x:v>
      </x:c>
    </x:row>
    <x:row r="177">
      <x:c r="A177" s="31" t="str">
        <x:v>dexamethasone</x:v>
      </x:c>
      <x:c r="B177" s="31" t="str">
        <x:v>interaction_severity_unclassified</x:v>
      </x:c>
      <x:c r="C177" s="37" t="str">
        <x:v>Possible named interaction with erythromycin requires clinical severity review.</x:v>
      </x:c>
      <x:c r="D177" s="37" t="str">
        <x:v>https://drug.fda.moph.go.th/media.php?id=810062372298432512&amp;name=SMPC_Dexamethasone_Oral solution.pdf</x:v>
      </x:c>
      <x:c r="E177" s="39" t="str">
        <x:v>Open</x:v>
      </x:c>
    </x:row>
    <x:row r="178">
      <x:c r="A178" s="31" t="str">
        <x:v>dexamethasone</x:v>
      </x:c>
      <x:c r="B178" s="31" t="str">
        <x:v>interaction_severity_unclassified</x:v>
      </x:c>
      <x:c r="C178" s="37" t="str">
        <x:v>Possible named interaction with ketoconazole requires clinical severity review.</x:v>
      </x:c>
      <x:c r="D178" s="37" t="str">
        <x:v>https://drug.fda.moph.go.th/media.php?id=810062372298432512&amp;name=SMPC_Dexamethasone_Oral solution.pdf</x:v>
      </x:c>
      <x:c r="E178" s="39" t="str">
        <x:v>Open</x:v>
      </x:c>
    </x:row>
    <x:row r="179">
      <x:c r="A179" s="31" t="str">
        <x:v>dexamethasone</x:v>
      </x:c>
      <x:c r="B179" s="31" t="str">
        <x:v>interaction_severity_unclassified</x:v>
      </x:c>
      <x:c r="C179" s="37" t="str">
        <x:v>Possible named interaction with prednisolone requires clinical severity review.</x:v>
      </x:c>
      <x:c r="D179" s="37" t="str">
        <x:v>https://drug.fda.moph.go.th/media.php?id=810062372298432512&amp;name=SMPC_Dexamethasone_Oral solution.pdf</x:v>
      </x:c>
      <x:c r="E179" s="39" t="str">
        <x:v>Open</x:v>
      </x:c>
    </x:row>
    <x:row r="180">
      <x:c r="A180" s="31" t="str">
        <x:v>dexamethasone</x:v>
      </x:c>
      <x:c r="B180" s="31" t="str">
        <x:v>interaction_severity_unclassified</x:v>
      </x:c>
      <x:c r="C180" s="37" t="str">
        <x:v>Possible named interaction with insulin requires clinical severity review.</x:v>
      </x:c>
      <x:c r="D180" s="37" t="str">
        <x:v>https://drug.fda.moph.go.th/media.php?id=810062372298432512&amp;name=SMPC_Dexamethasone_Oral solution.pdf</x:v>
      </x:c>
      <x:c r="E180" s="39" t="str">
        <x:v>Open</x:v>
      </x:c>
    </x:row>
    <x:row r="181">
      <x:c r="A181" s="31" t="str">
        <x:v>dexamethasone</x:v>
      </x:c>
      <x:c r="B181" s="31" t="str">
        <x:v>interaction_severity_unclassified</x:v>
      </x:c>
      <x:c r="C181" s="37" t="str">
        <x:v>Possible named interaction with isoniazid requires clinical severity review.</x:v>
      </x:c>
      <x:c r="D181" s="37" t="str">
        <x:v>https://drug.fda.moph.go.th/media.php?id=810062372298432512&amp;name=SMPC_Dexamethasone_Oral solution.pdf</x:v>
      </x:c>
      <x:c r="E181" s="39" t="str">
        <x:v>Open</x:v>
      </x:c>
    </x:row>
    <x:row r="182">
      <x:c r="A182" s="31" t="str">
        <x:v>carbamazepine</x:v>
      </x:c>
      <x:c r="B182" s="31" t="str">
        <x:v>interaction_severity_unclassified</x:v>
      </x:c>
      <x:c r="C182" s="37" t="str">
        <x:v>Possible named interaction with dexamethasone requires clinical severity review.</x:v>
      </x:c>
      <x:c r="D182" s="37" t="str">
        <x:v>https://drug.fda.moph.go.th/media.php?id=810066436012777472&amp;name=SMPC_Dexamethasone_syrup.pdf</x:v>
      </x:c>
      <x:c r="E182" s="39" t="str">
        <x:v>Open</x:v>
      </x:c>
    </x:row>
    <x:row r="183">
      <x:c r="A183" s="31" t="str">
        <x:v>dexamethasone</x:v>
      </x:c>
      <x:c r="B183" s="31" t="str">
        <x:v>interaction_severity_unclassified</x:v>
      </x:c>
      <x:c r="C183" s="37" t="str">
        <x:v>Possible named interaction with erythromycin requires clinical severity review.</x:v>
      </x:c>
      <x:c r="D183" s="37" t="str">
        <x:v>https://drug.fda.moph.go.th/media.php?id=810066436012777472&amp;name=SMPC_Dexamethasone_syrup.pdf</x:v>
      </x:c>
      <x:c r="E183" s="39" t="str">
        <x:v>Open</x:v>
      </x:c>
    </x:row>
    <x:row r="184">
      <x:c r="A184" s="31" t="str">
        <x:v>dexamethasone</x:v>
      </x:c>
      <x:c r="B184" s="31" t="str">
        <x:v>interaction_severity_unclassified</x:v>
      </x:c>
      <x:c r="C184" s="37" t="str">
        <x:v>Possible named interaction with rifampicin requires clinical severity review.</x:v>
      </x:c>
      <x:c r="D184" s="37" t="str">
        <x:v>https://drug.fda.moph.go.th/media.php?id=810066436012777472&amp;name=SMPC_Dexamethasone_syrup.pdf</x:v>
      </x:c>
      <x:c r="E184" s="39" t="str">
        <x:v>Open</x:v>
      </x:c>
    </x:row>
    <x:row r="185">
      <x:c r="A185" s="31" t="str">
        <x:v>dexamethasone</x:v>
      </x:c>
      <x:c r="B185" s="31" t="str">
        <x:v>interaction_severity_unclassified</x:v>
      </x:c>
      <x:c r="C185" s="37" t="str">
        <x:v>Possible named interaction with insulin requires clinical severity review.</x:v>
      </x:c>
      <x:c r="D185" s="37" t="str">
        <x:v>https://drug.fda.moph.go.th/media.php?id=810066436012777472&amp;name=SMPC_Dexamethasone_syrup.pdf</x:v>
      </x:c>
      <x:c r="E185" s="39" t="str">
        <x:v>Open</x:v>
      </x:c>
    </x:row>
    <x:row r="186">
      <x:c r="A186" s="31" t="str">
        <x:v>dexamethasone</x:v>
      </x:c>
      <x:c r="B186" s="31" t="str">
        <x:v>interaction_severity_unclassified</x:v>
      </x:c>
      <x:c r="C186" s="37" t="str">
        <x:v>Possible named interaction with prednisolone requires clinical severity review.</x:v>
      </x:c>
      <x:c r="D186" s="37" t="str">
        <x:v>https://drug.fda.moph.go.th/media.php?id=810066436012777472&amp;name=SMPC_Dexamethasone_syrup.pdf</x:v>
      </x:c>
      <x:c r="E186" s="39" t="str">
        <x:v>Open</x:v>
      </x:c>
    </x:row>
    <x:row r="187">
      <x:c r="A187" s="31" t="str">
        <x:v>dexamethasone</x:v>
      </x:c>
      <x:c r="B187" s="31" t="str">
        <x:v>interaction_severity_unclassified</x:v>
      </x:c>
      <x:c r="C187" s="37" t="str">
        <x:v>Possible named interaction with hydrocortisone requires clinical severity review.</x:v>
      </x:c>
      <x:c r="D187" s="37" t="str">
        <x:v>https://drug.fda.moph.go.th/media.php?id=810066436012777472&amp;name=SMPC_Dexamethasone_syrup.pdf</x:v>
      </x:c>
      <x:c r="E187" s="39" t="str">
        <x:v>Open</x:v>
      </x:c>
    </x:row>
    <x:row r="188">
      <x:c r="A188" s="31" t="str">
        <x:v>dexamethasone</x:v>
      </x:c>
      <x:c r="B188" s="31" t="str">
        <x:v>interaction_severity_unclassified</x:v>
      </x:c>
      <x:c r="C188" s="37" t="str">
        <x:v>Possible named interaction with isoniazid requires clinical severity review.</x:v>
      </x:c>
      <x:c r="D188" s="37" t="str">
        <x:v>https://drug.fda.moph.go.th/media.php?id=810066436012777472&amp;name=SMPC_Dexamethasone_syrup.pdf</x:v>
      </x:c>
      <x:c r="E188" s="39" t="str">
        <x:v>Open</x:v>
      </x:c>
    </x:row>
    <x:row r="189">
      <x:c r="A189" s="31" t="str">
        <x:v>dextromethorphan_hydrobromide</x:v>
      </x:c>
      <x:c r="B189" s="31" t="str">
        <x:v>interaction_severity_unclassified</x:v>
      </x:c>
      <x:c r="C189" s="37" t="str">
        <x:v>Possible named interaction with fluoxetine requires clinical severity review.</x:v>
      </x:c>
      <x:c r="D189" s="37" t="str">
        <x:v>https://drug.fda.moph.go.th/media.php?id=810067905235525632&amp;name=SMPC_Dextromethorphan_Lozenge.pdf</x:v>
      </x:c>
      <x:c r="E189" s="39" t="str">
        <x:v>Open</x:v>
      </x:c>
    </x:row>
    <x:row r="190">
      <x:c r="A190" s="31" t="str">
        <x:v>dextromethorphan_hydrobromide</x:v>
      </x:c>
      <x:c r="B190" s="31" t="str">
        <x:v>interaction_severity_unclassified</x:v>
      </x:c>
      <x:c r="C190" s="37" t="str">
        <x:v>Possible named interaction with haloperidol requires clinical severity review.</x:v>
      </x:c>
      <x:c r="D190" s="37" t="str">
        <x:v>https://drug.fda.moph.go.th/media.php?id=810067905235525632&amp;name=SMPC_Dextromethorphan_Lozenge.pdf</x:v>
      </x:c>
      <x:c r="E190" s="39" t="str">
        <x:v>Open</x:v>
      </x:c>
    </x:row>
    <x:row r="191">
      <x:c r="A191" s="31" t="str">
        <x:v>dextromethorphan_hydrobromide</x:v>
      </x:c>
      <x:c r="B191" s="31" t="str">
        <x:v>interaction_severity_unclassified</x:v>
      </x:c>
      <x:c r="C191" s="37" t="str">
        <x:v>Possible named interaction with thioridazine requires clinical severity review.</x:v>
      </x:c>
      <x:c r="D191" s="37" t="str">
        <x:v>https://drug.fda.moph.go.th/media.php?id=810067905235525632&amp;name=SMPC_Dextromethorphan_Lozenge.pdf</x:v>
      </x:c>
      <x:c r="E191" s="39" t="str">
        <x:v>Open</x:v>
      </x:c>
    </x:row>
    <x:row r="192">
      <x:c r="A192" s="31" t="str">
        <x:v>dextromethorphan_hydrobromide</x:v>
      </x:c>
      <x:c r="B192" s="31" t="str">
        <x:v>interaction_severity_unclassified</x:v>
      </x:c>
      <x:c r="C192" s="37" t="str">
        <x:v>Possible named interaction with perphenazine requires clinical severity review.</x:v>
      </x:c>
      <x:c r="D192" s="37" t="str">
        <x:v>https://drug.fda.moph.go.th/media.php?id=810067905235525632&amp;name=SMPC_Dextromethorphan_Lozenge.pdf</x:v>
      </x:c>
      <x:c r="E192" s="39" t="str">
        <x:v>Open</x:v>
      </x:c>
    </x:row>
    <x:row r="193">
      <x:c r="A193" s="31" t="str">
        <x:v>dextromethorphan_hydrobromide</x:v>
      </x:c>
      <x:c r="B193" s="31" t="str">
        <x:v>interaction_severity_unclassified</x:v>
      </x:c>
      <x:c r="C193" s="37" t="str">
        <x:v>Possible named interaction with fluoxetine requires clinical severity review.</x:v>
      </x:c>
      <x:c r="D193" s="37" t="str">
        <x:v>https://drug.fda.moph.go.th/media.php?id=810068299789508608&amp;name=SMPC_Dextromethorphan_Syrup.pdf</x:v>
      </x:c>
      <x:c r="E193" s="39" t="str">
        <x:v>Open</x:v>
      </x:c>
    </x:row>
    <x:row r="194">
      <x:c r="A194" s="31" t="str">
        <x:v>dextromethorphan_hydrobromide</x:v>
      </x:c>
      <x:c r="B194" s="31" t="str">
        <x:v>interaction_severity_unclassified</x:v>
      </x:c>
      <x:c r="C194" s="37" t="str">
        <x:v>Possible named interaction with haloperidol requires clinical severity review.</x:v>
      </x:c>
      <x:c r="D194" s="37" t="str">
        <x:v>https://drug.fda.moph.go.th/media.php?id=810068299789508608&amp;name=SMPC_Dextromethorphan_Syrup.pdf</x:v>
      </x:c>
      <x:c r="E194" s="39" t="str">
        <x:v>Open</x:v>
      </x:c>
    </x:row>
    <x:row r="195">
      <x:c r="A195" s="31" t="str">
        <x:v>dextromethorphan_hydrobromide</x:v>
      </x:c>
      <x:c r="B195" s="31" t="str">
        <x:v>interaction_severity_unclassified</x:v>
      </x:c>
      <x:c r="C195" s="37" t="str">
        <x:v>Possible named interaction with thioridazine requires clinical severity review.</x:v>
      </x:c>
      <x:c r="D195" s="37" t="str">
        <x:v>https://drug.fda.moph.go.th/media.php?id=810068299789508608&amp;name=SMPC_Dextromethorphan_Syrup.pdf</x:v>
      </x:c>
      <x:c r="E195" s="39" t="str">
        <x:v>Open</x:v>
      </x:c>
    </x:row>
    <x:row r="196">
      <x:c r="A196" s="31" t="str">
        <x:v>dextromethorphan_hydrobromide</x:v>
      </x:c>
      <x:c r="B196" s="31" t="str">
        <x:v>interaction_severity_unclassified</x:v>
      </x:c>
      <x:c r="C196" s="37" t="str">
        <x:v>Possible named interaction with perphenazine requires clinical severity review.</x:v>
      </x:c>
      <x:c r="D196" s="37" t="str">
        <x:v>https://drug.fda.moph.go.th/media.php?id=810068299789508608&amp;name=SMPC_Dextromethorphan_Syrup.pdf</x:v>
      </x:c>
      <x:c r="E196" s="39" t="str">
        <x:v>Open</x:v>
      </x:c>
    </x:row>
    <x:row r="197">
      <x:c r="A197" s="31" t="str">
        <x:v>diclofenac</x:v>
      </x:c>
      <x:c r="B197" s="31" t="str">
        <x:v>interaction_severity_unclassified</x:v>
      </x:c>
      <x:c r="C197" s="37" t="str">
        <x:v>Possible named interaction with methotrexate requires clinical severity review.</x:v>
      </x:c>
      <x:c r="D197" s="37" t="str">
        <x:v>https://drug.fda.moph.go.th/media.php?id=810068711242342400&amp;name=SMPC_Diclofenac_enteric-coated tables.pdf</x:v>
      </x:c>
      <x:c r="E197" s="39" t="str">
        <x:v>Open</x:v>
      </x:c>
    </x:row>
    <x:row r="198">
      <x:c r="A198" s="31" t="str">
        <x:v>diclofenac</x:v>
      </x:c>
      <x:c r="B198" s="31" t="str">
        <x:v>interaction_severity_unclassified</x:v>
      </x:c>
      <x:c r="C198" s="37" t="str">
        <x:v>Possible named interaction with methotrexate requires clinical severity review.</x:v>
      </x:c>
      <x:c r="D198" s="37" t="str">
        <x:v>https://drug.fda.moph.go.th/media.php?id=810069032811241472&amp;name=SMPC_Diclofenac_Prolonged-Release capsules.pdf</x:v>
      </x:c>
      <x:c r="E198" s="39" t="str">
        <x:v>Open</x:v>
      </x:c>
    </x:row>
    <x:row r="199">
      <x:c r="A199" s="31" t="str">
        <x:v>diclofenac</x:v>
      </x:c>
      <x:c r="B199" s="31" t="str">
        <x:v>interaction_severity_unclassified</x:v>
      </x:c>
      <x:c r="C199" s="37" t="str">
        <x:v>Possible named interaction with methotrexate requires clinical severity review.</x:v>
      </x:c>
      <x:c r="D199" s="37" t="str">
        <x:v>https://drug.fda.moph.go.th/media.php?id=810069388655992832&amp;name=SMPC_Diclofenac_Prolonged-Release tablets.pdf</x:v>
      </x:c>
      <x:c r="E199" s="39" t="str">
        <x:v>Open</x:v>
      </x:c>
    </x:row>
    <x:row r="200">
      <x:c r="A200" s="31" t="str">
        <x:v>digoxin</x:v>
      </x:c>
      <x:c r="B200" s="31" t="str">
        <x:v>interaction_severity_unclassified</x:v>
      </x:c>
      <x:c r="C200" s="37" t="str">
        <x:v>Possible named interaction with lithium requires clinical severity review.</x:v>
      </x:c>
      <x:c r="D200" s="37" t="str">
        <x:v>https://drug.fda.moph.go.th/media.php?id=810070238065467392&amp;name=SMPC_Digoxin_Tablets.pdf</x:v>
      </x:c>
      <x:c r="E200" s="39" t="str">
        <x:v>Open</x:v>
      </x:c>
    </x:row>
    <x:row r="201">
      <x:c r="A201" s="31" t="str">
        <x:v>digoxin</x:v>
      </x:c>
      <x:c r="B201" s="31" t="str">
        <x:v>interaction_severity_unclassified</x:v>
      </x:c>
      <x:c r="C201" s="37" t="str">
        <x:v>Possible named interaction with gentamicin requires clinical severity review.</x:v>
      </x:c>
      <x:c r="D201" s="37" t="str">
        <x:v>https://drug.fda.moph.go.th/media.php?id=810070238065467392&amp;name=SMPC_Digoxin_Tablets.pdf</x:v>
      </x:c>
      <x:c r="E201" s="39" t="str">
        <x:v>Open</x:v>
      </x:c>
    </x:row>
    <x:row r="202">
      <x:c r="A202" s="31" t="str">
        <x:v>digoxin</x:v>
      </x:c>
      <x:c r="B202" s="31" t="str">
        <x:v>interaction_severity_unclassified</x:v>
      </x:c>
      <x:c r="C202" s="37" t="str">
        <x:v>Possible named interaction with indomethacin requires clinical severity review.</x:v>
      </x:c>
      <x:c r="D202" s="37" t="str">
        <x:v>https://drug.fda.moph.go.th/media.php?id=810070238065467392&amp;name=SMPC_Digoxin_Tablets.pdf</x:v>
      </x:c>
      <x:c r="E202" s="39" t="str">
        <x:v>Open</x:v>
      </x:c>
    </x:row>
    <x:row r="203">
      <x:c r="A203" s="31" t="str">
        <x:v>digoxin</x:v>
      </x:c>
      <x:c r="B203" s="31" t="str">
        <x:v>interaction_severity_unclassified</x:v>
      </x:c>
      <x:c r="C203" s="37" t="str">
        <x:v>Possible named interaction with itraconazole requires clinical severity review.</x:v>
      </x:c>
      <x:c r="D203" s="37" t="str">
        <x:v>https://drug.fda.moph.go.th/media.php?id=810070238065467392&amp;name=SMPC_Digoxin_Tablets.pdf</x:v>
      </x:c>
      <x:c r="E203" s="39" t="str">
        <x:v>Open</x:v>
      </x:c>
    </x:row>
    <x:row r="204">
      <x:c r="A204" s="31" t="str">
        <x:v>digoxin</x:v>
      </x:c>
      <x:c r="B204" s="31" t="str">
        <x:v>interaction_severity_unclassified</x:v>
      </x:c>
      <x:c r="C204" s="37" t="str">
        <x:v>Possible named interaction with quinine requires clinical severity review.</x:v>
      </x:c>
      <x:c r="D204" s="37" t="str">
        <x:v>https://drug.fda.moph.go.th/media.php?id=810070238065467392&amp;name=SMPC_Digoxin_Tablets.pdf</x:v>
      </x:c>
      <x:c r="E204" s="39" t="str">
        <x:v>Open</x:v>
      </x:c>
    </x:row>
    <x:row r="205">
      <x:c r="A205" s="31" t="str">
        <x:v>betahistine</x:v>
      </x:c>
      <x:c r="B205" s="31" t="str">
        <x:v>interaction_severity_unclassified</x:v>
      </x:c>
      <x:c r="C205" s="37" t="str">
        <x:v>Possible named interaction with dimenhydrinate requires clinical severity review.</x:v>
      </x:c>
      <x:c r="D205" s="37" t="str">
        <x:v>https://drug.fda.moph.go.th/media.php?id=810072093092880384&amp;name=SMPC_Dimenhydrinate_Tablets.pdf</x:v>
      </x:c>
      <x:c r="E205" s="39" t="str">
        <x:v>Open</x:v>
      </x:c>
    </x:row>
    <x:row r="206">
      <x:c r="A206" s="31" t="str">
        <x:v>dimenhydrinate</x:v>
      </x:c>
      <x:c r="B206" s="31" t="str">
        <x:v>interaction_severity_unclassified</x:v>
      </x:c>
      <x:c r="C206" s="37" t="str">
        <x:v>Possible named interaction with trihexyphenidyl requires clinical severity review.</x:v>
      </x:c>
      <x:c r="D206" s="37" t="str">
        <x:v>https://drug.fda.moph.go.th/media.php?id=810072093092880384&amp;name=SMPC_Dimenhydrinate_Tablets.pdf</x:v>
      </x:c>
      <x:c r="E206" s="39" t="str">
        <x:v>Open</x:v>
      </x:c>
    </x:row>
    <x:row r="207">
      <x:c r="A207" s="31" t="str">
        <x:v>dimenhydrinate</x:v>
      </x:c>
      <x:c r="B207" s="31" t="str">
        <x:v>interaction_severity_unclassified</x:v>
      </x:c>
      <x:c r="C207" s="37" t="str">
        <x:v>Possible named interaction with diphenhydramine requires clinical severity review.</x:v>
      </x:c>
      <x:c r="D207" s="37" t="str">
        <x:v>https://drug.fda.moph.go.th/media.php?id=810072093092880384&amp;name=SMPC_Dimenhydrinate_Tablets.pdf</x:v>
      </x:c>
      <x:c r="E207" s="39" t="str">
        <x:v>Open</x:v>
      </x:c>
    </x:row>
    <x:row r="208">
      <x:c r="A208" s="31" t="str">
        <x:v>amitriptyline</x:v>
      </x:c>
      <x:c r="B208" s="31" t="str">
        <x:v>interaction_severity_unclassified</x:v>
      </x:c>
      <x:c r="C208" s="37" t="str">
        <x:v>Possible named interaction with disulfiram requires clinical severity review.</x:v>
      </x:c>
      <x:c r="D208" s="37" t="str">
        <x:v>https://drug.fda.moph.go.th/media.php?id=810072772666597376&amp;name=SMPC_Disulfiram_Tablets.pdf</x:v>
      </x:c>
      <x:c r="E208" s="39" t="str">
        <x:v>Open</x:v>
      </x:c>
    </x:row>
    <x:row r="209">
      <x:c r="A209" s="31" t="str">
        <x:v>disulfiram</x:v>
      </x:c>
      <x:c r="B209" s="31" t="str">
        <x:v>interaction_severity_unclassified</x:v>
      </x:c>
      <x:c r="C209" s="37" t="str">
        <x:v>Possible named interaction with isoniazid requires clinical severity review.</x:v>
      </x:c>
      <x:c r="D209" s="37" t="str">
        <x:v>https://drug.fda.moph.go.th/media.php?id=810072772666597376&amp;name=SMPC_Disulfiram_Tablets.pdf</x:v>
      </x:c>
      <x:c r="E209" s="39" t="str">
        <x:v>Open</x:v>
      </x:c>
    </x:row>
    <x:row r="210">
      <x:c r="A210" s="31" t="str">
        <x:v>disulfiram</x:v>
      </x:c>
      <x:c r="B210" s="31" t="str">
        <x:v>interaction_severity_unclassified</x:v>
      </x:c>
      <x:c r="C210" s="37" t="str">
        <x:v>Possible named interaction with metronidazole requires clinical severity review.</x:v>
      </x:c>
      <x:c r="D210" s="37" t="str">
        <x:v>https://drug.fda.moph.go.th/media.php?id=810072772666597376&amp;name=SMPC_Disulfiram_Tablets.pdf</x:v>
      </x:c>
      <x:c r="E210" s="39" t="str">
        <x:v>Open</x:v>
      </x:c>
    </x:row>
    <x:row r="211">
      <x:c r="A211" s="31" t="str">
        <x:v>disulfiram</x:v>
      </x:c>
      <x:c r="B211" s="31" t="str">
        <x:v>interaction_severity_unclassified</x:v>
      </x:c>
      <x:c r="C211" s="37" t="str">
        <x:v>Possible named interaction with pimozide requires clinical severity review.</x:v>
      </x:c>
      <x:c r="D211" s="37" t="str">
        <x:v>https://drug.fda.moph.go.th/media.php?id=810072772666597376&amp;name=SMPC_Disulfiram_Tablets.pdf</x:v>
      </x:c>
      <x:c r="E211" s="39" t="str">
        <x:v>Open</x:v>
      </x:c>
    </x:row>
    <x:row r="212">
      <x:c r="A212" s="31" t="str">
        <x:v>disulfiram</x:v>
      </x:c>
      <x:c r="B212" s="31" t="str">
        <x:v>interaction_severity_unclassified</x:v>
      </x:c>
      <x:c r="C212" s="37" t="str">
        <x:v>Possible named interaction with theophylline requires clinical severity review.</x:v>
      </x:c>
      <x:c r="D212" s="37" t="str">
        <x:v>https://drug.fda.moph.go.th/media.php?id=810072772666597376&amp;name=SMPC_Disulfiram_Tablets.pdf</x:v>
      </x:c>
      <x:c r="E212" s="39" t="str">
        <x:v>Open</x:v>
      </x:c>
    </x:row>
    <x:row r="213">
      <x:c r="A213" s="31" t="str">
        <x:v>domperidone</x:v>
      </x:c>
      <x:c r="B213" s="31" t="str">
        <x:v>interaction_severity_unclassified</x:v>
      </x:c>
      <x:c r="C213" s="37" t="str">
        <x:v>Possible named interaction with erythromycin requires clinical severity review.</x:v>
      </x:c>
      <x:c r="D213" s="37" t="str">
        <x:v>https://drug.fda.moph.go.th/media.php?id=810073662739849216&amp;name=SMPC_Domperidone_oral suspension.pdf</x:v>
      </x:c>
      <x:c r="E213" s="39" t="str">
        <x:v>Open</x:v>
      </x:c>
    </x:row>
    <x:row r="214">
      <x:c r="A214" s="31" t="str">
        <x:v>domperidone</x:v>
      </x:c>
      <x:c r="B214" s="31" t="str">
        <x:v>interaction_severity_unclassified</x:v>
      </x:c>
      <x:c r="C214" s="37" t="str">
        <x:v>Possible named interaction with haloperidol requires clinical severity review.</x:v>
      </x:c>
      <x:c r="D214" s="37" t="str">
        <x:v>https://drug.fda.moph.go.th/media.php?id=810073662739849216&amp;name=SMPC_Domperidone_oral suspension.pdf</x:v>
      </x:c>
      <x:c r="E214" s="39" t="str">
        <x:v>Open</x:v>
      </x:c>
    </x:row>
    <x:row r="215">
      <x:c r="A215" s="31" t="str">
        <x:v>domperidone</x:v>
      </x:c>
      <x:c r="B215" s="31" t="str">
        <x:v>interaction_severity_unclassified</x:v>
      </x:c>
      <x:c r="C215" s="37" t="str">
        <x:v>Possible named interaction with pimozide requires clinical severity review.</x:v>
      </x:c>
      <x:c r="D215" s="37" t="str">
        <x:v>https://drug.fda.moph.go.th/media.php?id=810073662739849216&amp;name=SMPC_Domperidone_oral suspension.pdf</x:v>
      </x:c>
      <x:c r="E215" s="39" t="str">
        <x:v>Open</x:v>
      </x:c>
    </x:row>
    <x:row r="216">
      <x:c r="A216" s="31" t="str">
        <x:v>clarithromycin</x:v>
      </x:c>
      <x:c r="B216" s="31" t="str">
        <x:v>interaction_severity_unclassified</x:v>
      </x:c>
      <x:c r="C216" s="37" t="str">
        <x:v>Possible named interaction with domperidone requires clinical severity review.</x:v>
      </x:c>
      <x:c r="D216" s="37" t="str">
        <x:v>https://drug.fda.moph.go.th/media.php?id=810073662739849216&amp;name=SMPC_Domperidone_oral suspension.pdf</x:v>
      </x:c>
      <x:c r="E216" s="39" t="str">
        <x:v>Open</x:v>
      </x:c>
    </x:row>
    <x:row r="217">
      <x:c r="A217" s="31" t="str">
        <x:v>diltiazem</x:v>
      </x:c>
      <x:c r="B217" s="31" t="str">
        <x:v>interaction_severity_unclassified</x:v>
      </x:c>
      <x:c r="C217" s="37" t="str">
        <x:v>Possible named interaction with domperidone requires clinical severity review.</x:v>
      </x:c>
      <x:c r="D217" s="37" t="str">
        <x:v>https://drug.fda.moph.go.th/media.php?id=810073662739849216&amp;name=SMPC_Domperidone_oral suspension.pdf</x:v>
      </x:c>
      <x:c r="E217" s="39" t="str">
        <x:v>Open</x:v>
      </x:c>
    </x:row>
    <x:row r="218">
      <x:c r="A218" s="31" t="str">
        <x:v>domperidone</x:v>
      </x:c>
      <x:c r="B218" s="31" t="str">
        <x:v>interaction_severity_unclassified</x:v>
      </x:c>
      <x:c r="C218" s="37" t="str">
        <x:v>Possible named interaction with erythromycin requires clinical severity review.</x:v>
      </x:c>
      <x:c r="D218" s="37" t="str">
        <x:v>https://drug.fda.moph.go.th/media.php?id=810073662739849216&amp;name=SMPC_Domperidone_oral suspension.pdf</x:v>
      </x:c>
      <x:c r="E218" s="39" t="str">
        <x:v>Open</x:v>
      </x:c>
    </x:row>
    <x:row r="219">
      <x:c r="A219" s="31" t="str">
        <x:v>domperidone</x:v>
      </x:c>
      <x:c r="B219" s="31" t="str">
        <x:v>interaction_severity_unclassified</x:v>
      </x:c>
      <x:c r="C219" s="37" t="str">
        <x:v>Possible named interaction with ketoconazole requires clinical severity review.</x:v>
      </x:c>
      <x:c r="D219" s="37" t="str">
        <x:v>https://drug.fda.moph.go.th/media.php?id=810073662739849216&amp;name=SMPC_Domperidone_oral suspension.pdf</x:v>
      </x:c>
      <x:c r="E219" s="39" t="str">
        <x:v>Open</x:v>
      </x:c>
    </x:row>
    <x:row r="220">
      <x:c r="A220" s="31" t="str">
        <x:v>domperidone</x:v>
      </x:c>
      <x:c r="B220" s="31" t="str">
        <x:v>interaction_severity_unclassified</x:v>
      </x:c>
      <x:c r="C220" s="37" t="str">
        <x:v>Possible named interaction with verapamil requires clinical severity review.</x:v>
      </x:c>
      <x:c r="D220" s="37" t="str">
        <x:v>https://drug.fda.moph.go.th/media.php?id=810073662739849216&amp;name=SMPC_Domperidone_oral suspension.pdf</x:v>
      </x:c>
      <x:c r="E220" s="39" t="str">
        <x:v>Open</x:v>
      </x:c>
    </x:row>
    <x:row r="221">
      <x:c r="A221" s="31" t="str">
        <x:v>domperidone</x:v>
      </x:c>
      <x:c r="B221" s="31" t="str">
        <x:v>interaction_severity_unclassified</x:v>
      </x:c>
      <x:c r="C221" s="37" t="str">
        <x:v>Possible named interaction with roxithromycin requires clinical severity review.</x:v>
      </x:c>
      <x:c r="D221" s="37" t="str">
        <x:v>https://drug.fda.moph.go.th/media.php?id=810073662739849216&amp;name=SMPC_Domperidone_oral suspension.pdf</x:v>
      </x:c>
      <x:c r="E221" s="39" t="str">
        <x:v>Open</x:v>
      </x:c>
    </x:row>
    <x:row r="222">
      <x:c r="A222" s="31" t="str">
        <x:v>domperidone</x:v>
      </x:c>
      <x:c r="B222" s="31" t="str">
        <x:v>interaction_severity_unclassified</x:v>
      </x:c>
      <x:c r="C222" s="37" t="str">
        <x:v>Possible named interaction with erythromycin requires clinical severity review.</x:v>
      </x:c>
      <x:c r="D222" s="37" t="str">
        <x:v>https://drug.fda.moph.go.th/media.php?id=810073662739849216&amp;name=SMPC_Domperidone_oral suspension.pdf</x:v>
      </x:c>
      <x:c r="E222" s="39" t="str">
        <x:v>Open</x:v>
      </x:c>
    </x:row>
    <x:row r="223">
      <x:c r="A223" s="31" t="str">
        <x:v>domperidone</x:v>
      </x:c>
      <x:c r="B223" s="31" t="str">
        <x:v>interaction_severity_unclassified</x:v>
      </x:c>
      <x:c r="C223" s="37" t="str">
        <x:v>Possible named interaction with ketoconazole requires clinical severity review.</x:v>
      </x:c>
      <x:c r="D223" s="37" t="str">
        <x:v>https://drug.fda.moph.go.th/media.php?id=810073662739849216&amp;name=SMPC_Domperidone_oral suspension.pdf</x:v>
      </x:c>
      <x:c r="E223" s="39" t="str">
        <x:v>Open</x:v>
      </x:c>
    </x:row>
    <x:row r="224">
      <x:c r="A224" s="31" t="str">
        <x:v>cimetidine</x:v>
      </x:c>
      <x:c r="B224" s="31" t="str">
        <x:v>interaction_severity_unclassified</x:v>
      </x:c>
      <x:c r="C224" s="37" t="str">
        <x:v>Possible named interaction with domperidone requires clinical severity review.</x:v>
      </x:c>
      <x:c r="D224" s="37" t="str">
        <x:v>https://drug.fda.moph.go.th/media.php?id=810073662739849216&amp;name=SMPC_Domperidone_oral suspension.pdf</x:v>
      </x:c>
      <x:c r="E224" s="39" t="str">
        <x:v>Open</x:v>
      </x:c>
    </x:row>
    <x:row r="225">
      <x:c r="A225" s="31" t="str">
        <x:v>domperidone</x:v>
      </x:c>
      <x:c r="B225" s="31" t="str">
        <x:v>interaction_severity_unclassified</x:v>
      </x:c>
      <x:c r="C225" s="37" t="str">
        <x:v>Possible named interaction with sodium_bicarbonate requires clinical severity review.</x:v>
      </x:c>
      <x:c r="D225" s="37" t="str">
        <x:v>https://drug.fda.moph.go.th/media.php?id=810073662739849216&amp;name=SMPC_Domperidone_oral suspension.pdf</x:v>
      </x:c>
      <x:c r="E225" s="39" t="str">
        <x:v>Open</x:v>
      </x:c>
    </x:row>
    <x:row r="226">
      <x:c r="A226" s="31" t="str">
        <x:v>domperidone</x:v>
      </x:c>
      <x:c r="B226" s="31" t="str">
        <x:v>interaction_severity_unclassified</x:v>
      </x:c>
      <x:c r="C226" s="37" t="str">
        <x:v>Possible named interaction with erythromycin requires clinical severity review.</x:v>
      </x:c>
      <x:c r="D226" s="37" t="str">
        <x:v>https://drug.fda.moph.go.th/media.php?id=810074048620011520&amp;name=SMPC_Domperidone_Film-coated Tablets.pdf</x:v>
      </x:c>
      <x:c r="E226" s="39" t="str">
        <x:v>Open</x:v>
      </x:c>
    </x:row>
    <x:row r="227">
      <x:c r="A227" s="31" t="str">
        <x:v>domperidone</x:v>
      </x:c>
      <x:c r="B227" s="31" t="str">
        <x:v>interaction_severity_unclassified</x:v>
      </x:c>
      <x:c r="C227" s="37" t="str">
        <x:v>Possible named interaction with haloperidol requires clinical severity review.</x:v>
      </x:c>
      <x:c r="D227" s="37" t="str">
        <x:v>https://drug.fda.moph.go.th/media.php?id=810074048620011520&amp;name=SMPC_Domperidone_Film-coated Tablets.pdf</x:v>
      </x:c>
      <x:c r="E227" s="39" t="str">
        <x:v>Open</x:v>
      </x:c>
    </x:row>
    <x:row r="228">
      <x:c r="A228" s="31" t="str">
        <x:v>domperidone</x:v>
      </x:c>
      <x:c r="B228" s="31" t="str">
        <x:v>interaction_severity_unclassified</x:v>
      </x:c>
      <x:c r="C228" s="37" t="str">
        <x:v>Possible named interaction with pimozide requires clinical severity review.</x:v>
      </x:c>
      <x:c r="D228" s="37" t="str">
        <x:v>https://drug.fda.moph.go.th/media.php?id=810074048620011520&amp;name=SMPC_Domperidone_Film-coated Tablets.pdf</x:v>
      </x:c>
      <x:c r="E228" s="39" t="str">
        <x:v>Open</x:v>
      </x:c>
    </x:row>
    <x:row r="229">
      <x:c r="A229" s="31" t="str">
        <x:v>clarithromycin</x:v>
      </x:c>
      <x:c r="B229" s="31" t="str">
        <x:v>interaction_severity_unclassified</x:v>
      </x:c>
      <x:c r="C229" s="37" t="str">
        <x:v>Possible named interaction with domperidone requires clinical severity review.</x:v>
      </x:c>
      <x:c r="D229" s="37" t="str">
        <x:v>https://drug.fda.moph.go.th/media.php?id=810074048620011520&amp;name=SMPC_Domperidone_Film-coated Tablets.pdf</x:v>
      </x:c>
      <x:c r="E229" s="39" t="str">
        <x:v>Open</x:v>
      </x:c>
    </x:row>
    <x:row r="230">
      <x:c r="A230" s="31" t="str">
        <x:v>diltiazem</x:v>
      </x:c>
      <x:c r="B230" s="31" t="str">
        <x:v>interaction_severity_unclassified</x:v>
      </x:c>
      <x:c r="C230" s="37" t="str">
        <x:v>Possible named interaction with domperidone requires clinical severity review.</x:v>
      </x:c>
      <x:c r="D230" s="37" t="str">
        <x:v>https://drug.fda.moph.go.th/media.php?id=810074048620011520&amp;name=SMPC_Domperidone_Film-coated Tablets.pdf</x:v>
      </x:c>
      <x:c r="E230" s="39" t="str">
        <x:v>Open</x:v>
      </x:c>
    </x:row>
    <x:row r="231">
      <x:c r="A231" s="31" t="str">
        <x:v>domperidone</x:v>
      </x:c>
      <x:c r="B231" s="31" t="str">
        <x:v>interaction_severity_unclassified</x:v>
      </x:c>
      <x:c r="C231" s="37" t="str">
        <x:v>Possible named interaction with erythromycin requires clinical severity review.</x:v>
      </x:c>
      <x:c r="D231" s="37" t="str">
        <x:v>https://drug.fda.moph.go.th/media.php?id=810074048620011520&amp;name=SMPC_Domperidone_Film-coated Tablets.pdf</x:v>
      </x:c>
      <x:c r="E231" s="39" t="str">
        <x:v>Open</x:v>
      </x:c>
    </x:row>
    <x:row r="232">
      <x:c r="A232" s="31" t="str">
        <x:v>domperidone</x:v>
      </x:c>
      <x:c r="B232" s="31" t="str">
        <x:v>interaction_severity_unclassified</x:v>
      </x:c>
      <x:c r="C232" s="37" t="str">
        <x:v>Possible named interaction with ketoconazole requires clinical severity review.</x:v>
      </x:c>
      <x:c r="D232" s="37" t="str">
        <x:v>https://drug.fda.moph.go.th/media.php?id=810074048620011520&amp;name=SMPC_Domperidone_Film-coated Tablets.pdf</x:v>
      </x:c>
      <x:c r="E232" s="39" t="str">
        <x:v>Open</x:v>
      </x:c>
    </x:row>
    <x:row r="233">
      <x:c r="A233" s="31" t="str">
        <x:v>domperidone</x:v>
      </x:c>
      <x:c r="B233" s="31" t="str">
        <x:v>interaction_severity_unclassified</x:v>
      </x:c>
      <x:c r="C233" s="37" t="str">
        <x:v>Possible named interaction with verapamil requires clinical severity review.</x:v>
      </x:c>
      <x:c r="D233" s="37" t="str">
        <x:v>https://drug.fda.moph.go.th/media.php?id=810074048620011520&amp;name=SMPC_Domperidone_Film-coated Tablets.pdf</x:v>
      </x:c>
      <x:c r="E233" s="39" t="str">
        <x:v>Open</x:v>
      </x:c>
    </x:row>
    <x:row r="234">
      <x:c r="A234" s="31" t="str">
        <x:v>domperidone</x:v>
      </x:c>
      <x:c r="B234" s="31" t="str">
        <x:v>interaction_severity_unclassified</x:v>
      </x:c>
      <x:c r="C234" s="37" t="str">
        <x:v>Possible named interaction with roxithromycin requires clinical severity review.</x:v>
      </x:c>
      <x:c r="D234" s="37" t="str">
        <x:v>https://drug.fda.moph.go.th/media.php?id=810074048620011520&amp;name=SMPC_Domperidone_Film-coated Tablets.pdf</x:v>
      </x:c>
      <x:c r="E234" s="39" t="str">
        <x:v>Open</x:v>
      </x:c>
    </x:row>
    <x:row r="235">
      <x:c r="A235" s="31" t="str">
        <x:v>cimetidine</x:v>
      </x:c>
      <x:c r="B235" s="31" t="str">
        <x:v>interaction_severity_unclassified</x:v>
      </x:c>
      <x:c r="C235" s="37" t="str">
        <x:v>Possible named interaction with domperidone requires clinical severity review.</x:v>
      </x:c>
      <x:c r="D235" s="37" t="str">
        <x:v>https://drug.fda.moph.go.th/media.php?id=810074048620011520&amp;name=SMPC_Domperidone_Film-coated Tablets.pdf</x:v>
      </x:c>
      <x:c r="E235" s="39" t="str">
        <x:v>Open</x:v>
      </x:c>
    </x:row>
    <x:row r="236">
      <x:c r="A236" s="31" t="str">
        <x:v>domperidone</x:v>
      </x:c>
      <x:c r="B236" s="31" t="str">
        <x:v>interaction_severity_unclassified</x:v>
      </x:c>
      <x:c r="C236" s="37" t="str">
        <x:v>Possible named interaction with sodium_bicarbonate requires clinical severity review.</x:v>
      </x:c>
      <x:c r="D236" s="37" t="str">
        <x:v>https://drug.fda.moph.go.th/media.php?id=810074048620011520&amp;name=SMPC_Domperidone_Film-coated Tablets.pdf</x:v>
      </x:c>
      <x:c r="E236" s="39" t="str">
        <x:v>Open</x:v>
      </x:c>
    </x:row>
    <x:row r="237">
      <x:c r="A237" s="31" t="str">
        <x:v>domperidone</x:v>
      </x:c>
      <x:c r="B237" s="31" t="str">
        <x:v>interaction_severity_unclassified</x:v>
      </x:c>
      <x:c r="C237" s="37" t="str">
        <x:v>Possible named interaction with erythromycin requires clinical severity review.</x:v>
      </x:c>
      <x:c r="D237" s="37" t="str">
        <x:v>https://drug.fda.moph.go.th/media.php?id=810074487256129536&amp;name=SMPC_Domperidone_Tablets.pdf</x:v>
      </x:c>
      <x:c r="E237" s="39" t="str">
        <x:v>Open</x:v>
      </x:c>
    </x:row>
    <x:row r="238">
      <x:c r="A238" s="31" t="str">
        <x:v>domperidone</x:v>
      </x:c>
      <x:c r="B238" s="31" t="str">
        <x:v>interaction_severity_unclassified</x:v>
      </x:c>
      <x:c r="C238" s="37" t="str">
        <x:v>Possible named interaction with haloperidol requires clinical severity review.</x:v>
      </x:c>
      <x:c r="D238" s="37" t="str">
        <x:v>https://drug.fda.moph.go.th/media.php?id=810074487256129536&amp;name=SMPC_Domperidone_Tablets.pdf</x:v>
      </x:c>
      <x:c r="E238" s="39" t="str">
        <x:v>Open</x:v>
      </x:c>
    </x:row>
    <x:row r="239">
      <x:c r="A239" s="31" t="str">
        <x:v>domperidone</x:v>
      </x:c>
      <x:c r="B239" s="31" t="str">
        <x:v>interaction_severity_unclassified</x:v>
      </x:c>
      <x:c r="C239" s="37" t="str">
        <x:v>Possible named interaction with ketoconazole requires clinical severity review.</x:v>
      </x:c>
      <x:c r="D239" s="37" t="str">
        <x:v>https://drug.fda.moph.go.th/media.php?id=810074487256129536&amp;name=SMPC_Domperidone_Tablets.pdf</x:v>
      </x:c>
      <x:c r="E239" s="39" t="str">
        <x:v>Open</x:v>
      </x:c>
    </x:row>
    <x:row r="240">
      <x:c r="A240" s="31" t="str">
        <x:v>domperidone</x:v>
      </x:c>
      <x:c r="B240" s="31" t="str">
        <x:v>interaction_severity_unclassified</x:v>
      </x:c>
      <x:c r="C240" s="37" t="str">
        <x:v>Possible named interaction with pimozide requires clinical severity review.</x:v>
      </x:c>
      <x:c r="D240" s="37" t="str">
        <x:v>https://drug.fda.moph.go.th/media.php?id=810074487256129536&amp;name=SMPC_Domperidone_Tablets.pdf</x:v>
      </x:c>
      <x:c r="E240" s="39" t="str">
        <x:v>Open</x:v>
      </x:c>
    </x:row>
    <x:row r="241">
      <x:c r="A241" s="31" t="str">
        <x:v>diltiazem</x:v>
      </x:c>
      <x:c r="B241" s="31" t="str">
        <x:v>interaction_severity_unclassified</x:v>
      </x:c>
      <x:c r="C241" s="37" t="str">
        <x:v>Possible named interaction with domperidone requires clinical severity review.</x:v>
      </x:c>
      <x:c r="D241" s="37" t="str">
        <x:v>https://drug.fda.moph.go.th/media.php?id=810074487256129536&amp;name=SMPC_Domperidone_Tablets.pdf</x:v>
      </x:c>
      <x:c r="E241" s="39" t="str">
        <x:v>Open</x:v>
      </x:c>
    </x:row>
    <x:row r="242">
      <x:c r="A242" s="31" t="str">
        <x:v>domperidone</x:v>
      </x:c>
      <x:c r="B242" s="31" t="str">
        <x:v>interaction_severity_unclassified</x:v>
      </x:c>
      <x:c r="C242" s="37" t="str">
        <x:v>Possible named interaction with erythromycin requires clinical severity review.</x:v>
      </x:c>
      <x:c r="D242" s="37" t="str">
        <x:v>https://drug.fda.moph.go.th/media.php?id=810074487256129536&amp;name=SMPC_Domperidone_Tablets.pdf</x:v>
      </x:c>
      <x:c r="E242" s="39" t="str">
        <x:v>Open</x:v>
      </x:c>
    </x:row>
    <x:row r="243">
      <x:c r="A243" s="31" t="str">
        <x:v>domperidone</x:v>
      </x:c>
      <x:c r="B243" s="31" t="str">
        <x:v>interaction_severity_unclassified</x:v>
      </x:c>
      <x:c r="C243" s="37" t="str">
        <x:v>Possible named interaction with verapamil requires clinical severity review.</x:v>
      </x:c>
      <x:c r="D243" s="37" t="str">
        <x:v>https://drug.fda.moph.go.th/media.php?id=810074487256129536&amp;name=SMPC_Domperidone_Tablets.pdf</x:v>
      </x:c>
      <x:c r="E243" s="39" t="str">
        <x:v>Open</x:v>
      </x:c>
    </x:row>
    <x:row r="244">
      <x:c r="A244" s="31" t="str">
        <x:v>bromocriptine</x:v>
      </x:c>
      <x:c r="B244" s="31" t="str">
        <x:v>interaction_severity_unclassified</x:v>
      </x:c>
      <x:c r="C244" s="37" t="str">
        <x:v>Possible named interaction with domperidone requires clinical severity review.</x:v>
      </x:c>
      <x:c r="D244" s="37" t="str">
        <x:v>https://drug.fda.moph.go.th/media.php?id=810074487256129536&amp;name=SMPC_Domperidone_Tablets.pdf</x:v>
      </x:c>
      <x:c r="E244" s="39" t="str">
        <x:v>Open</x:v>
      </x:c>
    </x:row>
    <x:row r="245">
      <x:c r="A245" s="31" t="str">
        <x:v>cimetidine</x:v>
      </x:c>
      <x:c r="B245" s="31" t="str">
        <x:v>interaction_severity_unclassified</x:v>
      </x:c>
      <x:c r="C245" s="37" t="str">
        <x:v>Possible named interaction with domperidone requires clinical severity review.</x:v>
      </x:c>
      <x:c r="D245" s="37" t="str">
        <x:v>https://drug.fda.moph.go.th/media.php?id=810074487256129536&amp;name=SMPC_Domperidone_Tablets.pdf</x:v>
      </x:c>
      <x:c r="E245" s="39" t="str">
        <x:v>Open</x:v>
      </x:c>
    </x:row>
    <x:row r="246">
      <x:c r="A246" s="31" t="str">
        <x:v>domperidone</x:v>
      </x:c>
      <x:c r="B246" s="31" t="str">
        <x:v>interaction_severity_unclassified</x:v>
      </x:c>
      <x:c r="C246" s="37" t="str">
        <x:v>Possible named interaction with sodium_bicarbonate requires clinical severity review.</x:v>
      </x:c>
      <x:c r="D246" s="37" t="str">
        <x:v>https://drug.fda.moph.go.th/media.php?id=810074487256129536&amp;name=SMPC_Domperidone_Tablets.pdf</x:v>
      </x:c>
      <x:c r="E246" s="39" t="str">
        <x:v>Open</x:v>
      </x:c>
    </x:row>
    <x:row r="247">
      <x:c r="A247" s="31" t="str">
        <x:v>carbamazepine</x:v>
      </x:c>
      <x:c r="B247" s="31" t="str">
        <x:v>interaction_severity_unclassified</x:v>
      </x:c>
      <x:c r="C247" s="37" t="str">
        <x:v>Possible named interaction with doxycycline_hyclate requires clinical severity review.</x:v>
      </x:c>
      <x:c r="D247" s="37" t="str">
        <x:v>https://drug.fda.moph.go.th/media.php?id=810074802814590976&amp;name=SMPC_Doxycycline_Tablet.pdf</x:v>
      </x:c>
      <x:c r="E247" s="39" t="str">
        <x:v>Open</x:v>
      </x:c>
    </x:row>
    <x:row r="248">
      <x:c r="A248" s="31" t="str">
        <x:v>doxycycline_hyclate</x:v>
      </x:c>
      <x:c r="B248" s="31" t="str">
        <x:v>interaction_severity_unclassified</x:v>
      </x:c>
      <x:c r="C248" s="37" t="str">
        <x:v>Possible named interaction with tetracycline requires clinical severity review.</x:v>
      </x:c>
      <x:c r="D248" s="37" t="str">
        <x:v>https://drug.fda.moph.go.th/media.php?id=810074802814590976&amp;name=SMPC_Doxycycline_Tablet.pdf</x:v>
      </x:c>
      <x:c r="E248" s="39" t="str">
        <x:v>Open</x:v>
      </x:c>
    </x:row>
    <x:row r="249">
      <x:c r="A249" s="31" t="str">
        <x:v>enalapril</x:v>
      </x:c>
      <x:c r="B249" s="31" t="str">
        <x:v>interaction_severity_unclassified</x:v>
      </x:c>
      <x:c r="C249" s="37" t="str">
        <x:v>Possible named interaction with insulin requires clinical severity review.</x:v>
      </x:c>
      <x:c r="D249" s="37" t="str">
        <x:v>https://drug.fda.moph.go.th/media.php?id=810075899746721792&amp;name=SMPC_Enalapril_Tablets.pdf</x:v>
      </x:c>
      <x:c r="E249" s="39" t="str">
        <x:v>Open</x:v>
      </x:c>
    </x:row>
    <x:row r="250">
      <x:c r="A250" s="31" t="str">
        <x:v>enalapril</x:v>
      </x:c>
      <x:c r="B250" s="31" t="str">
        <x:v>interaction_severity_unclassified</x:v>
      </x:c>
      <x:c r="C250" s="37" t="str">
        <x:v>Possible named interaction with lithium requires clinical severity review.</x:v>
      </x:c>
      <x:c r="D250" s="37" t="str">
        <x:v>https://drug.fda.moph.go.th/media.php?id=810075899746721792&amp;name=SMPC_Enalapril_Tablets.pdf</x:v>
      </x:c>
      <x:c r="E250" s="39" t="str">
        <x:v>Open</x:v>
      </x:c>
    </x:row>
    <x:row r="251">
      <x:c r="A251" s="31" t="str">
        <x:v>enalapril</x:v>
      </x:c>
      <x:c r="B251" s="31" t="str">
        <x:v>interaction_severity_unclassified</x:v>
      </x:c>
      <x:c r="C251" s="37" t="str">
        <x:v>Possible named interaction with lithium requires clinical severity review.</x:v>
      </x:c>
      <x:c r="D251" s="37" t="str">
        <x:v>https://drug.fda.moph.go.th/media.php?id=810075899746721792&amp;name=SMPC_Enalapril_Tablets.pdf</x:v>
      </x:c>
      <x:c r="E251" s="39" t="str">
        <x:v>Open</x:v>
      </x:c>
    </x:row>
    <x:row r="252">
      <x:c r="A252" s="31" t="str">
        <x:v>carbamazepine</x:v>
      </x:c>
      <x:c r="B252" s="31" t="str">
        <x:v>interaction_severity_unclassified</x:v>
      </x:c>
      <x:c r="C252" s="37" t="str">
        <x:v>Possible named interaction with erythromycin requires clinical severity review.</x:v>
      </x:c>
      <x:c r="D252" s="37" t="str">
        <x:v>https://drug.fda.moph.go.th/media.php?id=810076416409477120&amp;name=SMPC_Erythromycin_Gastro-resistant tablets.pdf</x:v>
      </x:c>
      <x:c r="E252" s="39" t="str">
        <x:v>Open</x:v>
      </x:c>
    </x:row>
    <x:row r="253">
      <x:c r="A253" s="31" t="str">
        <x:v>domperidone</x:v>
      </x:c>
      <x:c r="B253" s="31" t="str">
        <x:v>interaction_severity_unclassified</x:v>
      </x:c>
      <x:c r="C253" s="37" t="str">
        <x:v>Possible named interaction with erythromycin requires clinical severity review.</x:v>
      </x:c>
      <x:c r="D253" s="37" t="str">
        <x:v>https://drug.fda.moph.go.th/media.php?id=810076416409477120&amp;name=SMPC_Erythromycin_Gastro-resistant tablets.pdf</x:v>
      </x:c>
      <x:c r="E253" s="39" t="str">
        <x:v>Open</x:v>
      </x:c>
    </x:row>
    <x:row r="254">
      <x:c r="A254" s="31" t="str">
        <x:v>erythromycin</x:v>
      </x:c>
      <x:c r="B254" s="31" t="str">
        <x:v>interaction_severity_unclassified</x:v>
      </x:c>
      <x:c r="C254" s="37" t="str">
        <x:v>Possible named interaction with itraconazole requires clinical severity review.</x:v>
      </x:c>
      <x:c r="D254" s="37" t="str">
        <x:v>https://drug.fda.moph.go.th/media.php?id=810076416409477120&amp;name=SMPC_Erythromycin_Gastro-resistant tablets.pdf</x:v>
      </x:c>
      <x:c r="E254" s="39" t="str">
        <x:v>Open</x:v>
      </x:c>
    </x:row>
    <x:row r="255">
      <x:c r="A255" s="31" t="str">
        <x:v>erythromycin</x:v>
      </x:c>
      <x:c r="B255" s="31" t="str">
        <x:v>interaction_severity_unclassified</x:v>
      </x:c>
      <x:c r="C255" s="37" t="str">
        <x:v>Possible named interaction with ketoconazole requires clinical severity review.</x:v>
      </x:c>
      <x:c r="D255" s="37" t="str">
        <x:v>https://drug.fda.moph.go.th/media.php?id=810076416409477120&amp;name=SMPC_Erythromycin_Gastro-resistant tablets.pdf</x:v>
      </x:c>
      <x:c r="E255" s="39" t="str">
        <x:v>Open</x:v>
      </x:c>
    </x:row>
    <x:row r="256">
      <x:c r="A256" s="31" t="str">
        <x:v>erythromycin</x:v>
      </x:c>
      <x:c r="B256" s="31" t="str">
        <x:v>interaction_severity_unclassified</x:v>
      </x:c>
      <x:c r="C256" s="37" t="str">
        <x:v>Possible named interaction with methylprednisolone requires clinical severity review.</x:v>
      </x:c>
      <x:c r="D256" s="37" t="str">
        <x:v>https://drug.fda.moph.go.th/media.php?id=810076416409477120&amp;name=SMPC_Erythromycin_Gastro-resistant tablets.pdf</x:v>
      </x:c>
      <x:c r="E256" s="39" t="str">
        <x:v>Open</x:v>
      </x:c>
    </x:row>
    <x:row r="257">
      <x:c r="A257" s="31" t="str">
        <x:v>erythromycin</x:v>
      </x:c>
      <x:c r="B257" s="31" t="str">
        <x:v>interaction_severity_unclassified</x:v>
      </x:c>
      <x:c r="C257" s="37" t="str">
        <x:v>Possible named interaction with omeprazole requires clinical severity review.</x:v>
      </x:c>
      <x:c r="D257" s="37" t="str">
        <x:v>https://drug.fda.moph.go.th/media.php?id=810076416409477120&amp;name=SMPC_Erythromycin_Gastro-resistant tablets.pdf</x:v>
      </x:c>
      <x:c r="E257" s="39" t="str">
        <x:v>Open</x:v>
      </x:c>
    </x:row>
    <x:row r="258">
      <x:c r="A258" s="31" t="str">
        <x:v>erythromycin</x:v>
      </x:c>
      <x:c r="B258" s="31" t="str">
        <x:v>interaction_severity_unclassified</x:v>
      </x:c>
      <x:c r="C258" s="37" t="str">
        <x:v>Possible named interaction with theophylline requires clinical severity review.</x:v>
      </x:c>
      <x:c r="D258" s="37" t="str">
        <x:v>https://drug.fda.moph.go.th/media.php?id=810076416409477120&amp;name=SMPC_Erythromycin_Gastro-resistant tablets.pdf</x:v>
      </x:c>
      <x:c r="E258" s="39" t="str">
        <x:v>Open</x:v>
      </x:c>
    </x:row>
    <x:row r="259">
      <x:c r="A259" s="31" t="str">
        <x:v>bromocriptine</x:v>
      </x:c>
      <x:c r="B259" s="31" t="str">
        <x:v>interaction_severity_unclassified</x:v>
      </x:c>
      <x:c r="C259" s="37" t="str">
        <x:v>Possible named interaction with erythromycin requires clinical severity review.</x:v>
      </x:c>
      <x:c r="D259" s="37" t="str">
        <x:v>https://drug.fda.moph.go.th/media.php?id=810076416409477120&amp;name=SMPC_Erythromycin_Gastro-resistant tablets.pdf</x:v>
      </x:c>
      <x:c r="E259" s="39" t="str">
        <x:v>Open</x:v>
      </x:c>
    </x:row>
    <x:row r="260">
      <x:c r="A260" s="31" t="str">
        <x:v>erythromycin</x:v>
      </x:c>
      <x:c r="B260" s="31" t="str">
        <x:v>interaction_severity_unclassified</x:v>
      </x:c>
      <x:c r="C260" s="37" t="str">
        <x:v>Possible named interaction with pimozide requires clinical severity review.</x:v>
      </x:c>
      <x:c r="D260" s="37" t="str">
        <x:v>https://drug.fda.moph.go.th/media.php?id=810076416409477120&amp;name=SMPC_Erythromycin_Gastro-resistant tablets.pdf</x:v>
      </x:c>
      <x:c r="E260" s="39" t="str">
        <x:v>Open</x:v>
      </x:c>
    </x:row>
    <x:row r="261">
      <x:c r="A261" s="31" t="str">
        <x:v>erythromycin</x:v>
      </x:c>
      <x:c r="B261" s="31" t="str">
        <x:v>interaction_severity_unclassified</x:v>
      </x:c>
      <x:c r="C261" s="37" t="str">
        <x:v>Possible named interaction with simvastatin requires clinical severity review.</x:v>
      </x:c>
      <x:c r="D261" s="37" t="str">
        <x:v>https://drug.fda.moph.go.th/media.php?id=810076416409477120&amp;name=SMPC_Erythromycin_Gastro-resistant tablets.pdf</x:v>
      </x:c>
      <x:c r="E261" s="39" t="str">
        <x:v>Open</x:v>
      </x:c>
    </x:row>
    <x:row r="262">
      <x:c r="A262" s="31" t="str">
        <x:v>chloramphenicol</x:v>
      </x:c>
      <x:c r="B262" s="31" t="str">
        <x:v>interaction_severity_unclassified</x:v>
      </x:c>
      <x:c r="C262" s="37" t="str">
        <x:v>Possible named interaction with erythromycin requires clinical severity review.</x:v>
      </x:c>
      <x:c r="D262" s="37" t="str">
        <x:v>https://drug.fda.moph.go.th/media.php?id=810076416409477120&amp;name=SMPC_Erythromycin_Gastro-resistant tablets.pdf</x:v>
      </x:c>
      <x:c r="E262" s="39" t="str">
        <x:v>Open</x:v>
      </x:c>
    </x:row>
    <x:row r="263">
      <x:c r="A263" s="31" t="str">
        <x:v>clindamycin</x:v>
      </x:c>
      <x:c r="B263" s="31" t="str">
        <x:v>interaction_severity_unclassified</x:v>
      </x:c>
      <x:c r="C263" s="37" t="str">
        <x:v>Possible named interaction with erythromycin requires clinical severity review.</x:v>
      </x:c>
      <x:c r="D263" s="37" t="str">
        <x:v>https://drug.fda.moph.go.th/media.php?id=810076416409477120&amp;name=SMPC_Erythromycin_Gastro-resistant tablets.pdf</x:v>
      </x:c>
      <x:c r="E263" s="39" t="str">
        <x:v>Open</x:v>
      </x:c>
    </x:row>
    <x:row r="264">
      <x:c r="A264" s="31" t="str">
        <x:v>erythromycin</x:v>
      </x:c>
      <x:c r="B264" s="31" t="str">
        <x:v>interaction_severity_unclassified</x:v>
      </x:c>
      <x:c r="C264" s="37" t="str">
        <x:v>Possible named interaction with simvastatin requires clinical severity review.</x:v>
      </x:c>
      <x:c r="D264" s="37" t="str">
        <x:v>https://drug.fda.moph.go.th/media.php?id=810076416409477120&amp;name=SMPC_Erythromycin_Gastro-resistant tablets.pdf</x:v>
      </x:c>
      <x:c r="E264" s="39" t="str">
        <x:v>Open</x:v>
      </x:c>
    </x:row>
    <x:row r="265">
      <x:c r="A265" s="31" t="str">
        <x:v>erythromycin</x:v>
      </x:c>
      <x:c r="B265" s="31" t="str">
        <x:v>interaction_severity_unclassified</x:v>
      </x:c>
      <x:c r="C265" s="37" t="str">
        <x:v>Possible named interaction with lincomycin requires clinical severity review.</x:v>
      </x:c>
      <x:c r="D265" s="37" t="str">
        <x:v>https://drug.fda.moph.go.th/media.php?id=810076416409477120&amp;name=SMPC_Erythromycin_Gastro-resistant tablets.pdf</x:v>
      </x:c>
      <x:c r="E265" s="39" t="str">
        <x:v>Open</x:v>
      </x:c>
    </x:row>
    <x:row r="266">
      <x:c r="A266" s="31" t="str">
        <x:v>clarithromycin</x:v>
      </x:c>
      <x:c r="B266" s="31" t="str">
        <x:v>interaction_severity_unclassified</x:v>
      </x:c>
      <x:c r="C266" s="37" t="str">
        <x:v>Possible named interaction with erythromycin requires clinical severity review.</x:v>
      </x:c>
      <x:c r="D266" s="37" t="str">
        <x:v>https://drug.fda.moph.go.th/media.php?id=810076416409477120&amp;name=SMPC_Erythromycin_Gastro-resistant tablets.pdf</x:v>
      </x:c>
      <x:c r="E266" s="39" t="str">
        <x:v>Open</x:v>
      </x:c>
    </x:row>
    <x:row r="267">
      <x:c r="A267" s="31" t="str">
        <x:v>colchicine</x:v>
      </x:c>
      <x:c r="B267" s="31" t="str">
        <x:v>interaction_severity_unclassified</x:v>
      </x:c>
      <x:c r="C267" s="37" t="str">
        <x:v>Possible named interaction with erythromycin requires clinical severity review.</x:v>
      </x:c>
      <x:c r="D267" s="37" t="str">
        <x:v>https://drug.fda.moph.go.th/media.php?id=810076416409477120&amp;name=SMPC_Erythromycin_Gastro-resistant tablets.pdf</x:v>
      </x:c>
      <x:c r="E267" s="39" t="str">
        <x:v>Open</x:v>
      </x:c>
    </x:row>
    <x:row r="268">
      <x:c r="A268" s="31" t="str">
        <x:v>erythromycin</x:v>
      </x:c>
      <x:c r="B268" s="31" t="str">
        <x:v>interaction_severity_unclassified</x:v>
      </x:c>
      <x:c r="C268" s="37" t="str">
        <x:v>Possible named interaction with pimozide requires clinical severity review.</x:v>
      </x:c>
      <x:c r="D268" s="37" t="str">
        <x:v>https://drug.fda.moph.go.th/media.php?id=810076416409477120&amp;name=SMPC_Erythromycin_Gastro-resistant tablets.pdf</x:v>
      </x:c>
      <x:c r="E268" s="39" t="str">
        <x:v>Open</x:v>
      </x:c>
    </x:row>
    <x:row r="269">
      <x:c r="A269" s="31" t="str">
        <x:v>erythromycin</x:v>
      </x:c>
      <x:c r="B269" s="31" t="str">
        <x:v>interaction_severity_unclassified</x:v>
      </x:c>
      <x:c r="C269" s="37" t="str">
        <x:v>Possible named interaction with theophylline requires clinical severity review.</x:v>
      </x:c>
      <x:c r="D269" s="37" t="str">
        <x:v>https://drug.fda.moph.go.th/media.php?id=810076416409477120&amp;name=SMPC_Erythromycin_Gastro-resistant tablets.pdf</x:v>
      </x:c>
      <x:c r="E269" s="39" t="str">
        <x:v>Open</x:v>
      </x:c>
    </x:row>
    <x:row r="270">
      <x:c r="A270" s="31" t="str">
        <x:v>carbamazepine</x:v>
      </x:c>
      <x:c r="B270" s="31" t="str">
        <x:v>interaction_severity_unclassified</x:v>
      </x:c>
      <x:c r="C270" s="37" t="str">
        <x:v>Possible named interaction with erythromycin requires clinical severity review.</x:v>
      </x:c>
      <x:c r="D270" s="37" t="str">
        <x:v>https://drug.fda.moph.go.th/media.php?id=810076760694726656&amp;name=SMPC_Erythromycin_film-coated tablets.pdf</x:v>
      </x:c>
      <x:c r="E270" s="39" t="str">
        <x:v>Open</x:v>
      </x:c>
    </x:row>
    <x:row r="271">
      <x:c r="A271" s="31" t="str">
        <x:v>digoxin</x:v>
      </x:c>
      <x:c r="B271" s="31" t="str">
        <x:v>interaction_severity_unclassified</x:v>
      </x:c>
      <x:c r="C271" s="37" t="str">
        <x:v>Possible named interaction with erythromycin requires clinical severity review.</x:v>
      </x:c>
      <x:c r="D271" s="37" t="str">
        <x:v>https://drug.fda.moph.go.th/media.php?id=810076760694726656&amp;name=SMPC_Erythromycin_film-coated tablets.pdf</x:v>
      </x:c>
      <x:c r="E271" s="39" t="str">
        <x:v>Open</x:v>
      </x:c>
    </x:row>
    <x:row r="272">
      <x:c r="A272" s="31" t="str">
        <x:v>domperidone</x:v>
      </x:c>
      <x:c r="B272" s="31" t="str">
        <x:v>interaction_severity_unclassified</x:v>
      </x:c>
      <x:c r="C272" s="37" t="str">
        <x:v>Possible named interaction with erythromycin requires clinical severity review.</x:v>
      </x:c>
      <x:c r="D272" s="37" t="str">
        <x:v>https://drug.fda.moph.go.th/media.php?id=810076760694726656&amp;name=SMPC_Erythromycin_film-coated tablets.pdf</x:v>
      </x:c>
      <x:c r="E272" s="39" t="str">
        <x:v>Open</x:v>
      </x:c>
    </x:row>
    <x:row r="273">
      <x:c r="A273" s="31" t="str">
        <x:v>erythromycin</x:v>
      </x:c>
      <x:c r="B273" s="31" t="str">
        <x:v>interaction_severity_unclassified</x:v>
      </x:c>
      <x:c r="C273" s="37" t="str">
        <x:v>Possible named interaction with itraconazole requires clinical severity review.</x:v>
      </x:c>
      <x:c r="D273" s="37" t="str">
        <x:v>https://drug.fda.moph.go.th/media.php?id=810076760694726656&amp;name=SMPC_Erythromycin_film-coated tablets.pdf</x:v>
      </x:c>
      <x:c r="E273" s="39" t="str">
        <x:v>Open</x:v>
      </x:c>
    </x:row>
    <x:row r="274">
      <x:c r="A274" s="31" t="str">
        <x:v>erythromycin</x:v>
      </x:c>
      <x:c r="B274" s="31" t="str">
        <x:v>interaction_severity_unclassified</x:v>
      </x:c>
      <x:c r="C274" s="37" t="str">
        <x:v>Possible named interaction with ketoconazole requires clinical severity review.</x:v>
      </x:c>
      <x:c r="D274" s="37" t="str">
        <x:v>https://drug.fda.moph.go.th/media.php?id=810076760694726656&amp;name=SMPC_Erythromycin_film-coated tablets.pdf</x:v>
      </x:c>
      <x:c r="E274" s="39" t="str">
        <x:v>Open</x:v>
      </x:c>
    </x:row>
    <x:row r="275">
      <x:c r="A275" s="31" t="str">
        <x:v>erythromycin</x:v>
      </x:c>
      <x:c r="B275" s="31" t="str">
        <x:v>interaction_severity_unclassified</x:v>
      </x:c>
      <x:c r="C275" s="37" t="str">
        <x:v>Possible named interaction with methylprednisolone requires clinical severity review.</x:v>
      </x:c>
      <x:c r="D275" s="37" t="str">
        <x:v>https://drug.fda.moph.go.th/media.php?id=810076760694726656&amp;name=SMPC_Erythromycin_film-coated tablets.pdf</x:v>
      </x:c>
      <x:c r="E275" s="39" t="str">
        <x:v>Open</x:v>
      </x:c>
    </x:row>
    <x:row r="276">
      <x:c r="A276" s="31" t="str">
        <x:v>erythromycin</x:v>
      </x:c>
      <x:c r="B276" s="31" t="str">
        <x:v>interaction_severity_unclassified</x:v>
      </x:c>
      <x:c r="C276" s="37" t="str">
        <x:v>Possible named interaction with omeprazole requires clinical severity review.</x:v>
      </x:c>
      <x:c r="D276" s="37" t="str">
        <x:v>https://drug.fda.moph.go.th/media.php?id=810076760694726656&amp;name=SMPC_Erythromycin_film-coated tablets.pdf</x:v>
      </x:c>
      <x:c r="E276" s="39" t="str">
        <x:v>Open</x:v>
      </x:c>
    </x:row>
    <x:row r="277">
      <x:c r="A277" s="31" t="str">
        <x:v>erythromycin</x:v>
      </x:c>
      <x:c r="B277" s="31" t="str">
        <x:v>interaction_severity_unclassified</x:v>
      </x:c>
      <x:c r="C277" s="37" t="str">
        <x:v>Possible named interaction with theophylline requires clinical severity review.</x:v>
      </x:c>
      <x:c r="D277" s="37" t="str">
        <x:v>https://drug.fda.moph.go.th/media.php?id=810076760694726656&amp;name=SMPC_Erythromycin_film-coated tablets.pdf</x:v>
      </x:c>
      <x:c r="E277" s="39" t="str">
        <x:v>Open</x:v>
      </x:c>
    </x:row>
    <x:row r="278">
      <x:c r="A278" s="31" t="str">
        <x:v>bromocriptine</x:v>
      </x:c>
      <x:c r="B278" s="31" t="str">
        <x:v>interaction_severity_unclassified</x:v>
      </x:c>
      <x:c r="C278" s="37" t="str">
        <x:v>Possible named interaction with erythromycin requires clinical severity review.</x:v>
      </x:c>
      <x:c r="D278" s="37" t="str">
        <x:v>https://drug.fda.moph.go.th/media.php?id=810076760694726656&amp;name=SMPC_Erythromycin_film-coated tablets.pdf</x:v>
      </x:c>
      <x:c r="E278" s="39" t="str">
        <x:v>Open</x:v>
      </x:c>
    </x:row>
    <x:row r="279">
      <x:c r="A279" s="31" t="str">
        <x:v>erythromycin</x:v>
      </x:c>
      <x:c r="B279" s="31" t="str">
        <x:v>interaction_severity_unclassified</x:v>
      </x:c>
      <x:c r="C279" s="37" t="str">
        <x:v>Possible named interaction with pimozide requires clinical severity review.</x:v>
      </x:c>
      <x:c r="D279" s="37" t="str">
        <x:v>https://drug.fda.moph.go.th/media.php?id=810076760694726656&amp;name=SMPC_Erythromycin_film-coated tablets.pdf</x:v>
      </x:c>
      <x:c r="E279" s="39" t="str">
        <x:v>Open</x:v>
      </x:c>
    </x:row>
    <x:row r="280">
      <x:c r="A280" s="31" t="str">
        <x:v>erythromycin</x:v>
      </x:c>
      <x:c r="B280" s="31" t="str">
        <x:v>interaction_severity_unclassified</x:v>
      </x:c>
      <x:c r="C280" s="37" t="str">
        <x:v>Possible named interaction with simvastatin requires clinical severity review.</x:v>
      </x:c>
      <x:c r="D280" s="37" t="str">
        <x:v>https://drug.fda.moph.go.th/media.php?id=810076760694726656&amp;name=SMPC_Erythromycin_film-coated tablets.pdf</x:v>
      </x:c>
      <x:c r="E280" s="39" t="str">
        <x:v>Open</x:v>
      </x:c>
    </x:row>
    <x:row r="281">
      <x:c r="A281" s="31" t="str">
        <x:v>chloramphenicol</x:v>
      </x:c>
      <x:c r="B281" s="31" t="str">
        <x:v>interaction_severity_unclassified</x:v>
      </x:c>
      <x:c r="C281" s="37" t="str">
        <x:v>Possible named interaction with erythromycin requires clinical severity review.</x:v>
      </x:c>
      <x:c r="D281" s="37" t="str">
        <x:v>https://drug.fda.moph.go.th/media.php?id=810076760694726656&amp;name=SMPC_Erythromycin_film-coated tablets.pdf</x:v>
      </x:c>
      <x:c r="E281" s="39" t="str">
        <x:v>Open</x:v>
      </x:c>
    </x:row>
    <x:row r="282">
      <x:c r="A282" s="31" t="str">
        <x:v>clindamycin</x:v>
      </x:c>
      <x:c r="B282" s="31" t="str">
        <x:v>interaction_severity_unclassified</x:v>
      </x:c>
      <x:c r="C282" s="37" t="str">
        <x:v>Possible named interaction with erythromycin requires clinical severity review.</x:v>
      </x:c>
      <x:c r="D282" s="37" t="str">
        <x:v>https://drug.fda.moph.go.th/media.php?id=810076760694726656&amp;name=SMPC_Erythromycin_film-coated tablets.pdf</x:v>
      </x:c>
      <x:c r="E282" s="39" t="str">
        <x:v>Open</x:v>
      </x:c>
    </x:row>
    <x:row r="283">
      <x:c r="A283" s="31" t="str">
        <x:v>erythromycin</x:v>
      </x:c>
      <x:c r="B283" s="31" t="str">
        <x:v>interaction_severity_unclassified</x:v>
      </x:c>
      <x:c r="C283" s="37" t="str">
        <x:v>Possible named interaction with lincomycin requires clinical severity review.</x:v>
      </x:c>
      <x:c r="D283" s="37" t="str">
        <x:v>https://drug.fda.moph.go.th/media.php?id=810076760694726656&amp;name=SMPC_Erythromycin_film-coated tablets.pdf</x:v>
      </x:c>
      <x:c r="E283" s="39" t="str">
        <x:v>Open</x:v>
      </x:c>
    </x:row>
    <x:row r="284">
      <x:c r="A284" s="31" t="str">
        <x:v>clarithromycin</x:v>
      </x:c>
      <x:c r="B284" s="31" t="str">
        <x:v>interaction_severity_unclassified</x:v>
      </x:c>
      <x:c r="C284" s="37" t="str">
        <x:v>Possible named interaction with erythromycin requires clinical severity review.</x:v>
      </x:c>
      <x:c r="D284" s="37" t="str">
        <x:v>https://drug.fda.moph.go.th/media.php?id=810076760694726656&amp;name=SMPC_Erythromycin_film-coated tablets.pdf</x:v>
      </x:c>
      <x:c r="E284" s="39" t="str">
        <x:v>Open</x:v>
      </x:c>
    </x:row>
    <x:row r="285">
      <x:c r="A285" s="31" t="str">
        <x:v>erythromycin</x:v>
      </x:c>
      <x:c r="B285" s="31" t="str">
        <x:v>interaction_severity_unclassified</x:v>
      </x:c>
      <x:c r="C285" s="37" t="str">
        <x:v>Possible named interaction with pimozide requires clinical severity review.</x:v>
      </x:c>
      <x:c r="D285" s="37" t="str">
        <x:v>https://drug.fda.moph.go.th/media.php?id=810076760694726656&amp;name=SMPC_Erythromycin_film-coated tablets.pdf</x:v>
      </x:c>
      <x:c r="E285" s="39" t="str">
        <x:v>Open</x:v>
      </x:c>
    </x:row>
    <x:row r="286">
      <x:c r="A286" s="31" t="str">
        <x:v>erythromycin</x:v>
      </x:c>
      <x:c r="B286" s="31" t="str">
        <x:v>interaction_severity_unclassified</x:v>
      </x:c>
      <x:c r="C286" s="37" t="str">
        <x:v>Possible named interaction with theophylline requires clinical severity review.</x:v>
      </x:c>
      <x:c r="D286" s="37" t="str">
        <x:v>https://drug.fda.moph.go.th/media.php?id=810076760694726656&amp;name=SMPC_Erythromycin_film-coated tablets.pdf</x:v>
      </x:c>
      <x:c r="E286" s="39" t="str">
        <x:v>Open</x:v>
      </x:c>
    </x:row>
    <x:row r="287">
      <x:c r="A287" s="31" t="str">
        <x:v>cimetidine</x:v>
      </x:c>
      <x:c r="B287" s="31" t="str">
        <x:v>interaction_severity_unclassified</x:v>
      </x:c>
      <x:c r="C287" s="37" t="str">
        <x:v>Possible named interaction with erythromycin requires clinical severity review.</x:v>
      </x:c>
      <x:c r="D287" s="37" t="str">
        <x:v>https://drug.fda.moph.go.th/media.php?id=810076760694726656&amp;name=SMPC_Erythromycin_film-coated tablets.pdf</x:v>
      </x:c>
      <x:c r="E287" s="39" t="str">
        <x:v>Open</x:v>
      </x:c>
    </x:row>
    <x:row r="288">
      <x:c r="A288" s="31" t="str">
        <x:v>colchicine</x:v>
      </x:c>
      <x:c r="B288" s="31" t="str">
        <x:v>interaction_severity_unclassified</x:v>
      </x:c>
      <x:c r="C288" s="37" t="str">
        <x:v>Possible named interaction with erythromycin requires clinical severity review.</x:v>
      </x:c>
      <x:c r="D288" s="37" t="str">
        <x:v>https://drug.fda.moph.go.th/media.php?id=810076760694726656&amp;name=SMPC_Erythromycin_film-coated tablets.pdf</x:v>
      </x:c>
      <x:c r="E288" s="39" t="str">
        <x:v>Open</x:v>
      </x:c>
    </x:row>
    <x:row r="289">
      <x:c r="A289" s="31" t="str">
        <x:v>erythromycin</x:v>
      </x:c>
      <x:c r="B289" s="31" t="str">
        <x:v>interaction_severity_unclassified</x:v>
      </x:c>
      <x:c r="C289" s="37" t="str">
        <x:v>Possible named interaction with verapamil requires clinical severity review.</x:v>
      </x:c>
      <x:c r="D289" s="37" t="str">
        <x:v>https://drug.fda.moph.go.th/media.php?id=810076760694726656&amp;name=SMPC_Erythromycin_film-coated tablets.pdf</x:v>
      </x:c>
      <x:c r="E289" s="39" t="str">
        <x:v>Open</x:v>
      </x:c>
    </x:row>
    <x:row r="290">
      <x:c r="A290" s="31" t="str">
        <x:v>estradiol</x:v>
      </x:c>
      <x:c r="B290" s="31" t="str">
        <x:v>interaction_severity_unclassified</x:v>
      </x:c>
      <x:c r="C290" s="37" t="str">
        <x:v>Possible named interaction with rifampicin requires clinical severity review.</x:v>
      </x:c>
      <x:c r="D290" s="37" t="str">
        <x:v>https://drug.fda.moph.go.th/media.php?id=810077151993929728&amp;name=SMPC_Estradiol_Tablets.pdf</x:v>
      </x:c>
      <x:c r="E290" s="39" t="str">
        <x:v>Open</x:v>
      </x:c>
    </x:row>
    <x:row r="291">
      <x:c r="A291" s="31" t="str">
        <x:v>estradiol</x:v>
      </x:c>
      <x:c r="B291" s="31" t="str">
        <x:v>interaction_severity_unclassified</x:v>
      </x:c>
      <x:c r="C291" s="37" t="str">
        <x:v>Possible named interaction with theophylline requires clinical severity review.</x:v>
      </x:c>
      <x:c r="D291" s="37" t="str">
        <x:v>https://drug.fda.moph.go.th/media.php?id=810077151993929728&amp;name=SMPC_Estradiol_Tablets.pdf</x:v>
      </x:c>
      <x:c r="E291" s="39" t="str">
        <x:v>Open</x:v>
      </x:c>
    </x:row>
    <x:row r="292">
      <x:c r="A292" s="31" t="str">
        <x:v>carbamazepine</x:v>
      </x:c>
      <x:c r="B292" s="31" t="str">
        <x:v>interaction_severity_unclassified</x:v>
      </x:c>
      <x:c r="C292" s="37" t="str">
        <x:v>Possible named interaction with felodipine requires clinical severity review.</x:v>
      </x:c>
      <x:c r="D292" s="37" t="str">
        <x:v>https://drug.fda.moph.go.th/media.php?id=810078823658954752&amp;name=SMPC_Felodipine_prolonged release tablets.pdf</x:v>
      </x:c>
      <x:c r="E292" s="39" t="str">
        <x:v>Open</x:v>
      </x:c>
    </x:row>
    <x:row r="293">
      <x:c r="A293" s="31" t="str">
        <x:v>cimetidine</x:v>
      </x:c>
      <x:c r="B293" s="31" t="str">
        <x:v>interaction_severity_unclassified</x:v>
      </x:c>
      <x:c r="C293" s="37" t="str">
        <x:v>Possible named interaction with felodipine requires clinical severity review.</x:v>
      </x:c>
      <x:c r="D293" s="37" t="str">
        <x:v>https://drug.fda.moph.go.th/media.php?id=810078823658954752&amp;name=SMPC_Felodipine_prolonged release tablets.pdf</x:v>
      </x:c>
      <x:c r="E293" s="39" t="str">
        <x:v>Open</x:v>
      </x:c>
    </x:row>
    <x:row r="294">
      <x:c r="A294" s="31" t="str">
        <x:v>erythromycin</x:v>
      </x:c>
      <x:c r="B294" s="31" t="str">
        <x:v>interaction_severity_unclassified</x:v>
      </x:c>
      <x:c r="C294" s="37" t="str">
        <x:v>Possible named interaction with felodipine requires clinical severity review.</x:v>
      </x:c>
      <x:c r="D294" s="37" t="str">
        <x:v>https://drug.fda.moph.go.th/media.php?id=810078823658954752&amp;name=SMPC_Felodipine_prolonged release tablets.pdf</x:v>
      </x:c>
      <x:c r="E294" s="39" t="str">
        <x:v>Open</x:v>
      </x:c>
    </x:row>
    <x:row r="295">
      <x:c r="A295" s="31" t="str">
        <x:v>felodipine</x:v>
      </x:c>
      <x:c r="B295" s="31" t="str">
        <x:v>interaction_severity_unclassified</x:v>
      </x:c>
      <x:c r="C295" s="37" t="str">
        <x:v>Possible named interaction with itraconazole requires clinical severity review.</x:v>
      </x:c>
      <x:c r="D295" s="37" t="str">
        <x:v>https://drug.fda.moph.go.th/media.php?id=810078823658954752&amp;name=SMPC_Felodipine_prolonged release tablets.pdf</x:v>
      </x:c>
      <x:c r="E295" s="39" t="str">
        <x:v>Open</x:v>
      </x:c>
    </x:row>
    <x:row r="296">
      <x:c r="A296" s="31" t="str">
        <x:v>felodipine</x:v>
      </x:c>
      <x:c r="B296" s="31" t="str">
        <x:v>interaction_severity_unclassified</x:v>
      </x:c>
      <x:c r="C296" s="37" t="str">
        <x:v>Possible named interaction with ketoconazole requires clinical severity review.</x:v>
      </x:c>
      <x:c r="D296" s="37" t="str">
        <x:v>https://drug.fda.moph.go.th/media.php?id=810078823658954752&amp;name=SMPC_Felodipine_prolonged release tablets.pdf</x:v>
      </x:c>
      <x:c r="E296" s="39" t="str">
        <x:v>Open</x:v>
      </x:c>
    </x:row>
    <x:row r="297">
      <x:c r="A297" s="31" t="str">
        <x:v>atenolol</x:v>
      </x:c>
      <x:c r="B297" s="31" t="str">
        <x:v>interaction_severity_unclassified</x:v>
      </x:c>
      <x:c r="C297" s="37" t="str">
        <x:v>Possible named interaction with felodipine requires clinical severity review.</x:v>
      </x:c>
      <x:c r="D297" s="37" t="str">
        <x:v>https://drug.fda.moph.go.th/media.php?id=810078823658954752&amp;name=SMPC_Felodipine_prolonged release tablets.pdf</x:v>
      </x:c>
      <x:c r="E297" s="39" t="str">
        <x:v>Open</x:v>
      </x:c>
    </x:row>
    <x:row r="298">
      <x:c r="A298" s="31" t="str">
        <x:v>felodipine</x:v>
      </x:c>
      <x:c r="B298" s="31" t="str">
        <x:v>interaction_severity_unclassified</x:v>
      </x:c>
      <x:c r="C298" s="37" t="str">
        <x:v>Possible named interaction with prazosin requires clinical severity review.</x:v>
      </x:c>
      <x:c r="D298" s="37" t="str">
        <x:v>https://drug.fda.moph.go.th/media.php?id=810078823658954752&amp;name=SMPC_Felodipine_prolonged release tablets.pdf</x:v>
      </x:c>
      <x:c r="E298" s="39" t="str">
        <x:v>Open</x:v>
      </x:c>
    </x:row>
    <x:row r="299">
      <x:c r="A299" s="31" t="str">
        <x:v>felodipine</x:v>
      </x:c>
      <x:c r="B299" s="31" t="str">
        <x:v>interaction_severity_unclassified</x:v>
      </x:c>
      <x:c r="C299" s="37" t="str">
        <x:v>Possible named interaction with indomethacin requires clinical severity review.</x:v>
      </x:c>
      <x:c r="D299" s="37" t="str">
        <x:v>https://drug.fda.moph.go.th/media.php?id=810078823658954752&amp;name=SMPC_Felodipine_prolonged release tablets.pdf</x:v>
      </x:c>
      <x:c r="E299" s="39" t="str">
        <x:v>Open</x:v>
      </x:c>
    </x:row>
    <x:row r="300">
      <x:c r="A300" s="31" t="str">
        <x:v>chloramphenicol</x:v>
      </x:c>
      <x:c r="B300" s="31" t="str">
        <x:v>interaction_severity_unclassified</x:v>
      </x:c>
      <x:c r="C300" s="37" t="str">
        <x:v>Possible named interaction with ferrous requires clinical severity review.</x:v>
      </x:c>
      <x:c r="D300" s="37" t="str">
        <x:v>https://drug.fda.moph.go.th/media.php?id=810079316368039936&amp;name=SMPC_Ferrous fumarate_Tablets.pdf</x:v>
      </x:c>
      <x:c r="E300" s="39" t="str">
        <x:v>Open</x:v>
      </x:c>
    </x:row>
    <x:row r="301">
      <x:c r="A301" s="31" t="str">
        <x:v>cholestyramine</x:v>
      </x:c>
      <x:c r="B301" s="31" t="str">
        <x:v>interaction_severity_unclassified</x:v>
      </x:c>
      <x:c r="C301" s="37" t="str">
        <x:v>Possible named interaction with ferrous requires clinical severity review.</x:v>
      </x:c>
      <x:c r="D301" s="37" t="str">
        <x:v>https://drug.fda.moph.go.th/media.php?id=810079316368039936&amp;name=SMPC_Ferrous fumarate_Tablets.pdf</x:v>
      </x:c>
      <x:c r="E301" s="39" t="str">
        <x:v>Open</x:v>
      </x:c>
    </x:row>
    <x:row r="302">
      <x:c r="A302" s="31" t="str">
        <x:v>ciprofloxacin</x:v>
      </x:c>
      <x:c r="B302" s="31" t="str">
        <x:v>interaction_severity_unclassified</x:v>
      </x:c>
      <x:c r="C302" s="37" t="str">
        <x:v>Possible named interaction with ferrous requires clinical severity review.</x:v>
      </x:c>
      <x:c r="D302" s="37" t="str">
        <x:v>https://drug.fda.moph.go.th/media.php?id=810079316368039936&amp;name=SMPC_Ferrous fumarate_Tablets.pdf</x:v>
      </x:c>
      <x:c r="E302" s="39" t="str">
        <x:v>Open</x:v>
      </x:c>
    </x:row>
    <x:row r="303">
      <x:c r="A303" s="31" t="str">
        <x:v>ferrous</x:v>
      </x:c>
      <x:c r="B303" s="31" t="str">
        <x:v>interaction_severity_unclassified</x:v>
      </x:c>
      <x:c r="C303" s="37" t="str">
        <x:v>Possible named interaction with levothyroxine requires clinical severity review.</x:v>
      </x:c>
      <x:c r="D303" s="37" t="str">
        <x:v>https://drug.fda.moph.go.th/media.php?id=810079316368039936&amp;name=SMPC_Ferrous fumarate_Tablets.pdf</x:v>
      </x:c>
      <x:c r="E303" s="39" t="str">
        <x:v>Open</x:v>
      </x:c>
    </x:row>
    <x:row r="304">
      <x:c r="A304" s="31" t="str">
        <x:v>ferrous</x:v>
      </x:c>
      <x:c r="B304" s="31" t="str">
        <x:v>interaction_severity_unclassified</x:v>
      </x:c>
      <x:c r="C304" s="37" t="str">
        <x:v>Possible named interaction with magnesium requires clinical severity review.</x:v>
      </x:c>
      <x:c r="D304" s="37" t="str">
        <x:v>https://drug.fda.moph.go.th/media.php?id=810079316368039936&amp;name=SMPC_Ferrous fumarate_Tablets.pdf</x:v>
      </x:c>
      <x:c r="E304" s="39" t="str">
        <x:v>Open</x:v>
      </x:c>
    </x:row>
    <x:row r="305">
      <x:c r="A305" s="31" t="str">
        <x:v>ferrous</x:v>
      </x:c>
      <x:c r="B305" s="31" t="str">
        <x:v>interaction_severity_unclassified</x:v>
      </x:c>
      <x:c r="C305" s="37" t="str">
        <x:v>Possible named interaction with magnesium_trisilicate requires clinical severity review.</x:v>
      </x:c>
      <x:c r="D305" s="37" t="str">
        <x:v>https://drug.fda.moph.go.th/media.php?id=810079316368039936&amp;name=SMPC_Ferrous fumarate_Tablets.pdf</x:v>
      </x:c>
      <x:c r="E305" s="39" t="str">
        <x:v>Open</x:v>
      </x:c>
    </x:row>
    <x:row r="306">
      <x:c r="A306" s="31" t="str">
        <x:v>ferrous</x:v>
      </x:c>
      <x:c r="B306" s="31" t="str">
        <x:v>interaction_severity_unclassified</x:v>
      </x:c>
      <x:c r="C306" s="37" t="str">
        <x:v>Possible named interaction with methyldopa requires clinical severity review.</x:v>
      </x:c>
      <x:c r="D306" s="37" t="str">
        <x:v>https://drug.fda.moph.go.th/media.php?id=810079316368039936&amp;name=SMPC_Ferrous fumarate_Tablets.pdf</x:v>
      </x:c>
      <x:c r="E306" s="39" t="str">
        <x:v>Open</x:v>
      </x:c>
    </x:row>
    <x:row r="307">
      <x:c r="A307" s="31" t="str">
        <x:v>ferrous</x:v>
      </x:c>
      <x:c r="B307" s="31" t="str">
        <x:v>interaction_severity_unclassified</x:v>
      </x:c>
      <x:c r="C307" s="37" t="str">
        <x:v>Possible named interaction with ofloxacin requires clinical severity review.</x:v>
      </x:c>
      <x:c r="D307" s="37" t="str">
        <x:v>https://drug.fda.moph.go.th/media.php?id=810079316368039936&amp;name=SMPC_Ferrous fumarate_Tablets.pdf</x:v>
      </x:c>
      <x:c r="E307" s="39" t="str">
        <x:v>Open</x:v>
      </x:c>
    </x:row>
    <x:row r="308">
      <x:c r="A308" s="31" t="str">
        <x:v>ferrous</x:v>
      </x:c>
      <x:c r="B308" s="31" t="str">
        <x:v>interaction_severity_unclassified</x:v>
      </x:c>
      <x:c r="C308" s="37" t="str">
        <x:v>Possible named interaction with tetracycline requires clinical severity review.</x:v>
      </x:c>
      <x:c r="D308" s="37" t="str">
        <x:v>https://drug.fda.moph.go.th/media.php?id=810079316368039936&amp;name=SMPC_Ferrous fumarate_Tablets.pdf</x:v>
      </x:c>
      <x:c r="E308" s="39" t="str">
        <x:v>Open</x:v>
      </x:c>
    </x:row>
    <x:row r="309">
      <x:c r="A309" s="31" t="str">
        <x:v>ferrous</x:v>
      </x:c>
      <x:c r="B309" s="31" t="str">
        <x:v>interaction_severity_unclassified</x:v>
      </x:c>
      <x:c r="C309" s="37" t="str">
        <x:v>Possible named interaction with zinc requires clinical severity review.</x:v>
      </x:c>
      <x:c r="D309" s="37" t="str">
        <x:v>https://drug.fda.moph.go.th/media.php?id=810079316368039936&amp;name=SMPC_Ferrous fumarate_Tablets.pdf</x:v>
      </x:c>
      <x:c r="E309" s="39" t="str">
        <x:v>Open</x:v>
      </x:c>
    </x:row>
    <x:row r="310">
      <x:c r="A310" s="31" t="str">
        <x:v>ferrous</x:v>
      </x:c>
      <x:c r="B310" s="31" t="str">
        <x:v>interaction_severity_unclassified</x:v>
      </x:c>
      <x:c r="C310" s="37" t="str">
        <x:v>Possible named interaction with norfloxacin requires clinical severity review.</x:v>
      </x:c>
      <x:c r="D310" s="37" t="str">
        <x:v>https://drug.fda.moph.go.th/media.php?id=810079316368039936&amp;name=SMPC_Ferrous fumarate_Tablets.pdf</x:v>
      </x:c>
      <x:c r="E310" s="39" t="str">
        <x:v>Open</x:v>
      </x:c>
    </x:row>
    <x:row r="311">
      <x:c r="A311" s="31" t="str">
        <x:v>chloramphenicol</x:v>
      </x:c>
      <x:c r="B311" s="31" t="str">
        <x:v>interaction_severity_unclassified</x:v>
      </x:c>
      <x:c r="C311" s="37" t="str">
        <x:v>Possible named interaction with ferrous requires clinical severity review.</x:v>
      </x:c>
      <x:c r="D311" s="37" t="str">
        <x:v>https://drug.fda.moph.go.th/media.php?id=810079681742249984&amp;name=SMPC_Ferrous fumarate_ syrup.pdf</x:v>
      </x:c>
      <x:c r="E311" s="39" t="str">
        <x:v>Open</x:v>
      </x:c>
    </x:row>
    <x:row r="312">
      <x:c r="A312" s="31" t="str">
        <x:v>cholestyramine</x:v>
      </x:c>
      <x:c r="B312" s="31" t="str">
        <x:v>interaction_severity_unclassified</x:v>
      </x:c>
      <x:c r="C312" s="37" t="str">
        <x:v>Possible named interaction with ferrous requires clinical severity review.</x:v>
      </x:c>
      <x:c r="D312" s="37" t="str">
        <x:v>https://drug.fda.moph.go.th/media.php?id=810079681742249984&amp;name=SMPC_Ferrous fumarate_ syrup.pdf</x:v>
      </x:c>
      <x:c r="E312" s="39" t="str">
        <x:v>Open</x:v>
      </x:c>
    </x:row>
    <x:row r="313">
      <x:c r="A313" s="31" t="str">
        <x:v>ciprofloxacin</x:v>
      </x:c>
      <x:c r="B313" s="31" t="str">
        <x:v>interaction_severity_unclassified</x:v>
      </x:c>
      <x:c r="C313" s="37" t="str">
        <x:v>Possible named interaction with ferrous requires clinical severity review.</x:v>
      </x:c>
      <x:c r="D313" s="37" t="str">
        <x:v>https://drug.fda.moph.go.th/media.php?id=810079681742249984&amp;name=SMPC_Ferrous fumarate_ syrup.pdf</x:v>
      </x:c>
      <x:c r="E313" s="39" t="str">
        <x:v>Open</x:v>
      </x:c>
    </x:row>
    <x:row r="314">
      <x:c r="A314" s="31" t="str">
        <x:v>ferrous</x:v>
      </x:c>
      <x:c r="B314" s="31" t="str">
        <x:v>interaction_severity_unclassified</x:v>
      </x:c>
      <x:c r="C314" s="37" t="str">
        <x:v>Possible named interaction with levothyroxine requires clinical severity review.</x:v>
      </x:c>
      <x:c r="D314" s="37" t="str">
        <x:v>https://drug.fda.moph.go.th/media.php?id=810079681742249984&amp;name=SMPC_Ferrous fumarate_ syrup.pdf</x:v>
      </x:c>
      <x:c r="E314" s="39" t="str">
        <x:v>Open</x:v>
      </x:c>
    </x:row>
    <x:row r="315">
      <x:c r="A315" s="31" t="str">
        <x:v>ferrous</x:v>
      </x:c>
      <x:c r="B315" s="31" t="str">
        <x:v>interaction_severity_unclassified</x:v>
      </x:c>
      <x:c r="C315" s="37" t="str">
        <x:v>Possible named interaction with magnesium requires clinical severity review.</x:v>
      </x:c>
      <x:c r="D315" s="37" t="str">
        <x:v>https://drug.fda.moph.go.th/media.php?id=810079681742249984&amp;name=SMPC_Ferrous fumarate_ syrup.pdf</x:v>
      </x:c>
      <x:c r="E315" s="39" t="str">
        <x:v>Open</x:v>
      </x:c>
    </x:row>
    <x:row r="316">
      <x:c r="A316" s="31" t="str">
        <x:v>ferrous</x:v>
      </x:c>
      <x:c r="B316" s="31" t="str">
        <x:v>interaction_severity_unclassified</x:v>
      </x:c>
      <x:c r="C316" s="37" t="str">
        <x:v>Possible named interaction with methyldopa requires clinical severity review.</x:v>
      </x:c>
      <x:c r="D316" s="37" t="str">
        <x:v>https://drug.fda.moph.go.th/media.php?id=810079681742249984&amp;name=SMPC_Ferrous fumarate_ syrup.pdf</x:v>
      </x:c>
      <x:c r="E316" s="39" t="str">
        <x:v>Open</x:v>
      </x:c>
    </x:row>
    <x:row r="317">
      <x:c r="A317" s="31" t="str">
        <x:v>ferrous</x:v>
      </x:c>
      <x:c r="B317" s="31" t="str">
        <x:v>interaction_severity_unclassified</x:v>
      </x:c>
      <x:c r="C317" s="37" t="str">
        <x:v>Possible named interaction with ofloxacin requires clinical severity review.</x:v>
      </x:c>
      <x:c r="D317" s="37" t="str">
        <x:v>https://drug.fda.moph.go.th/media.php?id=810079681742249984&amp;name=SMPC_Ferrous fumarate_ syrup.pdf</x:v>
      </x:c>
      <x:c r="E317" s="39" t="str">
        <x:v>Open</x:v>
      </x:c>
    </x:row>
    <x:row r="318">
      <x:c r="A318" s="31" t="str">
        <x:v>ferrous</x:v>
      </x:c>
      <x:c r="B318" s="31" t="str">
        <x:v>interaction_severity_unclassified</x:v>
      </x:c>
      <x:c r="C318" s="37" t="str">
        <x:v>Possible named interaction with tetracycline requires clinical severity review.</x:v>
      </x:c>
      <x:c r="D318" s="37" t="str">
        <x:v>https://drug.fda.moph.go.th/media.php?id=810079681742249984&amp;name=SMPC_Ferrous fumarate_ syrup.pdf</x:v>
      </x:c>
      <x:c r="E318" s="39" t="str">
        <x:v>Open</x:v>
      </x:c>
    </x:row>
    <x:row r="319">
      <x:c r="A319" s="31" t="str">
        <x:v>ferrous</x:v>
      </x:c>
      <x:c r="B319" s="31" t="str">
        <x:v>interaction_severity_unclassified</x:v>
      </x:c>
      <x:c r="C319" s="37" t="str">
        <x:v>Possible named interaction with zinc requires clinical severity review.</x:v>
      </x:c>
      <x:c r="D319" s="37" t="str">
        <x:v>https://drug.fda.moph.go.th/media.php?id=810079681742249984&amp;name=SMPC_Ferrous fumarate_ syrup.pdf</x:v>
      </x:c>
      <x:c r="E319" s="39" t="str">
        <x:v>Open</x:v>
      </x:c>
    </x:row>
    <x:row r="320">
      <x:c r="A320" s="31" t="str">
        <x:v>ferrous</x:v>
      </x:c>
      <x:c r="B320" s="31" t="str">
        <x:v>interaction_severity_unclassified</x:v>
      </x:c>
      <x:c r="C320" s="37" t="str">
        <x:v>Possible named interaction with norfloxacin requires clinical severity review.</x:v>
      </x:c>
      <x:c r="D320" s="37" t="str">
        <x:v>https://drug.fda.moph.go.th/media.php?id=810079681742249984&amp;name=SMPC_Ferrous fumarate_ syrup.pdf</x:v>
      </x:c>
      <x:c r="E320" s="39" t="str">
        <x:v>Open</x:v>
      </x:c>
    </x:row>
    <x:row r="321">
      <x:c r="A321" s="31" t="str">
        <x:v>ciprofloxacin</x:v>
      </x:c>
      <x:c r="B321" s="31" t="str">
        <x:v>interaction_severity_unclassified</x:v>
      </x:c>
      <x:c r="C321" s="37" t="str">
        <x:v>Possible named interaction with ferrous requires clinical severity review.</x:v>
      </x:c>
      <x:c r="D321" s="37" t="str">
        <x:v>https://drug.fda.moph.go.th/media.php?id=810081060158316544&amp;name=SMPC_Ferrous sulfate_film-coated tablets.pdf</x:v>
      </x:c>
      <x:c r="E321" s="39" t="str">
        <x:v>Open</x:v>
      </x:c>
    </x:row>
    <x:row r="322">
      <x:c r="A322" s="31" t="str">
        <x:v>ferrous</x:v>
      </x:c>
      <x:c r="B322" s="31" t="str">
        <x:v>interaction_severity_unclassified</x:v>
      </x:c>
      <x:c r="C322" s="37" t="str">
        <x:v>Possible named interaction with ofloxacin requires clinical severity review.</x:v>
      </x:c>
      <x:c r="D322" s="37" t="str">
        <x:v>https://drug.fda.moph.go.th/media.php?id=810081060158316544&amp;name=SMPC_Ferrous sulfate_film-coated tablets.pdf</x:v>
      </x:c>
      <x:c r="E322" s="39" t="str">
        <x:v>Open</x:v>
      </x:c>
    </x:row>
    <x:row r="323">
      <x:c r="A323" s="31" t="str">
        <x:v>ferrous</x:v>
      </x:c>
      <x:c r="B323" s="31" t="str">
        <x:v>interaction_severity_unclassified</x:v>
      </x:c>
      <x:c r="C323" s="37" t="str">
        <x:v>Possible named interaction with norfloxacin requires clinical severity review.</x:v>
      </x:c>
      <x:c r="D323" s="37" t="str">
        <x:v>https://drug.fda.moph.go.th/media.php?id=810081060158316544&amp;name=SMPC_Ferrous sulfate_film-coated tablets.pdf</x:v>
      </x:c>
      <x:c r="E323" s="39" t="str">
        <x:v>Open</x:v>
      </x:c>
    </x:row>
    <x:row r="324">
      <x:c r="A324" s="31" t="str">
        <x:v>ascorbic_acid</x:v>
      </x:c>
      <x:c r="B324" s="31" t="str">
        <x:v>interaction_severity_unclassified</x:v>
      </x:c>
      <x:c r="C324" s="37" t="str">
        <x:v>Possible named interaction with ferrous requires clinical severity review.</x:v>
      </x:c>
      <x:c r="D324" s="37" t="str">
        <x:v>https://drug.fda.moph.go.th/media.php?id=810081060158316544&amp;name=SMPC_Ferrous sulfate_film-coated tablets.pdf</x:v>
      </x:c>
      <x:c r="E324" s="39" t="str">
        <x:v>Open</x:v>
      </x:c>
    </x:row>
    <x:row r="325">
      <x:c r="A325" s="31" t="str">
        <x:v>cholestyramine</x:v>
      </x:c>
      <x:c r="B325" s="31" t="str">
        <x:v>interaction_severity_unclassified</x:v>
      </x:c>
      <x:c r="C325" s="37" t="str">
        <x:v>Possible named interaction with ferrous requires clinical severity review.</x:v>
      </x:c>
      <x:c r="D325" s="37" t="str">
        <x:v>https://drug.fda.moph.go.th/media.php?id=810081060158316544&amp;name=SMPC_Ferrous sulfate_film-coated tablets.pdf</x:v>
      </x:c>
      <x:c r="E325" s="39" t="str">
        <x:v>Open</x:v>
      </x:c>
    </x:row>
    <x:row r="326">
      <x:c r="A326" s="31" t="str">
        <x:v>ferrous</x:v>
      </x:c>
      <x:c r="B326" s="31" t="str">
        <x:v>interaction_severity_unclassified</x:v>
      </x:c>
      <x:c r="C326" s="37" t="str">
        <x:v>Possible named interaction with magnesium requires clinical severity review.</x:v>
      </x:c>
      <x:c r="D326" s="37" t="str">
        <x:v>https://drug.fda.moph.go.th/media.php?id=810081060158316544&amp;name=SMPC_Ferrous sulfate_film-coated tablets.pdf</x:v>
      </x:c>
      <x:c r="E326" s="39" t="str">
        <x:v>Open</x:v>
      </x:c>
    </x:row>
    <x:row r="327">
      <x:c r="A327" s="31" t="str">
        <x:v>ferrous</x:v>
      </x:c>
      <x:c r="B327" s="31" t="str">
        <x:v>interaction_severity_unclassified</x:v>
      </x:c>
      <x:c r="C327" s="37" t="str">
        <x:v>Possible named interaction with methyldopa requires clinical severity review.</x:v>
      </x:c>
      <x:c r="D327" s="37" t="str">
        <x:v>https://drug.fda.moph.go.th/media.php?id=810081060158316544&amp;name=SMPC_Ferrous sulfate_film-coated tablets.pdf</x:v>
      </x:c>
      <x:c r="E327" s="39" t="str">
        <x:v>Open</x:v>
      </x:c>
    </x:row>
    <x:row r="328">
      <x:c r="A328" s="31" t="str">
        <x:v>carboplatin</x:v>
      </x:c>
      <x:c r="B328" s="31" t="str">
        <x:v>interaction_severity_unclassified</x:v>
      </x:c>
      <x:c r="C328" s="37" t="str">
        <x:v>Possible named interaction with fluorouracil requires clinical severity review.</x:v>
      </x:c>
      <x:c r="D328" s="37" t="str">
        <x:v>https://drug.fda.moph.go.th/media.php?id=810172919505362944&amp;name=SMPC_Fluorouracil_Solution for Injection or Infusion.pdf</x:v>
      </x:c>
      <x:c r="E328" s="39" t="str">
        <x:v>Open</x:v>
      </x:c>
    </x:row>
    <x:row r="329">
      <x:c r="A329" s="31" t="str">
        <x:v>calcium_folinate</x:v>
      </x:c>
      <x:c r="B329" s="31" t="str">
        <x:v>interaction_severity_unclassified</x:v>
      </x:c>
      <x:c r="C329" s="37" t="str">
        <x:v>Possible named interaction with fluorouracil requires clinical severity review.</x:v>
      </x:c>
      <x:c r="D329" s="37" t="str">
        <x:v>https://drug.fda.moph.go.th/media.php?id=810172919505362944&amp;name=SMPC_Fluorouracil_Solution for Injection or Infusion.pdf</x:v>
      </x:c>
      <x:c r="E329" s="39" t="str">
        <x:v>Open</x:v>
      </x:c>
    </x:row>
    <x:row r="330">
      <x:c r="A330" s="31" t="str">
        <x:v>fluorouracil</x:v>
      </x:c>
      <x:c r="B330" s="31" t="str">
        <x:v>interaction_severity_unclassified</x:v>
      </x:c>
      <x:c r="C330" s="37" t="str">
        <x:v>Possible named interaction with metronidazole requires clinical severity review.</x:v>
      </x:c>
      <x:c r="D330" s="37" t="str">
        <x:v>https://drug.fda.moph.go.th/media.php?id=810172919505362944&amp;name=SMPC_Fluorouracil_Solution for Injection or Infusion.pdf</x:v>
      </x:c>
      <x:c r="E330" s="39" t="str">
        <x:v>Open</x:v>
      </x:c>
    </x:row>
    <x:row r="331">
      <x:c r="A331" s="31" t="str">
        <x:v>fluorouracil</x:v>
      </x:c>
      <x:c r="B331" s="31" t="str">
        <x:v>interaction_severity_unclassified</x:v>
      </x:c>
      <x:c r="C331" s="37" t="str">
        <x:v>Possible named interaction with methotrexate requires clinical severity review.</x:v>
      </x:c>
      <x:c r="D331" s="37" t="str">
        <x:v>https://drug.fda.moph.go.th/media.php?id=810172919505362944&amp;name=SMPC_Fluorouracil_Solution for Injection or Infusion.pdf</x:v>
      </x:c>
      <x:c r="E331" s="39" t="str">
        <x:v>Open</x:v>
      </x:c>
    </x:row>
    <x:row r="332">
      <x:c r="A332" s="31" t="str">
        <x:v>fluorouracil</x:v>
      </x:c>
      <x:c r="B332" s="31" t="str">
        <x:v>interaction_severity_unclassified</x:v>
      </x:c>
      <x:c r="C332" s="37" t="str">
        <x:v>Possible named interaction with metoclopramide requires clinical severity review.</x:v>
      </x:c>
      <x:c r="D332" s="37" t="str">
        <x:v>https://drug.fda.moph.go.th/media.php?id=810172919505362944&amp;name=SMPC_Fluorouracil_Solution for Injection or Infusion.pdf</x:v>
      </x:c>
      <x:c r="E332" s="39" t="str">
        <x:v>Open</x:v>
      </x:c>
    </x:row>
    <x:row r="333">
      <x:c r="A333" s="31" t="str">
        <x:v>carboplatin</x:v>
      </x:c>
      <x:c r="B333" s="31" t="str">
        <x:v>interaction_severity_unclassified</x:v>
      </x:c>
      <x:c r="C333" s="37" t="str">
        <x:v>Possible named interaction with fluorouracil requires clinical severity review.</x:v>
      </x:c>
      <x:c r="D333" s="37" t="str">
        <x:v>https://drug.fda.moph.go.th/media.php?id=810172919505362944&amp;name=SMPC_Fluorouracil_Solution for Injection or Infusion.pdf</x:v>
      </x:c>
      <x:c r="E333" s="39" t="str">
        <x:v>Open</x:v>
      </x:c>
    </x:row>
    <x:row r="334">
      <x:c r="A334" s="31" t="str">
        <x:v>doxorubicin</x:v>
      </x:c>
      <x:c r="B334" s="31" t="str">
        <x:v>interaction_severity_unclassified</x:v>
      </x:c>
      <x:c r="C334" s="37" t="str">
        <x:v>Possible named interaction with fluorouracil requires clinical severity review.</x:v>
      </x:c>
      <x:c r="D334" s="37" t="str">
        <x:v>https://drug.fda.moph.go.th/media.php?id=810172919505362944&amp;name=SMPC_Fluorouracil_Solution for Injection or Infusion.pdf</x:v>
      </x:c>
      <x:c r="E334" s="39" t="str">
        <x:v>Open</x:v>
      </x:c>
    </x:row>
    <x:row r="335">
      <x:c r="A335" s="31" t="str">
        <x:v>fluorouracil</x:v>
      </x:c>
      <x:c r="B335" s="31" t="str">
        <x:v>interaction_severity_unclassified</x:v>
      </x:c>
      <x:c r="C335" s="37" t="str">
        <x:v>Possible named interaction with methotrexate requires clinical severity review.</x:v>
      </x:c>
      <x:c r="D335" s="37" t="str">
        <x:v>https://drug.fda.moph.go.th/media.php?id=810172919505362944&amp;name=SMPC_Fluorouracil_Solution for Injection or Infusion.pdf</x:v>
      </x:c>
      <x:c r="E335" s="39" t="str">
        <x:v>Open</x:v>
      </x:c>
    </x:row>
    <x:row r="336">
      <x:c r="A336" s="31" t="str">
        <x:v>cyproheptadine</x:v>
      </x:c>
      <x:c r="B336" s="31" t="str">
        <x:v>interaction_severity_unclassified</x:v>
      </x:c>
      <x:c r="C336" s="37" t="str">
        <x:v>Possible named interaction with fluoxetine requires clinical severity review.</x:v>
      </x:c>
      <x:c r="D336" s="37" t="str">
        <x:v>https://drug.fda.moph.go.th/media.php?id=810173242932338688&amp;name=SMPC_Fluoxetine_Capsules.pdf</x:v>
      </x:c>
      <x:c r="E336" s="39" t="str">
        <x:v>Open</x:v>
      </x:c>
    </x:row>
    <x:row r="337">
      <x:c r="A337" s="31" t="str">
        <x:v>cyproheptadine</x:v>
      </x:c>
      <x:c r="B337" s="31" t="str">
        <x:v>interaction_severity_unclassified</x:v>
      </x:c>
      <x:c r="C337" s="37" t="str">
        <x:v>Possible named interaction with fluoxetine requires clinical severity review.</x:v>
      </x:c>
      <x:c r="D337" s="37" t="str">
        <x:v>https://drug.fda.moph.go.th/media.php?id=810173242932338688&amp;name=SMPC_Fluoxetine_Capsules.pdf</x:v>
      </x:c>
      <x:c r="E337" s="39" t="str">
        <x:v>Open</x:v>
      </x:c>
    </x:row>
    <x:row r="338">
      <x:c r="A338" s="31" t="str">
        <x:v>fluoxetine</x:v>
      </x:c>
      <x:c r="B338" s="31" t="str">
        <x:v>interaction_severity_unclassified</x:v>
      </x:c>
      <x:c r="C338" s="37" t="str">
        <x:v>Possible named interaction with tamoxifen requires clinical severity review.</x:v>
      </x:c>
      <x:c r="D338" s="37" t="str">
        <x:v>https://drug.fda.moph.go.th/media.php?id=810173242932338688&amp;name=SMPC_Fluoxetine_Capsules.pdf</x:v>
      </x:c>
      <x:c r="E338" s="39" t="str">
        <x:v>Open</x:v>
      </x:c>
    </x:row>
    <x:row r="339">
      <x:c r="A339" s="31" t="str">
        <x:v>fluoxetine</x:v>
      </x:c>
      <x:c r="B339" s="31" t="str">
        <x:v>interaction_severity_unclassified</x:v>
      </x:c>
      <x:c r="C339" s="37" t="str">
        <x:v>Possible named interaction with tramadol requires clinical severity review.</x:v>
      </x:c>
      <x:c r="D339" s="37" t="str">
        <x:v>https://drug.fda.moph.go.th/media.php?id=810173242932338688&amp;name=SMPC_Fluoxetine_Capsules.pdf</x:v>
      </x:c>
      <x:c r="E339" s="39" t="str">
        <x:v>Open</x:v>
      </x:c>
    </x:row>
    <x:row r="340">
      <x:c r="A340" s="31" t="str">
        <x:v>fluoxetine</x:v>
      </x:c>
      <x:c r="B340" s="31" t="str">
        <x:v>interaction_severity_unclassified</x:v>
      </x:c>
      <x:c r="C340" s="37" t="str">
        <x:v>Possible named interaction with lithium requires clinical severity review.</x:v>
      </x:c>
      <x:c r="D340" s="37" t="str">
        <x:v>https://drug.fda.moph.go.th/media.php?id=810173242932338688&amp;name=SMPC_Fluoxetine_Capsules.pdf</x:v>
      </x:c>
      <x:c r="E340" s="39" t="str">
        <x:v>Open</x:v>
      </x:c>
    </x:row>
    <x:row r="341">
      <x:c r="A341" s="31" t="str">
        <x:v>carbamazepine</x:v>
      </x:c>
      <x:c r="B341" s="31" t="str">
        <x:v>interaction_severity_unclassified</x:v>
      </x:c>
      <x:c r="C341" s="37" t="str">
        <x:v>Possible named interaction with fluoxetine requires clinical severity review.</x:v>
      </x:c>
      <x:c r="D341" s="37" t="str">
        <x:v>https://drug.fda.moph.go.th/media.php?id=810173242932338688&amp;name=SMPC_Fluoxetine_Capsules.pdf</x:v>
      </x:c>
      <x:c r="E341" s="39" t="str">
        <x:v>Open</x:v>
      </x:c>
    </x:row>
    <x:row r="342">
      <x:c r="A342" s="31" t="str">
        <x:v>erythromycin</x:v>
      </x:c>
      <x:c r="B342" s="31" t="str">
        <x:v>interaction_severity_unclassified</x:v>
      </x:c>
      <x:c r="C342" s="37" t="str">
        <x:v>Possible named interaction with fluoxetine requires clinical severity review.</x:v>
      </x:c>
      <x:c r="D342" s="37" t="str">
        <x:v>https://drug.fda.moph.go.th/media.php?id=810173242932338688&amp;name=SMPC_Fluoxetine_Capsules.pdf</x:v>
      </x:c>
      <x:c r="E342" s="39" t="str">
        <x:v>Open</x:v>
      </x:c>
    </x:row>
    <x:row r="343">
      <x:c r="A343" s="31" t="str">
        <x:v>fluoxetine</x:v>
      </x:c>
      <x:c r="B343" s="31" t="str">
        <x:v>interaction_severity_unclassified</x:v>
      </x:c>
      <x:c r="C343" s="37" t="str">
        <x:v>Possible named interaction with haloperidol requires clinical severity review.</x:v>
      </x:c>
      <x:c r="D343" s="37" t="str">
        <x:v>https://drug.fda.moph.go.th/media.php?id=810173242932338688&amp;name=SMPC_Fluoxetine_Capsules.pdf</x:v>
      </x:c>
      <x:c r="E343" s="39" t="str">
        <x:v>Open</x:v>
      </x:c>
    </x:row>
    <x:row r="344">
      <x:c r="A344" s="31" t="str">
        <x:v>fluoxetine</x:v>
      </x:c>
      <x:c r="B344" s="31" t="str">
        <x:v>interaction_severity_unclassified</x:v>
      </x:c>
      <x:c r="C344" s="37" t="str">
        <x:v>Possible named interaction with pimozide requires clinical severity review.</x:v>
      </x:c>
      <x:c r="D344" s="37" t="str">
        <x:v>https://drug.fda.moph.go.th/media.php?id=810173242932338688&amp;name=SMPC_Fluoxetine_Capsules.pdf</x:v>
      </x:c>
      <x:c r="E344" s="39" t="str">
        <x:v>Open</x:v>
      </x:c>
    </x:row>
    <x:row r="345">
      <x:c r="A345" s="31" t="str">
        <x:v>fluoxetine</x:v>
      </x:c>
      <x:c r="B345" s="31" t="str">
        <x:v>interaction_severity_unclassified</x:v>
      </x:c>
      <x:c r="C345" s="37" t="str">
        <x:v>Possible named interaction with tramadol requires clinical severity review.</x:v>
      </x:c>
      <x:c r="D345" s="37" t="str">
        <x:v>https://drug.fda.moph.go.th/media.php?id=810173242932338688&amp;name=SMPC_Fluoxetine_Capsules.pdf</x:v>
      </x:c>
      <x:c r="E345" s="39" t="str">
        <x:v>Open</x:v>
      </x:c>
    </x:row>
    <x:row r="346">
      <x:c r="A346" s="31" t="str">
        <x:v>gemfibrozil</x:v>
      </x:c>
      <x:c r="B346" s="31" t="str">
        <x:v>interaction_severity_unclassified</x:v>
      </x:c>
      <x:c r="C346" s="37" t="str">
        <x:v>Possible named interaction with simvastatin requires clinical severity review.</x:v>
      </x:c>
      <x:c r="D346" s="37" t="str">
        <x:v>https://drug.fda.moph.go.th/media.php?id=810174072020410368&amp;name=SMPC_Gemfibrozil_hard capsule.pdf</x:v>
      </x:c>
      <x:c r="E346" s="39" t="str">
        <x:v>Open</x:v>
      </x:c>
    </x:row>
    <x:row r="347">
      <x:c r="A347" s="31" t="str">
        <x:v>gemfibrozil</x:v>
      </x:c>
      <x:c r="B347" s="31" t="str">
        <x:v>interaction_severity_unclassified</x:v>
      </x:c>
      <x:c r="C347" s="37" t="str">
        <x:v>Possible named interaction with insulin requires clinical severity review.</x:v>
      </x:c>
      <x:c r="D347" s="37" t="str">
        <x:v>https://drug.fda.moph.go.th/media.php?id=810174072020410368&amp;name=SMPC_Gemfibrozil_hard capsule.pdf</x:v>
      </x:c>
      <x:c r="E347" s="39" t="str">
        <x:v>Open</x:v>
      </x:c>
    </x:row>
    <x:row r="348">
      <x:c r="A348" s="31" t="str">
        <x:v>gemfibrozil</x:v>
      </x:c>
      <x:c r="B348" s="31" t="str">
        <x:v>interaction_severity_unclassified</x:v>
      </x:c>
      <x:c r="C348" s="37" t="str">
        <x:v>Possible named interaction with loperamide requires clinical severity review.</x:v>
      </x:c>
      <x:c r="D348" s="37" t="str">
        <x:v>https://drug.fda.moph.go.th/media.php?id=810174072020410368&amp;name=SMPC_Gemfibrozil_hard capsule.pdf</x:v>
      </x:c>
      <x:c r="E348" s="39" t="str">
        <x:v>Open</x:v>
      </x:c>
    </x:row>
    <x:row r="349">
      <x:c r="A349" s="31" t="str">
        <x:v>gemfibrozil</x:v>
      </x:c>
      <x:c r="B349" s="31" t="str">
        <x:v>interaction_severity_unclassified</x:v>
      </x:c>
      <x:c r="C349" s="37" t="str">
        <x:v>Possible named interaction with itraconazole requires clinical severity review.</x:v>
      </x:c>
      <x:c r="D349" s="37" t="str">
        <x:v>https://drug.fda.moph.go.th/media.php?id=810174072020410368&amp;name=SMPC_Gemfibrozil_hard capsule.pdf</x:v>
      </x:c>
      <x:c r="E349" s="39" t="str">
        <x:v>Open</x:v>
      </x:c>
    </x:row>
    <x:row r="350">
      <x:c r="A350" s="31" t="str">
        <x:v>gemfibrozil</x:v>
      </x:c>
      <x:c r="B350" s="31" t="str">
        <x:v>interaction_severity_unclassified</x:v>
      </x:c>
      <x:c r="C350" s="37" t="str">
        <x:v>Possible named interaction with simvastatin requires clinical severity review.</x:v>
      </x:c>
      <x:c r="D350" s="37" t="str">
        <x:v>https://drug.fda.moph.go.th/media.php?id=810174072020410368&amp;name=SMPC_Gemfibrozil_hard capsule.pdf</x:v>
      </x:c>
      <x:c r="E350" s="39" t="str">
        <x:v>Open</x:v>
      </x:c>
    </x:row>
    <x:row r="351">
      <x:c r="A351" s="31" t="str">
        <x:v>colchicine</x:v>
      </x:c>
      <x:c r="B351" s="31" t="str">
        <x:v>interaction_severity_unclassified</x:v>
      </x:c>
      <x:c r="C351" s="37" t="str">
        <x:v>Possible named interaction with gemfibrozil requires clinical severity review.</x:v>
      </x:c>
      <x:c r="D351" s="37" t="str">
        <x:v>https://drug.fda.moph.go.th/media.php?id=810174072020410368&amp;name=SMPC_Gemfibrozil_hard capsule.pdf</x:v>
      </x:c>
      <x:c r="E351" s="39" t="str">
        <x:v>Open</x:v>
      </x:c>
    </x:row>
    <x:row r="352">
      <x:c r="A352" s="31" t="str">
        <x:v>furosemide</x:v>
      </x:c>
      <x:c r="B352" s="31" t="str">
        <x:v>interaction_severity_unclassified</x:v>
      </x:c>
      <x:c r="C352" s="37" t="str">
        <x:v>Possible named interaction with gentamicin requires clinical severity review.</x:v>
      </x:c>
      <x:c r="D352" s="37" t="str">
        <x:v>https://drug.fda.moph.go.th/media.php?id=810174409145982976&amp;name=SMPC_Gentamicin_Eye Drops, Solution.pdf</x:v>
      </x:c>
      <x:c r="E352" s="39" t="str">
        <x:v>Open</x:v>
      </x:c>
    </x:row>
    <x:row r="353">
      <x:c r="A353" s="31" t="str">
        <x:v>gentamicin_betamethasone_dipropionate</x:v>
      </x:c>
      <x:c r="B353" s="31" t="str">
        <x:v>interaction_severity_unclassified</x:v>
      </x:c>
      <x:c r="C353" s="37" t="str">
        <x:v>Possible named interaction with liquid_paraffin requires clinical severity review.</x:v>
      </x:c>
      <x:c r="D353" s="37" t="str">
        <x:v>https://drug.fda.moph.go.th/media.php?id=810174762931331072&amp;name=SMPC_Gentamicin sulfate+betamethasone dipropionate_cream.pdf</x:v>
      </x:c>
      <x:c r="E353" s="39" t="str">
        <x:v>Open</x:v>
      </x:c>
    </x:row>
    <x:row r="354">
      <x:c r="A354" s="31" t="str">
        <x:v>amino_acid</x:v>
      </x:c>
      <x:c r="B354" s="31" t="str">
        <x:v>interaction_severity_unclassified</x:v>
      </x:c>
      <x:c r="C354" s="37" t="str">
        <x:v>Possible named interaction with gentamicin_betamethasone_dipropionate requires clinical severity review.</x:v>
      </x:c>
      <x:c r="D354" s="37" t="str">
        <x:v>https://drug.fda.moph.go.th/media.php?id=810174762931331072&amp;name=SMPC_Gentamicin sulfate+betamethasone dipropionate_cream.pdf</x:v>
      </x:c>
      <x:c r="E354" s="39" t="str">
        <x:v>Open</x:v>
      </x:c>
    </x:row>
    <x:row r="355">
      <x:c r="A355" s="31" t="str">
        <x:v>gliclazide</x:v>
      </x:c>
      <x:c r="B355" s="31" t="str">
        <x:v>interaction_severity_unclassified</x:v>
      </x:c>
      <x:c r="C355" s="37" t="str">
        <x:v>Possible named interaction with insulin requires clinical severity review.</x:v>
      </x:c>
      <x:c r="D355" s="37" t="str">
        <x:v>https://drug.fda.moph.go.th/media.php?id=810175347420176384&amp;name=SMPC_Gliclazide_Modified-release Tablets.pdf</x:v>
      </x:c>
      <x:c r="E355" s="39" t="str">
        <x:v>Open</x:v>
      </x:c>
    </x:row>
    <x:row r="356">
      <x:c r="A356" s="31" t="str">
        <x:v>gliclazide</x:v>
      </x:c>
      <x:c r="B356" s="31" t="str">
        <x:v>interaction_severity_unclassified</x:v>
      </x:c>
      <x:c r="C356" s="37" t="str">
        <x:v>Possible named interaction with insulin requires clinical severity review.</x:v>
      </x:c>
      <x:c r="D356" s="37" t="str">
        <x:v>https://drug.fda.moph.go.th/media.php?id=810175347420176384&amp;name=SMPC_Gliclazide_Modified-release Tablets.pdf</x:v>
      </x:c>
      <x:c r="E356" s="39" t="str">
        <x:v>Open</x:v>
      </x:c>
    </x:row>
    <x:row r="357">
      <x:c r="A357" s="31" t="str">
        <x:v>gliclazide</x:v>
      </x:c>
      <x:c r="B357" s="31" t="str">
        <x:v>interaction_severity_unclassified</x:v>
      </x:c>
      <x:c r="C357" s="37" t="str">
        <x:v>Possible named interaction with salbutamol requires clinical severity review.</x:v>
      </x:c>
      <x:c r="D357" s="37" t="str">
        <x:v>https://drug.fda.moph.go.th/media.php?id=810175347420176384&amp;name=SMPC_Gliclazide_Modified-release Tablets.pdf</x:v>
      </x:c>
      <x:c r="E357" s="39" t="str">
        <x:v>Open</x:v>
      </x:c>
    </x:row>
    <x:row r="358">
      <x:c r="A358" s="31" t="str">
        <x:v>gliclazide</x:v>
      </x:c>
      <x:c r="B358" s="31" t="str">
        <x:v>interaction_severity_unclassified</x:v>
      </x:c>
      <x:c r="C358" s="37" t="str">
        <x:v>Possible named interaction with terbutaline requires clinical severity review.</x:v>
      </x:c>
      <x:c r="D358" s="37" t="str">
        <x:v>https://drug.fda.moph.go.th/media.php?id=810175347420176384&amp;name=SMPC_Gliclazide_Modified-release Tablets.pdf</x:v>
      </x:c>
      <x:c r="E358" s="39" t="str">
        <x:v>Open</x:v>
      </x:c>
    </x:row>
    <x:row r="359">
      <x:c r="A359" s="31" t="str">
        <x:v>gliclazide</x:v>
      </x:c>
      <x:c r="B359" s="31" t="str">
        <x:v>interaction_severity_unclassified</x:v>
      </x:c>
      <x:c r="C359" s="37" t="str">
        <x:v>Possible named interaction with insulin requires clinical severity review.</x:v>
      </x:c>
      <x:c r="D359" s="37" t="str">
        <x:v>https://drug.fda.moph.go.th/media.php?id=810175662185914368&amp;name=SMPC_Gliclazide_Tablets.pdf</x:v>
      </x:c>
      <x:c r="E359" s="39" t="str">
        <x:v>Open</x:v>
      </x:c>
    </x:row>
    <x:row r="360">
      <x:c r="A360" s="31" t="str">
        <x:v>gliclazide</x:v>
      </x:c>
      <x:c r="B360" s="31" t="str">
        <x:v>interaction_severity_unclassified</x:v>
      </x:c>
      <x:c r="C360" s="37" t="str">
        <x:v>Possible named interaction with insulin requires clinical severity review.</x:v>
      </x:c>
      <x:c r="D360" s="37" t="str">
        <x:v>https://drug.fda.moph.go.th/media.php?id=810175662185914368&amp;name=SMPC_Gliclazide_Tablets.pdf</x:v>
      </x:c>
      <x:c r="E360" s="39" t="str">
        <x:v>Open</x:v>
      </x:c>
    </x:row>
    <x:row r="361">
      <x:c r="A361" s="31" t="str">
        <x:v>gliclazide</x:v>
      </x:c>
      <x:c r="B361" s="31" t="str">
        <x:v>interaction_severity_unclassified</x:v>
      </x:c>
      <x:c r="C361" s="37" t="str">
        <x:v>Possible named interaction with salbutamol requires clinical severity review.</x:v>
      </x:c>
      <x:c r="D361" s="37" t="str">
        <x:v>https://drug.fda.moph.go.th/media.php?id=810175662185914368&amp;name=SMPC_Gliclazide_Tablets.pdf</x:v>
      </x:c>
      <x:c r="E361" s="39" t="str">
        <x:v>Open</x:v>
      </x:c>
    </x:row>
    <x:row r="362">
      <x:c r="A362" s="31" t="str">
        <x:v>gliclazide</x:v>
      </x:c>
      <x:c r="B362" s="31" t="str">
        <x:v>interaction_severity_unclassified</x:v>
      </x:c>
      <x:c r="C362" s="37" t="str">
        <x:v>Possible named interaction with terbutaline requires clinical severity review.</x:v>
      </x:c>
      <x:c r="D362" s="37" t="str">
        <x:v>https://drug.fda.moph.go.th/media.php?id=810175662185914368&amp;name=SMPC_Gliclazide_Tablets.pdf</x:v>
      </x:c>
      <x:c r="E362" s="39" t="str">
        <x:v>Open</x:v>
      </x:c>
    </x:row>
    <x:row r="363">
      <x:c r="A363" s="31" t="str">
        <x:v>cimetidine</x:v>
      </x:c>
      <x:c r="B363" s="31" t="str">
        <x:v>interaction_severity_unclassified</x:v>
      </x:c>
      <x:c r="C363" s="37" t="str">
        <x:v>Possible named interaction with glipizide requires clinical severity review.</x:v>
      </x:c>
      <x:c r="D363" s="37" t="str">
        <x:v>https://drug.fda.moph.go.th/media.php?id=810176024078852096&amp;name=SMPC_Glipizide_Tablets.pdf</x:v>
      </x:c>
      <x:c r="E363" s="39" t="str">
        <x:v>Open</x:v>
      </x:c>
    </x:row>
    <x:row r="364">
      <x:c r="A364" s="31" t="str">
        <x:v>carbamazepine</x:v>
      </x:c>
      <x:c r="B364" s="31" t="str">
        <x:v>interaction_severity_unclassified</x:v>
      </x:c>
      <x:c r="C364" s="37" t="str">
        <x:v>Possible named interaction with glucose requires clinical severity review.</x:v>
      </x:c>
      <x:c r="D364" s="37" t="str">
        <x:v>https://drug.fda.moph.go.th/media.php?id=810178343201808384&amp;name=SMPC_Glucose_10_Solution for Infusion.pdf</x:v>
      </x:c>
      <x:c r="E364" s="39" t="str">
        <x:v>Open</x:v>
      </x:c>
    </x:row>
    <x:row r="365">
      <x:c r="A365" s="31" t="str">
        <x:v>cyclophosphamide</x:v>
      </x:c>
      <x:c r="B365" s="31" t="str">
        <x:v>interaction_severity_unclassified</x:v>
      </x:c>
      <x:c r="C365" s="37" t="str">
        <x:v>Possible named interaction with glucose requires clinical severity review.</x:v>
      </x:c>
      <x:c r="D365" s="37" t="str">
        <x:v>https://drug.fda.moph.go.th/media.php?id=810178343201808384&amp;name=SMPC_Glucose_10_Solution for Infusion.pdf</x:v>
      </x:c>
      <x:c r="E365" s="39" t="str">
        <x:v>Open</x:v>
      </x:c>
    </x:row>
    <x:row r="366">
      <x:c r="A366" s="31" t="str">
        <x:v>glucose</x:v>
      </x:c>
      <x:c r="B366" s="31" t="str">
        <x:v>interaction_severity_unclassified</x:v>
      </x:c>
      <x:c r="C366" s="37" t="str">
        <x:v>Possible named interaction with insulin requires clinical severity review.</x:v>
      </x:c>
      <x:c r="D366" s="37" t="str">
        <x:v>https://drug.fda.moph.go.th/media.php?id=810178680155414528&amp;name=SMPC_Glucose_Solution for Infusion.pdf</x:v>
      </x:c>
      <x:c r="E366" s="39" t="str">
        <x:v>Open</x:v>
      </x:c>
    </x:row>
    <x:row r="367">
      <x:c r="A367" s="31" t="str">
        <x:v>ampicillin</x:v>
      </x:c>
      <x:c r="B367" s="31" t="str">
        <x:v>interaction_severity_unclassified</x:v>
      </x:c>
      <x:c r="C367" s="37" t="str">
        <x:v>Possible named interaction with glucose_monohydrate_and requires clinical severity review.</x:v>
      </x:c>
      <x:c r="D367" s="37" t="str">
        <x:v>https://drug.fda.moph.go.th/media.php?id=810179446651887616&amp;name=SMPC_Glucose monohydrate+Sodium chloride_Intravenous Fluid.pdf</x:v>
      </x:c>
      <x:c r="E367" s="39" t="str">
        <x:v>Open</x:v>
      </x:c>
    </x:row>
    <x:row r="368">
      <x:c r="A368" s="31" t="str">
        <x:v>erythromycin</x:v>
      </x:c>
      <x:c r="B368" s="31" t="str">
        <x:v>interaction_severity_unclassified</x:v>
      </x:c>
      <x:c r="C368" s="37" t="str">
        <x:v>Possible named interaction with glucose_monohydrate_and requires clinical severity review.</x:v>
      </x:c>
      <x:c r="D368" s="37" t="str">
        <x:v>https://drug.fda.moph.go.th/media.php?id=810179446651887616&amp;name=SMPC_Glucose monohydrate+Sodium chloride_Intravenous Fluid.pdf</x:v>
      </x:c>
      <x:c r="E368" s="39" t="str">
        <x:v>Open</x:v>
      </x:c>
    </x:row>
    <x:row r="369">
      <x:c r="A369" s="31" t="str">
        <x:v>clarithromycin</x:v>
      </x:c>
      <x:c r="B369" s="31" t="str">
        <x:v>interaction_severity_unclassified</x:v>
      </x:c>
      <x:c r="C369" s="37" t="str">
        <x:v>Possible named interaction with haloperidol requires clinical severity review.</x:v>
      </x:c>
      <x:c r="D369" s="37" t="str">
        <x:v>https://drug.fda.moph.go.th/media.php?id=808571302360260608&amp;name=SmPC - Haloperidol ORAL SOLUTION.pdf</x:v>
      </x:c>
      <x:c r="E369" s="39" t="str">
        <x:v>Open</x:v>
      </x:c>
    </x:row>
    <x:row r="370">
      <x:c r="A370" s="31" t="str">
        <x:v>erythromycin</x:v>
      </x:c>
      <x:c r="B370" s="31" t="str">
        <x:v>interaction_severity_unclassified</x:v>
      </x:c>
      <x:c r="C370" s="37" t="str">
        <x:v>Possible named interaction with haloperidol requires clinical severity review.</x:v>
      </x:c>
      <x:c r="D370" s="37" t="str">
        <x:v>https://drug.fda.moph.go.th/media.php?id=808571302360260608&amp;name=SmPC - Haloperidol ORAL SOLUTION.pdf</x:v>
      </x:c>
      <x:c r="E370" s="39" t="str">
        <x:v>Open</x:v>
      </x:c>
    </x:row>
    <x:row r="371">
      <x:c r="A371" s="31" t="str">
        <x:v>haloperidol</x:v>
      </x:c>
      <x:c r="B371" s="31" t="str">
        <x:v>interaction_severity_unclassified</x:v>
      </x:c>
      <x:c r="C371" s="37" t="str">
        <x:v>Possible named interaction with pimozide requires clinical severity review.</x:v>
      </x:c>
      <x:c r="D371" s="37" t="str">
        <x:v>https://drug.fda.moph.go.th/media.php?id=808571302360260608&amp;name=SmPC - Haloperidol ORAL SOLUTION.pdf</x:v>
      </x:c>
      <x:c r="E371" s="39" t="str">
        <x:v>Open</x:v>
      </x:c>
    </x:row>
    <x:row r="372">
      <x:c r="A372" s="31" t="str">
        <x:v>chlorpromazine</x:v>
      </x:c>
      <x:c r="B372" s="31" t="str">
        <x:v>interaction_severity_unclassified</x:v>
      </x:c>
      <x:c r="C372" s="37" t="str">
        <x:v>Possible named interaction with haloperidol requires clinical severity review.</x:v>
      </x:c>
      <x:c r="D372" s="37" t="str">
        <x:v>https://drug.fda.moph.go.th/media.php?id=808571302360260608&amp;name=SmPC - Haloperidol ORAL SOLUTION.pdf</x:v>
      </x:c>
      <x:c r="E372" s="39" t="str">
        <x:v>Open</x:v>
      </x:c>
    </x:row>
    <x:row r="373">
      <x:c r="A373" s="31" t="str">
        <x:v>fluoxetine</x:v>
      </x:c>
      <x:c r="B373" s="31" t="str">
        <x:v>interaction_severity_unclassified</x:v>
      </x:c>
      <x:c r="C373" s="37" t="str">
        <x:v>Possible named interaction with haloperidol requires clinical severity review.</x:v>
      </x:c>
      <x:c r="D373" s="37" t="str">
        <x:v>https://drug.fda.moph.go.th/media.php?id=808571302360260608&amp;name=SmPC - Haloperidol ORAL SOLUTION.pdf</x:v>
      </x:c>
      <x:c r="E373" s="39" t="str">
        <x:v>Open</x:v>
      </x:c>
    </x:row>
    <x:row r="374">
      <x:c r="A374" s="31" t="str">
        <x:v>haloperidol</x:v>
      </x:c>
      <x:c r="B374" s="31" t="str">
        <x:v>interaction_severity_unclassified</x:v>
      </x:c>
      <x:c r="C374" s="37" t="str">
        <x:v>Possible named interaction with itraconazole requires clinical severity review.</x:v>
      </x:c>
      <x:c r="D374" s="37" t="str">
        <x:v>https://drug.fda.moph.go.th/media.php?id=808571302360260608&amp;name=SmPC - Haloperidol ORAL SOLUTION.pdf</x:v>
      </x:c>
      <x:c r="E374" s="39" t="str">
        <x:v>Open</x:v>
      </x:c>
    </x:row>
    <x:row r="375">
      <x:c r="A375" s="31" t="str">
        <x:v>haloperidol</x:v>
      </x:c>
      <x:c r="B375" s="31" t="str">
        <x:v>interaction_severity_unclassified</x:v>
      </x:c>
      <x:c r="C375" s="37" t="str">
        <x:v>Possible named interaction with ketoconazole requires clinical severity review.</x:v>
      </x:c>
      <x:c r="D375" s="37" t="str">
        <x:v>https://drug.fda.moph.go.th/media.php?id=808571302360260608&amp;name=SmPC - Haloperidol ORAL SOLUTION.pdf</x:v>
      </x:c>
      <x:c r="E375" s="39" t="str">
        <x:v>Open</x:v>
      </x:c>
    </x:row>
    <x:row r="376">
      <x:c r="A376" s="31" t="str">
        <x:v>haloperidol</x:v>
      </x:c>
      <x:c r="B376" s="31" t="str">
        <x:v>interaction_severity_unclassified</x:v>
      </x:c>
      <x:c r="C376" s="37" t="str">
        <x:v>Possible named interaction with verapamil requires clinical severity review.</x:v>
      </x:c>
      <x:c r="D376" s="37" t="str">
        <x:v>https://drug.fda.moph.go.th/media.php?id=808571302360260608&amp;name=SmPC - Haloperidol ORAL SOLUTION.pdf</x:v>
      </x:c>
      <x:c r="E376" s="39" t="str">
        <x:v>Open</x:v>
      </x:c>
    </x:row>
    <x:row r="377">
      <x:c r="A377" s="31" t="str">
        <x:v>carbamazepine</x:v>
      </x:c>
      <x:c r="B377" s="31" t="str">
        <x:v>interaction_severity_unclassified</x:v>
      </x:c>
      <x:c r="C377" s="37" t="str">
        <x:v>Possible named interaction with haloperidol requires clinical severity review.</x:v>
      </x:c>
      <x:c r="D377" s="37" t="str">
        <x:v>https://drug.fda.moph.go.th/media.php?id=808571302360260608&amp;name=SmPC - Haloperidol ORAL SOLUTION.pdf</x:v>
      </x:c>
      <x:c r="E377" s="39" t="str">
        <x:v>Open</x:v>
      </x:c>
    </x:row>
    <x:row r="378">
      <x:c r="A378" s="31" t="str">
        <x:v>haloperidol</x:v>
      </x:c>
      <x:c r="B378" s="31" t="str">
        <x:v>interaction_severity_unclassified</x:v>
      </x:c>
      <x:c r="C378" s="37" t="str">
        <x:v>Possible named interaction with rifampicin requires clinical severity review.</x:v>
      </x:c>
      <x:c r="D378" s="37" t="str">
        <x:v>https://drug.fda.moph.go.th/media.php?id=808571302360260608&amp;name=SmPC - Haloperidol ORAL SOLUTION.pdf</x:v>
      </x:c>
      <x:c r="E378" s="39" t="str">
        <x:v>Open</x:v>
      </x:c>
    </x:row>
    <x:row r="379">
      <x:c r="A379" s="31" t="str">
        <x:v>haloperidol</x:v>
      </x:c>
      <x:c r="B379" s="31" t="str">
        <x:v>interaction_severity_unclassified</x:v>
      </x:c>
      <x:c r="C379" s="37" t="str">
        <x:v>Possible named interaction with lithium requires clinical severity review.</x:v>
      </x:c>
      <x:c r="D379" s="37" t="str">
        <x:v>https://drug.fda.moph.go.th/media.php?id=808571302360260608&amp;name=SmPC - Haloperidol ORAL SOLUTION.pdf</x:v>
      </x:c>
      <x:c r="E379" s="39" t="str">
        <x:v>Open</x:v>
      </x:c>
    </x:row>
    <x:row r="380">
      <x:c r="A380" s="31" t="str">
        <x:v>hydrochlorothiazide_amiloride</x:v>
      </x:c>
      <x:c r="B380" s="31" t="str">
        <x:v>interaction_severity_unclassified</x:v>
      </x:c>
      <x:c r="C380" s="37" t="str">
        <x:v>Possible named interaction with lithium requires clinical severity review.</x:v>
      </x:c>
      <x:c r="D380" s="37" t="str">
        <x:v>https://drug.fda.moph.go.th/media.php?id=810380894354415616&amp;name=SMPC_Amiloride+Hydrochlorothiazide _Tablets.pdf</x:v>
      </x:c>
      <x:c r="E380" s="39" t="str">
        <x:v>Open</x:v>
      </x:c>
    </x:row>
    <x:row r="381">
      <x:c r="A381" s="31" t="str">
        <x:v>cholestyramine</x:v>
      </x:c>
      <x:c r="B381" s="31" t="str">
        <x:v>interaction_severity_unclassified</x:v>
      </x:c>
      <x:c r="C381" s="37" t="str">
        <x:v>Possible named interaction with hydrochlorothiazide_amiloride requires clinical severity review.</x:v>
      </x:c>
      <x:c r="D381" s="37" t="str">
        <x:v>https://drug.fda.moph.go.th/media.php?id=810380894354415616&amp;name=SMPC_Amiloride+Hydrochlorothiazide _Tablets.pdf</x:v>
      </x:c>
      <x:c r="E381" s="39" t="str">
        <x:v>Open</x:v>
      </x:c>
    </x:row>
    <x:row r="382">
      <x:c r="A382" s="31" t="str">
        <x:v>hydrochlorothiazide_amiloride</x:v>
      </x:c>
      <x:c r="B382" s="31" t="str">
        <x:v>interaction_severity_unclassified</x:v>
      </x:c>
      <x:c r="C382" s="37" t="str">
        <x:v>Possible named interaction with lidocaine requires clinical severity review.</x:v>
      </x:c>
      <x:c r="D382" s="37" t="str">
        <x:v>https://drug.fda.moph.go.th/media.php?id=810380894354415616&amp;name=SMPC_Amiloride+Hydrochlorothiazide _Tablets.pdf</x:v>
      </x:c>
      <x:c r="E382" s="39" t="str">
        <x:v>Open</x:v>
      </x:c>
    </x:row>
    <x:row r="383">
      <x:c r="A383" s="31" t="str">
        <x:v>carbamazepine</x:v>
      </x:c>
      <x:c r="B383" s="31" t="str">
        <x:v>interaction_severity_unclassified</x:v>
      </x:c>
      <x:c r="C383" s="37" t="str">
        <x:v>Possible named interaction with hydrochlorothiazide_amiloride requires clinical severity review.</x:v>
      </x:c>
      <x:c r="D383" s="37" t="str">
        <x:v>https://drug.fda.moph.go.th/media.php?id=810380894354415616&amp;name=SMPC_Amiloride+Hydrochlorothiazide _Tablets.pdf</x:v>
      </x:c>
      <x:c r="E383" s="39" t="str">
        <x:v>Open</x:v>
      </x:c>
    </x:row>
    <x:row r="384">
      <x:c r="A384" s="31" t="str">
        <x:v>hydrochlorothiazide_amiloride</x:v>
      </x:c>
      <x:c r="B384" s="31" t="str">
        <x:v>interaction_severity_unclassified</x:v>
      </x:c>
      <x:c r="C384" s="37" t="str">
        <x:v>Possible named interaction with insulin requires clinical severity review.</x:v>
      </x:c>
      <x:c r="D384" s="37" t="str">
        <x:v>https://drug.fda.moph.go.th/media.php?id=810380894354415616&amp;name=SMPC_Amiloride+Hydrochlorothiazide _Tablets.pdf</x:v>
      </x:c>
      <x:c r="E384" s="39" t="str">
        <x:v>Open</x:v>
      </x:c>
    </x:row>
    <x:row r="385">
      <x:c r="A385" s="31" t="str">
        <x:v>hydrochlorothiazide_amiloride</x:v>
      </x:c>
      <x:c r="B385" s="31" t="str">
        <x:v>interaction_severity_unclassified</x:v>
      </x:c>
      <x:c r="C385" s="37" t="str">
        <x:v>Possible named interaction with methyldopa requires clinical severity review.</x:v>
      </x:c>
      <x:c r="D385" s="37" t="str">
        <x:v>https://drug.fda.moph.go.th/media.php?id=810380894354415616&amp;name=SMPC_Amiloride+Hydrochlorothiazide _Tablets.pdf</x:v>
      </x:c>
      <x:c r="E385" s="39" t="str">
        <x:v>Open</x:v>
      </x:c>
    </x:row>
    <x:row r="386">
      <x:c r="A386" s="31" t="str">
        <x:v>hydrochlorothiazide_amiloride</x:v>
      </x:c>
      <x:c r="B386" s="31" t="str">
        <x:v>interaction_severity_unclassified</x:v>
      </x:c>
      <x:c r="C386" s="37" t="str">
        <x:v>Possible named interaction with prazosin requires clinical severity review.</x:v>
      </x:c>
      <x:c r="D386" s="37" t="str">
        <x:v>https://drug.fda.moph.go.th/media.php?id=810380894354415616&amp;name=SMPC_Amiloride+Hydrochlorothiazide _Tablets.pdf</x:v>
      </x:c>
      <x:c r="E386" s="39" t="str">
        <x:v>Open</x:v>
      </x:c>
    </x:row>
    <x:row r="387">
      <x:c r="A387" s="31" t="str">
        <x:v>hydrochlorothiazide_amiloride</x:v>
      </x:c>
      <x:c r="B387" s="31" t="str">
        <x:v>interaction_severity_unclassified</x:v>
      </x:c>
      <x:c r="C387" s="37" t="str">
        <x:v>Possible named interaction with lithium requires clinical severity review.</x:v>
      </x:c>
      <x:c r="D387" s="37" t="str">
        <x:v>https://drug.fda.moph.go.th/media.php?id=810380894354415616&amp;name=SMPC_Amiloride+Hydrochlorothiazide _Tablets.pdf</x:v>
      </x:c>
      <x:c r="E387" s="39" t="str">
        <x:v>Open</x:v>
      </x:c>
    </x:row>
    <x:row r="388">
      <x:c r="A388" s="31" t="str">
        <x:v>haloperidol</x:v>
      </x:c>
      <x:c r="B388" s="31" t="str">
        <x:v>interaction_severity_unclassified</x:v>
      </x:c>
      <x:c r="C388" s="37" t="str">
        <x:v>Possible named interaction with hydroxyzine requires clinical severity review.</x:v>
      </x:c>
      <x:c r="D388" s="37" t="str">
        <x:v>https://drug.fda.moph.go.th/media.php?id=810382200729116672&amp;name=SMPC_Hydroxyzine_Film-coated tablets.pdf</x:v>
      </x:c>
      <x:c r="E388" s="39" t="str">
        <x:v>Open</x:v>
      </x:c>
    </x:row>
    <x:row r="389">
      <x:c r="A389" s="31" t="str">
        <x:v>cimetidine</x:v>
      </x:c>
      <x:c r="B389" s="31" t="str">
        <x:v>interaction_severity_unclassified</x:v>
      </x:c>
      <x:c r="C389" s="37" t="str">
        <x:v>Possible named interaction with hydroxyzine requires clinical severity review.</x:v>
      </x:c>
      <x:c r="D389" s="37" t="str">
        <x:v>https://drug.fda.moph.go.th/media.php?id=810382200729116672&amp;name=SMPC_Hydroxyzine_Film-coated tablets.pdf</x:v>
      </x:c>
      <x:c r="E389" s="39" t="str">
        <x:v>Open</x:v>
      </x:c>
    </x:row>
    <x:row r="390">
      <x:c r="A390" s="31" t="str">
        <x:v>atropine</x:v>
      </x:c>
      <x:c r="B390" s="31" t="str">
        <x:v>interaction_severity_unclassified</x:v>
      </x:c>
      <x:c r="C390" s="37" t="str">
        <x:v>Possible named interaction with hyoscine_n_butylbromide requires clinical severity review.</x:v>
      </x:c>
      <x:c r="D390" s="37" t="str">
        <x:v>https://drug.fda.moph.go.th/media.php?id=810382625893130240&amp;name=SMPC_Hyoscine butylbromide_coated tablets.pdf</x:v>
      </x:c>
      <x:c r="E390" s="39" t="str">
        <x:v>Open</x:v>
      </x:c>
    </x:row>
    <x:row r="391">
      <x:c r="A391" s="31" t="str">
        <x:v>hyoscine_n_butylbromide</x:v>
      </x:c>
      <x:c r="B391" s="31" t="str">
        <x:v>interaction_severity_unclassified</x:v>
      </x:c>
      <x:c r="C391" s="37" t="str">
        <x:v>Possible named interaction with metoclopramide requires clinical severity review.</x:v>
      </x:c>
      <x:c r="D391" s="37" t="str">
        <x:v>https://drug.fda.moph.go.th/media.php?id=810382625893130240&amp;name=SMPC_Hyoscine butylbromide_coated tablets.pdf</x:v>
      </x:c>
      <x:c r="E391" s="39" t="str">
        <x:v>Open</x:v>
      </x:c>
    </x:row>
    <x:row r="392">
      <x:c r="A392" s="31" t="str">
        <x:v>atropine</x:v>
      </x:c>
      <x:c r="B392" s="31" t="str">
        <x:v>interaction_severity_unclassified</x:v>
      </x:c>
      <x:c r="C392" s="37" t="str">
        <x:v>Possible named interaction with hyoscine_n_butylbromide requires clinical severity review.</x:v>
      </x:c>
      <x:c r="D392" s="37" t="str">
        <x:v>https://drug.fda.moph.go.th/media.php?id=810383049660440576&amp;name=SMPC_Hyoscine butylbromide_Solution for Injection.pdf</x:v>
      </x:c>
      <x:c r="E392" s="39" t="str">
        <x:v>Open</x:v>
      </x:c>
    </x:row>
    <x:row r="393">
      <x:c r="A393" s="31" t="str">
        <x:v>hyoscine_n_butylbromide</x:v>
      </x:c>
      <x:c r="B393" s="31" t="str">
        <x:v>interaction_severity_unclassified</x:v>
      </x:c>
      <x:c r="C393" s="37" t="str">
        <x:v>Possible named interaction with metoclopramide requires clinical severity review.</x:v>
      </x:c>
      <x:c r="D393" s="37" t="str">
        <x:v>https://drug.fda.moph.go.th/media.php?id=810383049660440576&amp;name=SMPC_Hyoscine butylbromide_Solution for Injection.pdf</x:v>
      </x:c>
      <x:c r="E393" s="39" t="str">
        <x:v>Open</x:v>
      </x:c>
    </x:row>
    <x:row r="394">
      <x:c r="A394" s="31" t="str">
        <x:v>ibuprofen</x:v>
      </x:c>
      <x:c r="B394" s="31" t="str">
        <x:v>interaction_severity_unclassified</x:v>
      </x:c>
      <x:c r="C394" s="37" t="str">
        <x:v>Possible named interaction with methotrexate requires clinical severity review.</x:v>
      </x:c>
      <x:c r="D394" s="37" t="str">
        <x:v>https://drug.fda.moph.go.th/media.php?id=810383770954899456&amp;name=SMPC_Ibuprofen_capsules.pdf</x:v>
      </x:c>
      <x:c r="E394" s="39" t="str">
        <x:v>Open</x:v>
      </x:c>
    </x:row>
    <x:row r="395">
      <x:c r="A395" s="31" t="str">
        <x:v>ibuprofen</x:v>
      </x:c>
      <x:c r="B395" s="31" t="str">
        <x:v>interaction_severity_unclassified</x:v>
      </x:c>
      <x:c r="C395" s="37" t="str">
        <x:v>Possible named interaction with lithium requires clinical severity review.</x:v>
      </x:c>
      <x:c r="D395" s="37" t="str">
        <x:v>https://drug.fda.moph.go.th/media.php?id=810383770954899456&amp;name=SMPC_Ibuprofen_capsules.pdf</x:v>
      </x:c>
      <x:c r="E395" s="39" t="str">
        <x:v>Open</x:v>
      </x:c>
    </x:row>
    <x:row r="396">
      <x:c r="A396" s="31" t="str">
        <x:v>clonidine</x:v>
      </x:c>
      <x:c r="B396" s="31" t="str">
        <x:v>interaction_severity_unclassified</x:v>
      </x:c>
      <x:c r="C396" s="37" t="str">
        <x:v>Possible named interaction with indapamide requires clinical severity review.</x:v>
      </x:c>
      <x:c r="D396" s="37" t="str">
        <x:v>https://drug.fda.moph.go.th/media.php?id=810384338393899008&amp;name=SMPC_Indapamide_Tablets.pdf</x:v>
      </x:c>
      <x:c r="E396" s="39" t="str">
        <x:v>Open</x:v>
      </x:c>
    </x:row>
    <x:row r="397">
      <x:c r="A397" s="31" t="str">
        <x:v>indapamide</x:v>
      </x:c>
      <x:c r="B397" s="31" t="str">
        <x:v>interaction_severity_unclassified</x:v>
      </x:c>
      <x:c r="C397" s="37" t="str">
        <x:v>Possible named interaction with methyldopa requires clinical severity review.</x:v>
      </x:c>
      <x:c r="D397" s="37" t="str">
        <x:v>https://drug.fda.moph.go.th/media.php?id=810384338393899008&amp;name=SMPC_Indapamide_Tablets.pdf</x:v>
      </x:c>
      <x:c r="E397" s="39" t="str">
        <x:v>Open</x:v>
      </x:c>
    </x:row>
    <x:row r="398">
      <x:c r="A398" s="31" t="str">
        <x:v>chlorpromazine</x:v>
      </x:c>
      <x:c r="B398" s="31" t="str">
        <x:v>interaction_severity_unclassified</x:v>
      </x:c>
      <x:c r="C398" s="37" t="str">
        <x:v>Possible named interaction with indapamide requires clinical severity review.</x:v>
      </x:c>
      <x:c r="D398" s="37" t="str">
        <x:v>https://drug.fda.moph.go.th/media.php?id=810384338393899008&amp;name=SMPC_Indapamide_Tablets.pdf</x:v>
      </x:c>
      <x:c r="E398" s="39" t="str">
        <x:v>Open</x:v>
      </x:c>
    </x:row>
    <x:row r="399">
      <x:c r="A399" s="31" t="str">
        <x:v>indapamide</x:v>
      </x:c>
      <x:c r="B399" s="31" t="str">
        <x:v>interaction_severity_unclassified</x:v>
      </x:c>
      <x:c r="C399" s="37" t="str">
        <x:v>Possible named interaction with thioridazine requires clinical severity review.</x:v>
      </x:c>
      <x:c r="D399" s="37" t="str">
        <x:v>https://drug.fda.moph.go.th/media.php?id=810384338393899008&amp;name=SMPC_Indapamide_Tablets.pdf</x:v>
      </x:c>
      <x:c r="E399" s="39" t="str">
        <x:v>Open</x:v>
      </x:c>
    </x:row>
    <x:row r="400">
      <x:c r="A400" s="31" t="str">
        <x:v>indapamide</x:v>
      </x:c>
      <x:c r="B400" s="31" t="str">
        <x:v>interaction_severity_unclassified</x:v>
      </x:c>
      <x:c r="C400" s="37" t="str">
        <x:v>Possible named interaction with trifluoperazine requires clinical severity review.</x:v>
      </x:c>
      <x:c r="D400" s="37" t="str">
        <x:v>https://drug.fda.moph.go.th/media.php?id=810384338393899008&amp;name=SMPC_Indapamide_Tablets.pdf</x:v>
      </x:c>
      <x:c r="E400" s="39" t="str">
        <x:v>Open</x:v>
      </x:c>
    </x:row>
    <x:row r="401">
      <x:c r="A401" s="31" t="str">
        <x:v>indapamide</x:v>
      </x:c>
      <x:c r="B401" s="31" t="str">
        <x:v>interaction_severity_unclassified</x:v>
      </x:c>
      <x:c r="C401" s="37" t="str">
        <x:v>Possible named interaction with magnesium requires clinical severity review.</x:v>
      </x:c>
      <x:c r="D401" s="37" t="str">
        <x:v>https://drug.fda.moph.go.th/media.php?id=810384338393899008&amp;name=SMPC_Indapamide_Tablets.pdf</x:v>
      </x:c>
      <x:c r="E401" s="39" t="str">
        <x:v>Open</x:v>
      </x:c>
    </x:row>
    <x:row r="402">
      <x:c r="A402" s="31" t="str">
        <x:v>indapamide</x:v>
      </x:c>
      <x:c r="B402" s="31" t="str">
        <x:v>interaction_severity_unclassified</x:v>
      </x:c>
      <x:c r="C402" s="37" t="str">
        <x:v>Possible named interaction with metformin requires clinical severity review.</x:v>
      </x:c>
      <x:c r="D402" s="37" t="str">
        <x:v>https://drug.fda.moph.go.th/media.php?id=810384338393899008&amp;name=SMPC_Indapamide_Tablets.pdf</x:v>
      </x:c>
      <x:c r="E402" s="39" t="str">
        <x:v>Open</x:v>
      </x:c>
    </x:row>
    <x:row r="403">
      <x:c r="A403" s="31" t="str">
        <x:v>ibuprofen</x:v>
      </x:c>
      <x:c r="B403" s="31" t="str">
        <x:v>interaction_severity_unclassified</x:v>
      </x:c>
      <x:c r="C403" s="37" t="str">
        <x:v>Possible named interaction with indomethacin requires clinical severity review.</x:v>
      </x:c>
      <x:c r="D403" s="37" t="str">
        <x:v>https://drug.fda.moph.go.th/media.php?id=810384768385556480&amp;name=SMPC_Indometacin_Capsules.pdf</x:v>
      </x:c>
      <x:c r="E403" s="39" t="str">
        <x:v>Open</x:v>
      </x:c>
    </x:row>
    <x:row r="404">
      <x:c r="A404" s="31" t="str">
        <x:v>indomethacin</x:v>
      </x:c>
      <x:c r="B404" s="31" t="str">
        <x:v>interaction_severity_unclassified</x:v>
      </x:c>
      <x:c r="C404" s="37" t="str">
        <x:v>Possible named interaction with zidovudine requires clinical severity review.</x:v>
      </x:c>
      <x:c r="D404" s="37" t="str">
        <x:v>https://drug.fda.moph.go.th/media.php?id=810384768385556480&amp;name=SMPC_Indometacin_Capsules.pdf</x:v>
      </x:c>
      <x:c r="E404" s="39" t="str">
        <x:v>Open</x:v>
      </x:c>
    </x:row>
    <x:row r="405">
      <x:c r="A405" s="31" t="str">
        <x:v>indomethacin</x:v>
      </x:c>
      <x:c r="B405" s="31" t="str">
        <x:v>interaction_severity_unclassified</x:v>
      </x:c>
      <x:c r="C405" s="37" t="str">
        <x:v>Possible named interaction with methotrexate requires clinical severity review.</x:v>
      </x:c>
      <x:c r="D405" s="37" t="str">
        <x:v>https://drug.fda.moph.go.th/media.php?id=810384768385556480&amp;name=SMPC_Indometacin_Capsules.pdf</x:v>
      </x:c>
      <x:c r="E405" s="39" t="str">
        <x:v>Open</x:v>
      </x:c>
    </x:row>
    <x:row r="406">
      <x:c r="A406" s="31" t="str">
        <x:v>furosemide</x:v>
      </x:c>
      <x:c r="B406" s="31" t="str">
        <x:v>interaction_severity_unclassified</x:v>
      </x:c>
      <x:c r="C406" s="37" t="str">
        <x:v>Possible named interaction with indomethacin requires clinical severity review.</x:v>
      </x:c>
      <x:c r="D406" s="37" t="str">
        <x:v>https://drug.fda.moph.go.th/media.php?id=810384768385556480&amp;name=SMPC_Indometacin_Capsules.pdf</x:v>
      </x:c>
      <x:c r="E406" s="39" t="str">
        <x:v>Open</x:v>
      </x:c>
    </x:row>
    <x:row r="407">
      <x:c r="A407" s="31" t="str">
        <x:v>indomethacin</x:v>
      </x:c>
      <x:c r="B407" s="31" t="str">
        <x:v>interaction_severity_unclassified</x:v>
      </x:c>
      <x:c r="C407" s="37" t="str">
        <x:v>Possible named interaction with methotrexate requires clinical severity review.</x:v>
      </x:c>
      <x:c r="D407" s="37" t="str">
        <x:v>https://drug.fda.moph.go.th/media.php?id=810384768385556480&amp;name=SMPC_Indometacin_Capsules.pdf</x:v>
      </x:c>
      <x:c r="E407" s="39" t="str">
        <x:v>Open</x:v>
      </x:c>
    </x:row>
    <x:row r="408">
      <x:c r="A408" s="31" t="str">
        <x:v>indomethacin</x:v>
      </x:c>
      <x:c r="B408" s="31" t="str">
        <x:v>interaction_severity_unclassified</x:v>
      </x:c>
      <x:c r="C408" s="37" t="str">
        <x:v>Possible named interaction with lithium requires clinical severity review.</x:v>
      </x:c>
      <x:c r="D408" s="37" t="str">
        <x:v>https://drug.fda.moph.go.th/media.php?id=810384768385556480&amp;name=SMPC_Indometacin_Capsules.pdf</x:v>
      </x:c>
      <x:c r="E408" s="39" t="str">
        <x:v>Open</x:v>
      </x:c>
    </x:row>
    <x:row r="409">
      <x:c r="A409" s="31" t="str">
        <x:v>dexamethasone</x:v>
      </x:c>
      <x:c r="B409" s="31" t="str">
        <x:v>interaction_severity_unclassified</x:v>
      </x:c>
      <x:c r="C409" s="37" t="str">
        <x:v>Possible named interaction with indomethacin requires clinical severity review.</x:v>
      </x:c>
      <x:c r="D409" s="37" t="str">
        <x:v>https://drug.fda.moph.go.th/media.php?id=810384768385556480&amp;name=SMPC_Indometacin_Capsules.pdf</x:v>
      </x:c>
      <x:c r="E409" s="39" t="str">
        <x:v>Open</x:v>
      </x:c>
    </x:row>
    <x:row r="410">
      <x:c r="A410" s="31" t="str">
        <x:v>indomethacin</x:v>
      </x:c>
      <x:c r="B410" s="31" t="str">
        <x:v>interaction_severity_unclassified</x:v>
      </x:c>
      <x:c r="C410" s="37" t="str">
        <x:v>Possible named interaction with vancomycin requires clinical severity review.</x:v>
      </x:c>
      <x:c r="D410" s="37" t="str">
        <x:v>https://drug.fda.moph.go.th/media.php?id=810384768385556480&amp;name=SMPC_Indometacin_Capsules.pdf</x:v>
      </x:c>
      <x:c r="E410" s="39" t="str">
        <x:v>Open</x:v>
      </x:c>
    </x:row>
    <x:row r="411">
      <x:c r="A411" s="31" t="str">
        <x:v>captopril</x:v>
      </x:c>
      <x:c r="B411" s="31" t="str">
        <x:v>interaction_severity_unclassified</x:v>
      </x:c>
      <x:c r="C411" s="37" t="str">
        <x:v>Possible named interaction with insulin requires clinical severity review.</x:v>
      </x:c>
      <x:c r="D411" s="37" t="str">
        <x:v>https://drug.fda.moph.go.th/media.php?id=810385239439450112&amp;name=SMPC_Insulin_suspension for injection in vial.pdf</x:v>
      </x:c>
      <x:c r="E411" s="39" t="str">
        <x:v>Open</x:v>
      </x:c>
    </x:row>
    <x:row r="412">
      <x:c r="A412" s="31" t="str">
        <x:v>enalapril</x:v>
      </x:c>
      <x:c r="B412" s="31" t="str">
        <x:v>interaction_severity_unclassified</x:v>
      </x:c>
      <x:c r="C412" s="37" t="str">
        <x:v>Possible named interaction with insulin requires clinical severity review.</x:v>
      </x:c>
      <x:c r="D412" s="37" t="str">
        <x:v>https://drug.fda.moph.go.th/media.php?id=810385239439450112&amp;name=SMPC_Insulin_suspension for injection in vial.pdf</x:v>
      </x:c>
      <x:c r="E412" s="39" t="str">
        <x:v>Open</x:v>
      </x:c>
    </x:row>
    <x:row r="413">
      <x:c r="A413" s="31" t="str">
        <x:v>insulin</x:v>
      </x:c>
      <x:c r="B413" s="31" t="str">
        <x:v>interaction_severity_unclassified</x:v>
      </x:c>
      <x:c r="C413" s="37" t="str">
        <x:v>Possible named interaction with salbutamol requires clinical severity review.</x:v>
      </x:c>
      <x:c r="D413" s="37" t="str">
        <x:v>https://drug.fda.moph.go.th/media.php?id=810385239439450112&amp;name=SMPC_Insulin_suspension for injection in vial.pdf</x:v>
      </x:c>
      <x:c r="E413" s="39" t="str">
        <x:v>Open</x:v>
      </x:c>
    </x:row>
    <x:row r="414">
      <x:c r="A414" s="31" t="str">
        <x:v>insulin</x:v>
      </x:c>
      <x:c r="B414" s="31" t="str">
        <x:v>interaction_severity_unclassified</x:v>
      </x:c>
      <x:c r="C414" s="37" t="str">
        <x:v>Possible named interaction with terbutaline requires clinical severity review.</x:v>
      </x:c>
      <x:c r="D414" s="37" t="str">
        <x:v>https://drug.fda.moph.go.th/media.php?id=810385239439450112&amp;name=SMPC_Insulin_suspension for injection in vial.pdf</x:v>
      </x:c>
      <x:c r="E414" s="39" t="str">
        <x:v>Open</x:v>
      </x:c>
    </x:row>
    <x:row r="415">
      <x:c r="A415" s="31" t="str">
        <x:v>aciclovir</x:v>
      </x:c>
      <x:c r="B415" s="31" t="str">
        <x:v>interaction_severity_unclassified</x:v>
      </x:c>
      <x:c r="C415" s="37" t="str">
        <x:v>Possible named interaction with iobitridol requires clinical severity review.</x:v>
      </x:c>
      <x:c r="D415" s="37" t="str">
        <x:v>https://drug.fda.moph.go.th/media.php?id=810386169421504512&amp;name=SMPC_Iobitridol_Solution for Injection.pdf</x:v>
      </x:c>
      <x:c r="E415" s="39" t="str">
        <x:v>Open</x:v>
      </x:c>
    </x:row>
    <x:row r="416">
      <x:c r="A416" s="31" t="str">
        <x:v>iobitridol</x:v>
      </x:c>
      <x:c r="B416" s="31" t="str">
        <x:v>interaction_severity_unclassified</x:v>
      </x:c>
      <x:c r="C416" s="37" t="str">
        <x:v>Possible named interaction with metformin requires clinical severity review.</x:v>
      </x:c>
      <x:c r="D416" s="37" t="str">
        <x:v>https://drug.fda.moph.go.th/media.php?id=810386169421504512&amp;name=SMPC_Iobitridol_Solution for Injection.pdf</x:v>
      </x:c>
      <x:c r="E416" s="39" t="str">
        <x:v>Open</x:v>
      </x:c>
    </x:row>
    <x:row r="417">
      <x:c r="A417" s="31" t="str">
        <x:v>iobitridol</x:v>
      </x:c>
      <x:c r="B417" s="31" t="str">
        <x:v>interaction_severity_unclassified</x:v>
      </x:c>
      <x:c r="C417" s="37" t="str">
        <x:v>Possible named interaction with methotrexate requires clinical severity review.</x:v>
      </x:c>
      <x:c r="D417" s="37" t="str">
        <x:v>https://drug.fda.moph.go.th/media.php?id=810386169421504512&amp;name=SMPC_Iobitridol_Solution for Injection.pdf</x:v>
      </x:c>
      <x:c r="E417" s="39" t="str">
        <x:v>Open</x:v>
      </x:c>
    </x:row>
    <x:row r="418">
      <x:c r="A418" s="31" t="str">
        <x:v>iobitridol</x:v>
      </x:c>
      <x:c r="B418" s="31" t="str">
        <x:v>interaction_severity_unclassified</x:v>
      </x:c>
      <x:c r="C418" s="37" t="str">
        <x:v>Possible named interaction with vancomycin requires clinical severity review.</x:v>
      </x:c>
      <x:c r="D418" s="37" t="str">
        <x:v>https://drug.fda.moph.go.th/media.php?id=810386169421504512&amp;name=SMPC_Iobitridol_Solution for Injection.pdf</x:v>
      </x:c>
      <x:c r="E418" s="39" t="str">
        <x:v>Open</x:v>
      </x:c>
    </x:row>
    <x:row r="419">
      <x:c r="A419" s="31" t="str">
        <x:v>aciclovir</x:v>
      </x:c>
      <x:c r="B419" s="31" t="str">
        <x:v>interaction_severity_unclassified</x:v>
      </x:c>
      <x:c r="C419" s="37" t="str">
        <x:v>Possible named interaction with iobitridol requires clinical severity review.</x:v>
      </x:c>
      <x:c r="D419" s="37" t="str">
        <x:v>https://drug.fda.moph.go.th/media.php?id=810386659307823104&amp;name=SMPC_Iobitridol_350_Solution for Injection.pdf</x:v>
      </x:c>
      <x:c r="E419" s="39" t="str">
        <x:v>Open</x:v>
      </x:c>
    </x:row>
    <x:row r="420">
      <x:c r="A420" s="31" t="str">
        <x:v>iobitridol</x:v>
      </x:c>
      <x:c r="B420" s="31" t="str">
        <x:v>interaction_severity_unclassified</x:v>
      </x:c>
      <x:c r="C420" s="37" t="str">
        <x:v>Possible named interaction with methotrexate requires clinical severity review.</x:v>
      </x:c>
      <x:c r="D420" s="37" t="str">
        <x:v>https://drug.fda.moph.go.th/media.php?id=810386659307823104&amp;name=SMPC_Iobitridol_350_Solution for Injection.pdf</x:v>
      </x:c>
      <x:c r="E420" s="39" t="str">
        <x:v>Open</x:v>
      </x:c>
    </x:row>
    <x:row r="421">
      <x:c r="A421" s="31" t="str">
        <x:v>iobitridol</x:v>
      </x:c>
      <x:c r="B421" s="31" t="str">
        <x:v>interaction_severity_unclassified</x:v>
      </x:c>
      <x:c r="C421" s="37" t="str">
        <x:v>Possible named interaction with metformin requires clinical severity review.</x:v>
      </x:c>
      <x:c r="D421" s="37" t="str">
        <x:v>https://drug.fda.moph.go.th/media.php?id=810386659307823104&amp;name=SMPC_Iobitridol_350_Solution for Injection.pdf</x:v>
      </x:c>
      <x:c r="E421" s="39" t="str">
        <x:v>Open</x:v>
      </x:c>
    </x:row>
    <x:row r="422">
      <x:c r="A422" s="31" t="str">
        <x:v>carbamazepine</x:v>
      </x:c>
      <x:c r="B422" s="31" t="str">
        <x:v>interaction_severity_unclassified</x:v>
      </x:c>
      <x:c r="C422" s="37" t="str">
        <x:v>Possible named interaction with isoniazid requires clinical severity review.</x:v>
      </x:c>
      <x:c r="D422" s="37" t="str">
        <x:v>https://drug.fda.moph.go.th/media.php?id=810387533576937472&amp;name=SMPC_Isoniazid_Solutions for injections or infusions.pdf</x:v>
      </x:c>
      <x:c r="E422" s="39" t="str">
        <x:v>Open</x:v>
      </x:c>
    </x:row>
    <x:row r="423">
      <x:c r="A423" s="31" t="str">
        <x:v>disulfiram</x:v>
      </x:c>
      <x:c r="B423" s="31" t="str">
        <x:v>interaction_severity_unclassified</x:v>
      </x:c>
      <x:c r="C423" s="37" t="str">
        <x:v>Possible named interaction with isoniazid requires clinical severity review.</x:v>
      </x:c>
      <x:c r="D423" s="37" t="str">
        <x:v>https://drug.fda.moph.go.th/media.php?id=810387533576937472&amp;name=SMPC_Isoniazid_Solutions for injections or infusions.pdf</x:v>
      </x:c>
      <x:c r="E423" s="39" t="str">
        <x:v>Open</x:v>
      </x:c>
    </x:row>
    <x:row r="424">
      <x:c r="A424" s="31" t="str">
        <x:v>isoniazid</x:v>
      </x:c>
      <x:c r="B424" s="31" t="str">
        <x:v>interaction_severity_unclassified</x:v>
      </x:c>
      <x:c r="C424" s="37" t="str">
        <x:v>Possible named interaction with rifampicin requires clinical severity review.</x:v>
      </x:c>
      <x:c r="D424" s="37" t="str">
        <x:v>https://drug.fda.moph.go.th/media.php?id=810387533576937472&amp;name=SMPC_Isoniazid_Solutions for injections or infusions.pdf</x:v>
      </x:c>
      <x:c r="E424" s="39" t="str">
        <x:v>Open</x:v>
      </x:c>
    </x:row>
    <x:row r="425">
      <x:c r="A425" s="31" t="str">
        <x:v>isoniazid</x:v>
      </x:c>
      <x:c r="B425" s="31" t="str">
        <x:v>interaction_severity_unclassified</x:v>
      </x:c>
      <x:c r="C425" s="37" t="str">
        <x:v>Possible named interaction with theophylline requires clinical severity review.</x:v>
      </x:c>
      <x:c r="D425" s="37" t="str">
        <x:v>https://drug.fda.moph.go.th/media.php?id=810387533576937472&amp;name=SMPC_Isoniazid_Solutions for injections or infusions.pdf</x:v>
      </x:c>
      <x:c r="E425" s="39" t="str">
        <x:v>Open</x:v>
      </x:c>
    </x:row>
    <x:row r="426">
      <x:c r="A426" s="31" t="str">
        <x:v>isosorbide_dinitrate</x:v>
      </x:c>
      <x:c r="B426" s="31" t="str">
        <x:v>interaction_severity_unclassified</x:v>
      </x:c>
      <x:c r="C426" s="37" t="str">
        <x:v>Possible named interaction with isosorbide_mononitrate requires clinical severity review.</x:v>
      </x:c>
      <x:c r="D426" s="37" t="str">
        <x:v>https://drug.fda.moph.go.th/media.php?id=810397718936690688&amp;name=SMPC_Isosorbide dinitrate_Tablets.pdf</x:v>
      </x:c>
      <x:c r="E426" s="39" t="str">
        <x:v>Open</x:v>
      </x:c>
    </x:row>
    <x:row r="427">
      <x:c r="A427" s="31" t="str">
        <x:v>carbamazepine</x:v>
      </x:c>
      <x:c r="B427" s="31" t="str">
        <x:v>interaction_severity_unclassified</x:v>
      </x:c>
      <x:c r="C427" s="37" t="str">
        <x:v>Possible named interaction with itraconazole requires clinical severity review.</x:v>
      </x:c>
      <x:c r="D427" s="37" t="str">
        <x:v>https://drug.fda.moph.go.th/media.php?id=810398699489468416&amp;name=SMPC_Itraconazole_Hard capsules.pdf</x:v>
      </x:c>
      <x:c r="E427" s="39" t="str">
        <x:v>Open</x:v>
      </x:c>
    </x:row>
    <x:row r="428">
      <x:c r="A428" s="31" t="str">
        <x:v>ciprofloxacin</x:v>
      </x:c>
      <x:c r="B428" s="31" t="str">
        <x:v>interaction_severity_unclassified</x:v>
      </x:c>
      <x:c r="C428" s="37" t="str">
        <x:v>Possible named interaction with itraconazole requires clinical severity review.</x:v>
      </x:c>
      <x:c r="D428" s="37" t="str">
        <x:v>https://drug.fda.moph.go.th/media.php?id=810398699489468416&amp;name=SMPC_Itraconazole_Hard capsules.pdf</x:v>
      </x:c>
      <x:c r="E428" s="39" t="str">
        <x:v>Open</x:v>
      </x:c>
    </x:row>
    <x:row r="429">
      <x:c r="A429" s="31" t="str">
        <x:v>clarithromycin</x:v>
      </x:c>
      <x:c r="B429" s="31" t="str">
        <x:v>interaction_severity_unclassified</x:v>
      </x:c>
      <x:c r="C429" s="37" t="str">
        <x:v>Possible named interaction with itraconazole requires clinical severity review.</x:v>
      </x:c>
      <x:c r="D429" s="37" t="str">
        <x:v>https://drug.fda.moph.go.th/media.php?id=810398699489468416&amp;name=SMPC_Itraconazole_Hard capsules.pdf</x:v>
      </x:c>
      <x:c r="E429" s="39" t="str">
        <x:v>Open</x:v>
      </x:c>
    </x:row>
    <x:row r="430">
      <x:c r="A430" s="31" t="str">
        <x:v>erythromycin</x:v>
      </x:c>
      <x:c r="B430" s="31" t="str">
        <x:v>interaction_severity_unclassified</x:v>
      </x:c>
      <x:c r="C430" s="37" t="str">
        <x:v>Possible named interaction with itraconazole requires clinical severity review.</x:v>
      </x:c>
      <x:c r="D430" s="37" t="str">
        <x:v>https://drug.fda.moph.go.th/media.php?id=810398699489468416&amp;name=SMPC_Itraconazole_Hard capsules.pdf</x:v>
      </x:c>
      <x:c r="E430" s="39" t="str">
        <x:v>Open</x:v>
      </x:c>
    </x:row>
    <x:row r="431">
      <x:c r="A431" s="31" t="str">
        <x:v>isoniazid</x:v>
      </x:c>
      <x:c r="B431" s="31" t="str">
        <x:v>interaction_severity_unclassified</x:v>
      </x:c>
      <x:c r="C431" s="37" t="str">
        <x:v>Possible named interaction with itraconazole requires clinical severity review.</x:v>
      </x:c>
      <x:c r="D431" s="37" t="str">
        <x:v>https://drug.fda.moph.go.th/media.php?id=810398699489468416&amp;name=SMPC_Itraconazole_Hard capsules.pdf</x:v>
      </x:c>
      <x:c r="E431" s="39" t="str">
        <x:v>Open</x:v>
      </x:c>
    </x:row>
    <x:row r="432">
      <x:c r="A432" s="31" t="str">
        <x:v>itraconazole</x:v>
      </x:c>
      <x:c r="B432" s="31" t="str">
        <x:v>interaction_severity_unclassified</x:v>
      </x:c>
      <x:c r="C432" s="37" t="str">
        <x:v>Possible named interaction with rifampicin requires clinical severity review.</x:v>
      </x:c>
      <x:c r="D432" s="37" t="str">
        <x:v>https://drug.fda.moph.go.th/media.php?id=810398699489468416&amp;name=SMPC_Itraconazole_Hard capsules.pdf</x:v>
      </x:c>
      <x:c r="E432" s="39" t="str">
        <x:v>Open</x:v>
      </x:c>
    </x:row>
    <x:row r="433">
      <x:c r="A433" s="31" t="str">
        <x:v>digoxin</x:v>
      </x:c>
      <x:c r="B433" s="31" t="str">
        <x:v>interaction_severity_unclassified</x:v>
      </x:c>
      <x:c r="C433" s="37" t="str">
        <x:v>Possible named interaction with itraconazole requires clinical severity review.</x:v>
      </x:c>
      <x:c r="D433" s="37" t="str">
        <x:v>https://drug.fda.moph.go.th/media.php?id=810398699489468416&amp;name=SMPC_Itraconazole_Hard capsules.pdf</x:v>
      </x:c>
      <x:c r="E433" s="39" t="str">
        <x:v>Open</x:v>
      </x:c>
    </x:row>
    <x:row r="434">
      <x:c r="A434" s="31" t="str">
        <x:v>erythromycin</x:v>
      </x:c>
      <x:c r="B434" s="31" t="str">
        <x:v>interaction_severity_unclassified</x:v>
      </x:c>
      <x:c r="C434" s="37" t="str">
        <x:v>Possible named interaction with lidocaine requires clinical severity review.</x:v>
      </x:c>
      <x:c r="D434" s="37" t="str">
        <x:v>https://drug.fda.moph.go.th/media.php?id=810403816229969920&amp;name=SMPC_Lidocaine Hydrochloride_solutions for injections or infusions.pdf</x:v>
      </x:c>
      <x:c r="E434" s="39" t="str">
        <x:v>Open</x:v>
      </x:c>
    </x:row>
    <x:row r="435">
      <x:c r="A435" s="31" t="str">
        <x:v>lidocaine</x:v>
      </x:c>
      <x:c r="B435" s="31" t="str">
        <x:v>interaction_severity_unclassified</x:v>
      </x:c>
      <x:c r="C435" s="37" t="str">
        <x:v>Possible named interaction with pimozide requires clinical severity review.</x:v>
      </x:c>
      <x:c r="D435" s="37" t="str">
        <x:v>https://drug.fda.moph.go.th/media.php?id=810403816229969920&amp;name=SMPC_Lidocaine Hydrochloride_solutions for injections or infusions.pdf</x:v>
      </x:c>
      <x:c r="E435" s="39" t="str">
        <x:v>Open</x:v>
      </x:c>
    </x:row>
    <x:row r="436">
      <x:c r="A436" s="31" t="str">
        <x:v>lidocaine</x:v>
      </x:c>
      <x:c r="B436" s="31" t="str">
        <x:v>interaction_severity_unclassified</x:v>
      </x:c>
      <x:c r="C436" s="37" t="str">
        <x:v>Possible named interaction with timolol requires clinical severity review.</x:v>
      </x:c>
      <x:c r="D436" s="37" t="str">
        <x:v>https://drug.fda.moph.go.th/media.php?id=810403816229969920&amp;name=SMPC_Lidocaine Hydrochloride_solutions for injections or infusions.pdf</x:v>
      </x:c>
      <x:c r="E436" s="39" t="str">
        <x:v>Open</x:v>
      </x:c>
    </x:row>
    <x:row r="437">
      <x:c r="A437" s="31" t="str">
        <x:v>lidocaine</x:v>
      </x:c>
      <x:c r="B437" s="31" t="str">
        <x:v>interaction_severity_unclassified</x:v>
      </x:c>
      <x:c r="C437" s="37" t="str">
        <x:v>Possible named interaction with verapamil requires clinical severity review.</x:v>
      </x:c>
      <x:c r="D437" s="37" t="str">
        <x:v>https://drug.fda.moph.go.th/media.php?id=810403816229969920&amp;name=SMPC_Lidocaine Hydrochloride_solutions for injections or infusions.pdf</x:v>
      </x:c>
      <x:c r="E437" s="39" t="str">
        <x:v>Open</x:v>
      </x:c>
    </x:row>
    <x:row r="438">
      <x:c r="A438" s="31" t="str">
        <x:v>liquid_paraffin</x:v>
      </x:c>
      <x:c r="B438" s="31" t="str">
        <x:v>interaction_severity_unclassified</x:v>
      </x:c>
      <x:c r="C438" s="37" t="str">
        <x:v>Possible named interaction with magnesium_hydroxide requires clinical severity review.</x:v>
      </x:c>
      <x:c r="D438" s="37" t="str">
        <x:v>https://drug.fda.moph.go.th/media.php?id=810404231990353920&amp;name=SMPC_Liquid paraffin_Emulsion.pdf</x:v>
      </x:c>
      <x:c r="E438" s="39" t="str">
        <x:v>Open</x:v>
      </x:c>
    </x:row>
    <x:row r="439">
      <x:c r="A439" s="31" t="str">
        <x:v>liquid_paraffin</x:v>
      </x:c>
      <x:c r="B439" s="31" t="str">
        <x:v>interaction_severity_unclassified</x:v>
      </x:c>
      <x:c r="C439" s="37" t="str">
        <x:v>Possible named interaction with magnesium requires clinical severity review.</x:v>
      </x:c>
      <x:c r="D439" s="37" t="str">
        <x:v>https://drug.fda.moph.go.th/media.php?id=810404231990353920&amp;name=SMPC_Liquid paraffin_Emulsion.pdf</x:v>
      </x:c>
      <x:c r="E439" s="39" t="str">
        <x:v>Open</x:v>
      </x:c>
    </x:row>
    <x:row r="440">
      <x:c r="A440" s="31" t="str">
        <x:v>insulin</x:v>
      </x:c>
      <x:c r="B440" s="31" t="str">
        <x:v>interaction_severity_unclassified</x:v>
      </x:c>
      <x:c r="C440" s="37" t="str">
        <x:v>Possible named interaction with lisinopril requires clinical severity review.</x:v>
      </x:c>
      <x:c r="D440" s="37" t="str">
        <x:v>https://drug.fda.moph.go.th/media.php?id=810405133153345536&amp;name=SMPC_Lisinopril_Tablets.pdf</x:v>
      </x:c>
      <x:c r="E440" s="39" t="str">
        <x:v>Open</x:v>
      </x:c>
    </x:row>
    <x:row r="441">
      <x:c r="A441" s="31" t="str">
        <x:v>lisinopril</x:v>
      </x:c>
      <x:c r="B441" s="31" t="str">
        <x:v>interaction_severity_unclassified</x:v>
      </x:c>
      <x:c r="C441" s="37" t="str">
        <x:v>Possible named interaction with lithium requires clinical severity review.</x:v>
      </x:c>
      <x:c r="D441" s="37" t="str">
        <x:v>https://drug.fda.moph.go.th/media.php?id=810405133153345536&amp;name=SMPC_Lisinopril_Tablets.pdf</x:v>
      </x:c>
      <x:c r="E441" s="39" t="str">
        <x:v>Open</x:v>
      </x:c>
    </x:row>
    <x:row r="442">
      <x:c r="A442" s="31" t="str">
        <x:v>lisinopril</x:v>
      </x:c>
      <x:c r="B442" s="31" t="str">
        <x:v>interaction_severity_unclassified</x:v>
      </x:c>
      <x:c r="C442" s="37" t="str">
        <x:v>Possible named interaction with lithium requires clinical severity review.</x:v>
      </x:c>
      <x:c r="D442" s="37" t="str">
        <x:v>https://drug.fda.moph.go.th/media.php?id=810405133153345536&amp;name=SMPC_Lisinopril_Tablets.pdf</x:v>
      </x:c>
      <x:c r="E442" s="39" t="str">
        <x:v>Open</x:v>
      </x:c>
    </x:row>
    <x:row r="443">
      <x:c r="A443" s="31" t="str">
        <x:v>gemfibrozil</x:v>
      </x:c>
      <x:c r="B443" s="31" t="str">
        <x:v>interaction_severity_unclassified</x:v>
      </x:c>
      <x:c r="C443" s="37" t="str">
        <x:v>Possible named interaction with loperamide requires clinical severity review.</x:v>
      </x:c>
      <x:c r="D443" s="37" t="str">
        <x:v>https://drug.fda.moph.go.th/media.php?id=810406546952560640&amp;name=SMPC_Loperamide_Tablets.pdf</x:v>
      </x:c>
      <x:c r="E443" s="39" t="str">
        <x:v>Open</x:v>
      </x:c>
    </x:row>
    <x:row r="444">
      <x:c r="A444" s="31" t="str">
        <x:v>itraconazole</x:v>
      </x:c>
      <x:c r="B444" s="31" t="str">
        <x:v>interaction_severity_unclassified</x:v>
      </x:c>
      <x:c r="C444" s="37" t="str">
        <x:v>Possible named interaction with loperamide requires clinical severity review.</x:v>
      </x:c>
      <x:c r="D444" s="37" t="str">
        <x:v>https://drug.fda.moph.go.th/media.php?id=810406546952560640&amp;name=SMPC_Loperamide_Tablets.pdf</x:v>
      </x:c>
      <x:c r="E444" s="39" t="str">
        <x:v>Open</x:v>
      </x:c>
    </x:row>
    <x:row r="445">
      <x:c r="A445" s="31" t="str">
        <x:v>ketoconazole</x:v>
      </x:c>
      <x:c r="B445" s="31" t="str">
        <x:v>interaction_severity_unclassified</x:v>
      </x:c>
      <x:c r="C445" s="37" t="str">
        <x:v>Possible named interaction with loperamide requires clinical severity review.</x:v>
      </x:c>
      <x:c r="D445" s="37" t="str">
        <x:v>https://drug.fda.moph.go.th/media.php?id=810406546952560640&amp;name=SMPC_Loperamide_Tablets.pdf</x:v>
      </x:c>
      <x:c r="E445" s="39" t="str">
        <x:v>Open</x:v>
      </x:c>
    </x:row>
    <x:row r="446">
      <x:c r="A446" s="31" t="str">
        <x:v>ciprofloxacin</x:v>
      </x:c>
      <x:c r="B446" s="31" t="str">
        <x:v>interaction_severity_unclassified</x:v>
      </x:c>
      <x:c r="C446" s="37" t="str">
        <x:v>Possible named interaction with magnesium_hydroxide requires clinical severity review.</x:v>
      </x:c>
      <x:c r="D446" s="37" t="str">
        <x:v>https://drug.fda.moph.go.th/media.php?id=810406985441878016&amp;name=SMPC_Magnesium hydroxide_Oral suspension.pdf</x:v>
      </x:c>
      <x:c r="E446" s="39" t="str">
        <x:v>Open</x:v>
      </x:c>
    </x:row>
    <x:row r="447">
      <x:c r="A447" s="31" t="str">
        <x:v>isoniazid</x:v>
      </x:c>
      <x:c r="B447" s="31" t="str">
        <x:v>interaction_severity_unclassified</x:v>
      </x:c>
      <x:c r="C447" s="37" t="str">
        <x:v>Possible named interaction with magnesium_hydroxide requires clinical severity review.</x:v>
      </x:c>
      <x:c r="D447" s="37" t="str">
        <x:v>https://drug.fda.moph.go.th/media.php?id=810406985441878016&amp;name=SMPC_Magnesium hydroxide_Oral suspension.pdf</x:v>
      </x:c>
      <x:c r="E447" s="39" t="str">
        <x:v>Open</x:v>
      </x:c>
    </x:row>
    <x:row r="448">
      <x:c r="A448" s="31" t="str">
        <x:v>itraconazole</x:v>
      </x:c>
      <x:c r="B448" s="31" t="str">
        <x:v>interaction_severity_unclassified</x:v>
      </x:c>
      <x:c r="C448" s="37" t="str">
        <x:v>Possible named interaction with magnesium_hydroxide requires clinical severity review.</x:v>
      </x:c>
      <x:c r="D448" s="37" t="str">
        <x:v>https://drug.fda.moph.go.th/media.php?id=810406985441878016&amp;name=SMPC_Magnesium hydroxide_Oral suspension.pdf</x:v>
      </x:c>
      <x:c r="E448" s="39" t="str">
        <x:v>Open</x:v>
      </x:c>
    </x:row>
    <x:row r="449">
      <x:c r="A449" s="31" t="str">
        <x:v>ketoconazole</x:v>
      </x:c>
      <x:c r="B449" s="31" t="str">
        <x:v>interaction_severity_unclassified</x:v>
      </x:c>
      <x:c r="C449" s="37" t="str">
        <x:v>Possible named interaction with magnesium_hydroxide requires clinical severity review.</x:v>
      </x:c>
      <x:c r="D449" s="37" t="str">
        <x:v>https://drug.fda.moph.go.th/media.php?id=810406985441878016&amp;name=SMPC_Magnesium hydroxide_Oral suspension.pdf</x:v>
      </x:c>
      <x:c r="E449" s="39" t="str">
        <x:v>Open</x:v>
      </x:c>
    </x:row>
    <x:row r="450">
      <x:c r="A450" s="31" t="str">
        <x:v>magnesium</x:v>
      </x:c>
      <x:c r="B450" s="31" t="str">
        <x:v>interaction_severity_unclassified</x:v>
      </x:c>
      <x:c r="C450" s="37" t="str">
        <x:v>Possible named interaction with magnesium_hydroxide requires clinical severity review.</x:v>
      </x:c>
      <x:c r="D450" s="37" t="str">
        <x:v>https://drug.fda.moph.go.th/media.php?id=810406985441878016&amp;name=SMPC_Magnesium hydroxide_Oral suspension.pdf</x:v>
      </x:c>
      <x:c r="E450" s="39" t="str">
        <x:v>Open</x:v>
      </x:c>
    </x:row>
    <x:row r="451">
      <x:c r="A451" s="31" t="str">
        <x:v>magnesium_hydroxide</x:v>
      </x:c>
      <x:c r="B451" s="31" t="str">
        <x:v>interaction_severity_unclassified</x:v>
      </x:c>
      <x:c r="C451" s="37" t="str">
        <x:v>Possible named interaction with ofloxacin requires clinical severity review.</x:v>
      </x:c>
      <x:c r="D451" s="37" t="str">
        <x:v>https://drug.fda.moph.go.th/media.php?id=810406985441878016&amp;name=SMPC_Magnesium hydroxide_Oral suspension.pdf</x:v>
      </x:c>
      <x:c r="E451" s="39" t="str">
        <x:v>Open</x:v>
      </x:c>
    </x:row>
    <x:row r="452">
      <x:c r="A452" s="31" t="str">
        <x:v>magnesium_hydroxide</x:v>
      </x:c>
      <x:c r="B452" s="31" t="str">
        <x:v>interaction_severity_unclassified</x:v>
      </x:c>
      <x:c r="C452" s="37" t="str">
        <x:v>Possible named interaction with rifampicin requires clinical severity review.</x:v>
      </x:c>
      <x:c r="D452" s="37" t="str">
        <x:v>https://drug.fda.moph.go.th/media.php?id=810406985441878016&amp;name=SMPC_Magnesium hydroxide_Oral suspension.pdf</x:v>
      </x:c>
      <x:c r="E452" s="39" t="str">
        <x:v>Open</x:v>
      </x:c>
    </x:row>
    <x:row r="453">
      <x:c r="A453" s="31" t="str">
        <x:v>magnesium_hydroxide</x:v>
      </x:c>
      <x:c r="B453" s="31" t="str">
        <x:v>interaction_severity_unclassified</x:v>
      </x:c>
      <x:c r="C453" s="37" t="str">
        <x:v>Possible named interaction with norfloxacin requires clinical severity review.</x:v>
      </x:c>
      <x:c r="D453" s="37" t="str">
        <x:v>https://drug.fda.moph.go.th/media.php?id=810406985441878016&amp;name=SMPC_Magnesium hydroxide_Oral suspension.pdf</x:v>
      </x:c>
      <x:c r="E453" s="39" t="str">
        <x:v>Open</x:v>
      </x:c>
    </x:row>
    <x:row r="454">
      <x:c r="A454" s="31" t="str">
        <x:v>furosemide</x:v>
      </x:c>
      <x:c r="B454" s="31" t="str">
        <x:v>interaction_severity_unclassified</x:v>
      </x:c>
      <x:c r="C454" s="37" t="str">
        <x:v>Possible named interaction with magnesium requires clinical severity review.</x:v>
      </x:c>
      <x:c r="D454" s="37" t="str">
        <x:v>https://drug.fda.moph.go.th/media.php?id=810407556395704320&amp;name=SMPC_Magnesium sulfate_Solution for Injection or Infusion.pdf</x:v>
      </x:c>
      <x:c r="E454" s="39" t="str">
        <x:v>Open</x:v>
      </x:c>
    </x:row>
    <x:row r="455">
      <x:c r="A455" s="31" t="str">
        <x:v>magnesium_trisilicate</x:v>
      </x:c>
      <x:c r="B455" s="31" t="str">
        <x:v>interaction_severity_unclassified</x:v>
      </x:c>
      <x:c r="C455" s="37" t="str">
        <x:v>Possible named interaction with sucralfate requires clinical severity review.</x:v>
      </x:c>
      <x:c r="D455" s="37" t="str">
        <x:v>https://drug.fda.moph.go.th/media.php?id=810407998043332608&amp;name=SMPC_Magnesium trisilicate_Tablets.pdf</x:v>
      </x:c>
      <x:c r="E455" s="39" t="str">
        <x:v>Open</x:v>
      </x:c>
    </x:row>
    <x:row r="456">
      <x:c r="A456" s="31" t="str">
        <x:v>digoxin</x:v>
      </x:c>
      <x:c r="B456" s="31" t="str">
        <x:v>interaction_severity_unclassified</x:v>
      </x:c>
      <x:c r="C456" s="37" t="str">
        <x:v>Possible named interaction with magnesium_trisilicate requires clinical severity review.</x:v>
      </x:c>
      <x:c r="D456" s="37" t="str">
        <x:v>https://drug.fda.moph.go.th/media.php?id=810408508334940160&amp;name=SMPC_Magnesium trisilicate_Chewable Tablets.pdf</x:v>
      </x:c>
      <x:c r="E456" s="39" t="str">
        <x:v>Open</x:v>
      </x:c>
    </x:row>
    <x:row r="457">
      <x:c r="A457" s="31" t="str">
        <x:v>isoniazid</x:v>
      </x:c>
      <x:c r="B457" s="31" t="str">
        <x:v>interaction_severity_unclassified</x:v>
      </x:c>
      <x:c r="C457" s="37" t="str">
        <x:v>Possible named interaction with magnesium_trisilicate requires clinical severity review.</x:v>
      </x:c>
      <x:c r="D457" s="37" t="str">
        <x:v>https://drug.fda.moph.go.th/media.php?id=810408508334940160&amp;name=SMPC_Magnesium trisilicate_Chewable Tablets.pdf</x:v>
      </x:c>
      <x:c r="E457" s="39" t="str">
        <x:v>Open</x:v>
      </x:c>
    </x:row>
    <x:row r="458">
      <x:c r="A458" s="31" t="str">
        <x:v>itraconazole</x:v>
      </x:c>
      <x:c r="B458" s="31" t="str">
        <x:v>interaction_severity_unclassified</x:v>
      </x:c>
      <x:c r="C458" s="37" t="str">
        <x:v>Possible named interaction with magnesium_trisilicate requires clinical severity review.</x:v>
      </x:c>
      <x:c r="D458" s="37" t="str">
        <x:v>https://drug.fda.moph.go.th/media.php?id=810408508334940160&amp;name=SMPC_Magnesium trisilicate_Chewable Tablets.pdf</x:v>
      </x:c>
      <x:c r="E458" s="39" t="str">
        <x:v>Open</x:v>
      </x:c>
    </x:row>
    <x:row r="459">
      <x:c r="A459" s="31" t="str">
        <x:v>ketoconazole</x:v>
      </x:c>
      <x:c r="B459" s="31" t="str">
        <x:v>interaction_severity_unclassified</x:v>
      </x:c>
      <x:c r="C459" s="37" t="str">
        <x:v>Possible named interaction with magnesium_trisilicate requires clinical severity review.</x:v>
      </x:c>
      <x:c r="D459" s="37" t="str">
        <x:v>https://drug.fda.moph.go.th/media.php?id=810408508334940160&amp;name=SMPC_Magnesium trisilicate_Chewable Tablets.pdf</x:v>
      </x:c>
      <x:c r="E459" s="39" t="str">
        <x:v>Open</x:v>
      </x:c>
    </x:row>
    <x:row r="460">
      <x:c r="A460" s="31" t="str">
        <x:v>lansoprazole</x:v>
      </x:c>
      <x:c r="B460" s="31" t="str">
        <x:v>interaction_severity_unclassified</x:v>
      </x:c>
      <x:c r="C460" s="37" t="str">
        <x:v>Possible named interaction with magnesium_trisilicate requires clinical severity review.</x:v>
      </x:c>
      <x:c r="D460" s="37" t="str">
        <x:v>https://drug.fda.moph.go.th/media.php?id=810408508334940160&amp;name=SMPC_Magnesium trisilicate_Chewable Tablets.pdf</x:v>
      </x:c>
      <x:c r="E460" s="39" t="str">
        <x:v>Open</x:v>
      </x:c>
    </x:row>
    <x:row r="461">
      <x:c r="A461" s="31" t="str">
        <x:v>levothyroxine</x:v>
      </x:c>
      <x:c r="B461" s="31" t="str">
        <x:v>interaction_severity_unclassified</x:v>
      </x:c>
      <x:c r="C461" s="37" t="str">
        <x:v>Possible named interaction with magnesium_trisilicate requires clinical severity review.</x:v>
      </x:c>
      <x:c r="D461" s="37" t="str">
        <x:v>https://drug.fda.moph.go.th/media.php?id=810408508334940160&amp;name=SMPC_Magnesium trisilicate_Chewable Tablets.pdf</x:v>
      </x:c>
      <x:c r="E461" s="39" t="str">
        <x:v>Open</x:v>
      </x:c>
    </x:row>
    <x:row r="462">
      <x:c r="A462" s="31" t="str">
        <x:v>magnesium</x:v>
      </x:c>
      <x:c r="B462" s="31" t="str">
        <x:v>interaction_severity_unclassified</x:v>
      </x:c>
      <x:c r="C462" s="37" t="str">
        <x:v>Possible named interaction with magnesium_trisilicate requires clinical severity review.</x:v>
      </x:c>
      <x:c r="D462" s="37" t="str">
        <x:v>https://drug.fda.moph.go.th/media.php?id=810408508334940160&amp;name=SMPC_Magnesium trisilicate_Chewable Tablets.pdf</x:v>
      </x:c>
      <x:c r="E462" s="39" t="str">
        <x:v>Open</x:v>
      </x:c>
    </x:row>
    <x:row r="463">
      <x:c r="A463" s="31" t="str">
        <x:v>lithium</x:v>
      </x:c>
      <x:c r="B463" s="31" t="str">
        <x:v>interaction_severity_unclassified</x:v>
      </x:c>
      <x:c r="C463" s="37" t="str">
        <x:v>Possible named interaction with magnesium_trisilicate requires clinical severity review.</x:v>
      </x:c>
      <x:c r="D463" s="37" t="str">
        <x:v>https://drug.fda.moph.go.th/media.php?id=810408508334940160&amp;name=SMPC_Magnesium trisilicate_Chewable Tablets.pdf</x:v>
      </x:c>
      <x:c r="E463" s="39" t="str">
        <x:v>Open</x:v>
      </x:c>
    </x:row>
    <x:row r="464">
      <x:c r="A464" s="31" t="str">
        <x:v>lithium</x:v>
      </x:c>
      <x:c r="B464" s="31" t="str">
        <x:v>interaction_severity_unclassified</x:v>
      </x:c>
      <x:c r="C464" s="37" t="str">
        <x:v>Possible named interaction with mannitol requires clinical severity review.</x:v>
      </x:c>
      <x:c r="D464" s="37" t="str">
        <x:v>https://drug.fda.moph.go.th/media.php?id=810409159391584256&amp;name=SMPC_Mannitol_Solution for Infusion.pdf</x:v>
      </x:c>
      <x:c r="E464" s="39" t="str">
        <x:v>Open</x:v>
      </x:c>
    </x:row>
    <x:row r="465">
      <x:c r="A465" s="31" t="str">
        <x:v>digoxin</x:v>
      </x:c>
      <x:c r="B465" s="31" t="str">
        <x:v>interaction_severity_unclassified</x:v>
      </x:c>
      <x:c r="C465" s="37" t="str">
        <x:v>Possible named interaction with mannitol requires clinical severity review.</x:v>
      </x:c>
      <x:c r="D465" s="37" t="str">
        <x:v>https://drug.fda.moph.go.th/media.php?id=810409159391584256&amp;name=SMPC_Mannitol_Solution for Infusion.pdf</x:v>
      </x:c>
      <x:c r="E465" s="39" t="str">
        <x:v>Open</x:v>
      </x:c>
    </x:row>
    <x:row r="466">
      <x:c r="A466" s="31" t="str">
        <x:v>cimetidine</x:v>
      </x:c>
      <x:c r="B466" s="31" t="str">
        <x:v>interaction_severity_unclassified</x:v>
      </x:c>
      <x:c r="C466" s="37" t="str">
        <x:v>Possible named interaction with mebendazole requires clinical severity review.</x:v>
      </x:c>
      <x:c r="D466" s="37" t="str">
        <x:v>https://drug.fda.moph.go.th/media.php?id=810409612485468160&amp;name=SMPC_Mebendazole_oral suspension.pdf</x:v>
      </x:c>
      <x:c r="E466" s="39" t="str">
        <x:v>Open</x:v>
      </x:c>
    </x:row>
    <x:row r="467">
      <x:c r="A467" s="31" t="str">
        <x:v>mebendazole</x:v>
      </x:c>
      <x:c r="B467" s="31" t="str">
        <x:v>interaction_severity_unclassified</x:v>
      </x:c>
      <x:c r="C467" s="37" t="str">
        <x:v>Possible named interaction with metronidazole requires clinical severity review.</x:v>
      </x:c>
      <x:c r="D467" s="37" t="str">
        <x:v>https://drug.fda.moph.go.th/media.php?id=810409612485468160&amp;name=SMPC_Mebendazole_oral suspension.pdf</x:v>
      </x:c>
      <x:c r="E467" s="39" t="str">
        <x:v>Open</x:v>
      </x:c>
    </x:row>
    <x:row r="468">
      <x:c r="A468" s="31" t="str">
        <x:v>lithium</x:v>
      </x:c>
      <x:c r="B468" s="31" t="str">
        <x:v>interaction_severity_unclassified</x:v>
      </x:c>
      <x:c r="C468" s="37" t="str">
        <x:v>Possible named interaction with mefenamic_acid requires clinical severity review.</x:v>
      </x:c>
      <x:c r="D468" s="37" t="str">
        <x:v>https://drug.fda.moph.go.th/media.php?id=810410734201741312&amp;name=SMPC_Mefenamic acid_Capsules.pdf</x:v>
      </x:c>
      <x:c r="E468" s="39" t="str">
        <x:v>Open</x:v>
      </x:c>
    </x:row>
    <x:row r="469">
      <x:c r="A469" s="31" t="str">
        <x:v>mefenamic_acid</x:v>
      </x:c>
      <x:c r="B469" s="31" t="str">
        <x:v>interaction_severity_unclassified</x:v>
      </x:c>
      <x:c r="C469" s="37" t="str">
        <x:v>Possible named interaction with methotrexate requires clinical severity review.</x:v>
      </x:c>
      <x:c r="D469" s="37" t="str">
        <x:v>https://drug.fda.moph.go.th/media.php?id=810410734201741312&amp;name=SMPC_Mefenamic acid_Capsules.pdf</x:v>
      </x:c>
      <x:c r="E469" s="39" t="str">
        <x:v>Open</x:v>
      </x:c>
    </x:row>
    <x:row r="470">
      <x:c r="A470" s="31" t="str">
        <x:v>insulin</x:v>
      </x:c>
      <x:c r="B470" s="31" t="str">
        <x:v>interaction_severity_unclassified</x:v>
      </x:c>
      <x:c r="C470" s="37" t="str">
        <x:v>Possible named interaction with metformin requires clinical severity review.</x:v>
      </x:c>
      <x:c r="D470" s="37" t="str">
        <x:v>https://drug.fda.moph.go.th/media.php?id=810411685197258752&amp;name=SMPC_Metformin_Film-coated Tablet.pdf</x:v>
      </x:c>
      <x:c r="E470" s="39" t="str">
        <x:v>Open</x:v>
      </x:c>
    </x:row>
    <x:row r="471">
      <x:c r="A471" s="31" t="str">
        <x:v>cimetidine</x:v>
      </x:c>
      <x:c r="B471" s="31" t="str">
        <x:v>interaction_severity_unclassified</x:v>
      </x:c>
      <x:c r="C471" s="37" t="str">
        <x:v>Possible named interaction with metformin requires clinical severity review.</x:v>
      </x:c>
      <x:c r="D471" s="37" t="str">
        <x:v>https://drug.fda.moph.go.th/media.php?id=810411685197258752&amp;name=SMPC_Metformin_Film-coated Tablet.pdf</x:v>
      </x:c>
      <x:c r="E471" s="39" t="str">
        <x:v>Open</x:v>
      </x:c>
    </x:row>
    <x:row r="472">
      <x:c r="A472" s="31" t="str">
        <x:v>metformin</x:v>
      </x:c>
      <x:c r="B472" s="31" t="str">
        <x:v>interaction_severity_unclassified</x:v>
      </x:c>
      <x:c r="C472" s="37" t="str">
        <x:v>Possible named interaction with rifampicin requires clinical severity review.</x:v>
      </x:c>
      <x:c r="D472" s="37" t="str">
        <x:v>https://drug.fda.moph.go.th/media.php?id=810411685197258752&amp;name=SMPC_Metformin_Film-coated Tablet.pdf</x:v>
      </x:c>
      <x:c r="E472" s="39" t="str">
        <x:v>Open</x:v>
      </x:c>
    </x:row>
    <x:row r="473">
      <x:c r="A473" s="31" t="str">
        <x:v>metformin</x:v>
      </x:c>
      <x:c r="B473" s="31" t="str">
        <x:v>interaction_severity_unclassified</x:v>
      </x:c>
      <x:c r="C473" s="37" t="str">
        <x:v>Possible named interaction with verapamil requires clinical severity review.</x:v>
      </x:c>
      <x:c r="D473" s="37" t="str">
        <x:v>https://drug.fda.moph.go.th/media.php?id=810411685197258752&amp;name=SMPC_Metformin_Film-coated Tablet.pdf</x:v>
      </x:c>
      <x:c r="E473" s="39" t="str">
        <x:v>Open</x:v>
      </x:c>
    </x:row>
    <x:row r="474">
      <x:c r="A474" s="31" t="str">
        <x:v>insulin</x:v>
      </x:c>
      <x:c r="B474" s="31" t="str">
        <x:v>interaction_severity_unclassified</x:v>
      </x:c>
      <x:c r="C474" s="37" t="str">
        <x:v>Possible named interaction with metformin requires clinical severity review.</x:v>
      </x:c>
      <x:c r="D474" s="37" t="str">
        <x:v>https://drug.fda.moph.go.th/media.php?id=810411685197258752&amp;name=SMPC_Metformin_Film-coated Tablet.pdf</x:v>
      </x:c>
      <x:c r="E474" s="39" t="str">
        <x:v>Open</x:v>
      </x:c>
    </x:row>
    <x:row r="475">
      <x:c r="A475" s="31" t="str">
        <x:v>ketotifen</x:v>
      </x:c>
      <x:c r="B475" s="31" t="str">
        <x:v>interaction_severity_unclassified</x:v>
      </x:c>
      <x:c r="C475" s="37" t="str">
        <x:v>Possible named interaction with metformin requires clinical severity review.</x:v>
      </x:c>
      <x:c r="D475" s="37" t="str">
        <x:v>https://drug.fda.moph.go.th/media.php?id=810411685197258752&amp;name=SMPC_Metformin_Film-coated Tablet.pdf</x:v>
      </x:c>
      <x:c r="E475" s="39" t="str">
        <x:v>Open</x:v>
      </x:c>
    </x:row>
    <x:row r="476">
      <x:c r="A476" s="31" t="str">
        <x:v>atropine</x:v>
      </x:c>
      <x:c r="B476" s="31" t="str">
        <x:v>interaction_severity_unclassified</x:v>
      </x:c>
      <x:c r="C476" s="37" t="str">
        <x:v>Possible named interaction with methocarbamol requires clinical severity review.</x:v>
      </x:c>
      <x:c r="D476" s="37" t="str">
        <x:v>https://drug.fda.moph.go.th/media.php?id=810412334496489472&amp;name=SMPC_Methocarbamol_Film-coated Tablet.pdf</x:v>
      </x:c>
      <x:c r="E476" s="39" t="str">
        <x:v>Open</x:v>
      </x:c>
    </x:row>
    <x:row r="477">
      <x:c r="A477" s="31" t="str">
        <x:v>isoniazid</x:v>
      </x:c>
      <x:c r="B477" s="31" t="str">
        <x:v>interaction_severity_unclassified</x:v>
      </x:c>
      <x:c r="C477" s="37" t="str">
        <x:v>Possible named interaction with methylprednisolone requires clinical severity review.</x:v>
      </x:c>
      <x:c r="D477" s="37" t="str">
        <x:v>https://drug.fda.moph.go.th/media.php?id=810412748335882240&amp;name=SMPC_Methylprednisolone_Powders for solutions for injections or infusions.pdf</x:v>
      </x:c>
      <x:c r="E477" s="39" t="str">
        <x:v>Open</x:v>
      </x:c>
    </x:row>
    <x:row r="478">
      <x:c r="A478" s="31" t="str">
        <x:v>clarithromycin</x:v>
      </x:c>
      <x:c r="B478" s="31" t="str">
        <x:v>interaction_severity_unclassified</x:v>
      </x:c>
      <x:c r="C478" s="37" t="str">
        <x:v>Possible named interaction with methylprednisolone requires clinical severity review.</x:v>
      </x:c>
      <x:c r="D478" s="37" t="str">
        <x:v>https://drug.fda.moph.go.th/media.php?id=810412748335882240&amp;name=SMPC_Methylprednisolone_Powders for solutions for injections or infusions.pdf</x:v>
      </x:c>
      <x:c r="E478" s="39" t="str">
        <x:v>Open</x:v>
      </x:c>
    </x:row>
    <x:row r="479">
      <x:c r="A479" s="31" t="str">
        <x:v>diltiazem</x:v>
      </x:c>
      <x:c r="B479" s="31" t="str">
        <x:v>interaction_severity_unclassified</x:v>
      </x:c>
      <x:c r="C479" s="37" t="str">
        <x:v>Possible named interaction with methylprednisolone requires clinical severity review.</x:v>
      </x:c>
      <x:c r="D479" s="37" t="str">
        <x:v>https://drug.fda.moph.go.th/media.php?id=810412748335882240&amp;name=SMPC_Methylprednisolone_Powders for solutions for injections or infusions.pdf</x:v>
      </x:c>
      <x:c r="E479" s="39" t="str">
        <x:v>Open</x:v>
      </x:c>
    </x:row>
    <x:row r="480">
      <x:c r="A480" s="31" t="str">
        <x:v>erythromycin</x:v>
      </x:c>
      <x:c r="B480" s="31" t="str">
        <x:v>interaction_severity_unclassified</x:v>
      </x:c>
      <x:c r="C480" s="37" t="str">
        <x:v>Possible named interaction with methylprednisolone requires clinical severity review.</x:v>
      </x:c>
      <x:c r="D480" s="37" t="str">
        <x:v>https://drug.fda.moph.go.th/media.php?id=810412748335882240&amp;name=SMPC_Methylprednisolone_Powders for solutions for injections or infusions.pdf</x:v>
      </x:c>
      <x:c r="E480" s="39" t="str">
        <x:v>Open</x:v>
      </x:c>
    </x:row>
    <x:row r="481">
      <x:c r="A481" s="31" t="str">
        <x:v>isoniazid</x:v>
      </x:c>
      <x:c r="B481" s="31" t="str">
        <x:v>interaction_severity_unclassified</x:v>
      </x:c>
      <x:c r="C481" s="37" t="str">
        <x:v>Possible named interaction with methylprednisolone requires clinical severity review.</x:v>
      </x:c>
      <x:c r="D481" s="37" t="str">
        <x:v>https://drug.fda.moph.go.th/media.php?id=810412748335882240&amp;name=SMPC_Methylprednisolone_Powders for solutions for injections or infusions.pdf</x:v>
      </x:c>
      <x:c r="E481" s="39" t="str">
        <x:v>Open</x:v>
      </x:c>
    </x:row>
    <x:row r="482">
      <x:c r="A482" s="31" t="str">
        <x:v>itraconazole</x:v>
      </x:c>
      <x:c r="B482" s="31" t="str">
        <x:v>interaction_severity_unclassified</x:v>
      </x:c>
      <x:c r="C482" s="37" t="str">
        <x:v>Possible named interaction with methylprednisolone requires clinical severity review.</x:v>
      </x:c>
      <x:c r="D482" s="37" t="str">
        <x:v>https://drug.fda.moph.go.th/media.php?id=810412748335882240&amp;name=SMPC_Methylprednisolone_Powders for solutions for injections or infusions.pdf</x:v>
      </x:c>
      <x:c r="E482" s="39" t="str">
        <x:v>Open</x:v>
      </x:c>
    </x:row>
    <x:row r="483">
      <x:c r="A483" s="31" t="str">
        <x:v>ketoconazole</x:v>
      </x:c>
      <x:c r="B483" s="31" t="str">
        <x:v>interaction_severity_unclassified</x:v>
      </x:c>
      <x:c r="C483" s="37" t="str">
        <x:v>Possible named interaction with methylprednisolone requires clinical severity review.</x:v>
      </x:c>
      <x:c r="D483" s="37" t="str">
        <x:v>https://drug.fda.moph.go.th/media.php?id=810412748335882240&amp;name=SMPC_Methylprednisolone_Powders for solutions for injections or infusions.pdf</x:v>
      </x:c>
      <x:c r="E483" s="39" t="str">
        <x:v>Open</x:v>
      </x:c>
    </x:row>
    <x:row r="484">
      <x:c r="A484" s="31" t="str">
        <x:v>bromocriptine</x:v>
      </x:c>
      <x:c r="B484" s="31" t="str">
        <x:v>interaction_severity_unclassified</x:v>
      </x:c>
      <x:c r="C484" s="37" t="str">
        <x:v>Possible named interaction with metoclopramide requires clinical severity review.</x:v>
      </x:c>
      <x:c r="D484" s="37" t="str">
        <x:v>https://drug.fda.moph.go.th/media.php?id=810415338977107968&amp;name=SMPC_Metoclopramide_solution for infusion.pdf</x:v>
      </x:c>
      <x:c r="E484" s="39" t="str">
        <x:v>Open</x:v>
      </x:c>
    </x:row>
    <x:row r="485">
      <x:c r="A485" s="31" t="str">
        <x:v>clonidine</x:v>
      </x:c>
      <x:c r="B485" s="31" t="str">
        <x:v>interaction_severity_unclassified</x:v>
      </x:c>
      <x:c r="C485" s="37" t="str">
        <x:v>Possible named interaction with metoclopramide requires clinical severity review.</x:v>
      </x:c>
      <x:c r="D485" s="37" t="str">
        <x:v>https://drug.fda.moph.go.th/media.php?id=810415338977107968&amp;name=SMPC_Metoclopramide_solution for infusion.pdf</x:v>
      </x:c>
      <x:c r="E485" s="39" t="str">
        <x:v>Open</x:v>
      </x:c>
    </x:row>
    <x:row r="486">
      <x:c r="A486" s="31" t="str">
        <x:v>metoclopramide</x:v>
      </x:c>
      <x:c r="B486" s="31" t="str">
        <x:v>interaction_severity_unclassified</x:v>
      </x:c>
      <x:c r="C486" s="37" t="str">
        <x:v>Possible named interaction with paracetamol requires clinical severity review.</x:v>
      </x:c>
      <x:c r="D486" s="37" t="str">
        <x:v>https://drug.fda.moph.go.th/media.php?id=810415338977107968&amp;name=SMPC_Metoclopramide_solution for infusion.pdf</x:v>
      </x:c>
      <x:c r="E486" s="39" t="str">
        <x:v>Open</x:v>
      </x:c>
    </x:row>
    <x:row r="487">
      <x:c r="A487" s="31" t="str">
        <x:v>disulfiram</x:v>
      </x:c>
      <x:c r="B487" s="31" t="str">
        <x:v>interaction_severity_unclassified</x:v>
      </x:c>
      <x:c r="C487" s="37" t="str">
        <x:v>Possible named interaction with metronidazole requires clinical severity review.</x:v>
      </x:c>
      <x:c r="D487" s="37" t="str">
        <x:v>https://drug.fda.moph.go.th/media.php?id=810416555195244544&amp;name=SMPC_Metronidazole_Tablets.pdf</x:v>
      </x:c>
      <x:c r="E487" s="39" t="str">
        <x:v>Open</x:v>
      </x:c>
    </x:row>
    <x:row r="488">
      <x:c r="A488" s="31" t="str">
        <x:v>fluorouracil</x:v>
      </x:c>
      <x:c r="B488" s="31" t="str">
        <x:v>interaction_severity_unclassified</x:v>
      </x:c>
      <x:c r="C488" s="37" t="str">
        <x:v>Possible named interaction with metronidazole requires clinical severity review.</x:v>
      </x:c>
      <x:c r="D488" s="37" t="str">
        <x:v>https://drug.fda.moph.go.th/media.php?id=810416555195244544&amp;name=SMPC_Metronidazole_Tablets.pdf</x:v>
      </x:c>
      <x:c r="E488" s="39" t="str">
        <x:v>Open</x:v>
      </x:c>
    </x:row>
    <x:row r="489">
      <x:c r="A489" s="31" t="str">
        <x:v>lithium</x:v>
      </x:c>
      <x:c r="B489" s="31" t="str">
        <x:v>interaction_severity_unclassified</x:v>
      </x:c>
      <x:c r="C489" s="37" t="str">
        <x:v>Possible named interaction with metronidazole requires clinical severity review.</x:v>
      </x:c>
      <x:c r="D489" s="37" t="str">
        <x:v>https://drug.fda.moph.go.th/media.php?id=810416555195244544&amp;name=SMPC_Metronidazole_Tablets.pdf</x:v>
      </x:c>
      <x:c r="E489" s="39" t="str">
        <x:v>Open</x:v>
      </x:c>
    </x:row>
    <x:row r="490">
      <x:c r="A490" s="31" t="str">
        <x:v>carbamazepine</x:v>
      </x:c>
      <x:c r="B490" s="31" t="str">
        <x:v>interaction_severity_unclassified</x:v>
      </x:c>
      <x:c r="C490" s="37" t="str">
        <x:v>Possible named interaction with metronidazole requires clinical severity review.</x:v>
      </x:c>
      <x:c r="D490" s="37" t="str">
        <x:v>https://drug.fda.moph.go.th/media.php?id=810416973254107136&amp;name=SMPC_Metronidazole_Solutions for injections or infusions.pdf</x:v>
      </x:c>
      <x:c r="E490" s="39" t="str">
        <x:v>Open</x:v>
      </x:c>
    </x:row>
    <x:row r="491">
      <x:c r="A491" s="31" t="str">
        <x:v>cholestyramine</x:v>
      </x:c>
      <x:c r="B491" s="31" t="str">
        <x:v>interaction_severity_unclassified</x:v>
      </x:c>
      <x:c r="C491" s="37" t="str">
        <x:v>Possible named interaction with metronidazole requires clinical severity review.</x:v>
      </x:c>
      <x:c r="D491" s="37" t="str">
        <x:v>https://drug.fda.moph.go.th/media.php?id=810416973254107136&amp;name=SMPC_Metronidazole_Solutions for injections or infusions.pdf</x:v>
      </x:c>
      <x:c r="E491" s="39" t="str">
        <x:v>Open</x:v>
      </x:c>
    </x:row>
    <x:row r="492">
      <x:c r="A492" s="31" t="str">
        <x:v>cimetidine</x:v>
      </x:c>
      <x:c r="B492" s="31" t="str">
        <x:v>interaction_severity_unclassified</x:v>
      </x:c>
      <x:c r="C492" s="37" t="str">
        <x:v>Possible named interaction with metronidazole requires clinical severity review.</x:v>
      </x:c>
      <x:c r="D492" s="37" t="str">
        <x:v>https://drug.fda.moph.go.th/media.php?id=810416973254107136&amp;name=SMPC_Metronidazole_Solutions for injections or infusions.pdf</x:v>
      </x:c>
      <x:c r="E492" s="39" t="str">
        <x:v>Open</x:v>
      </x:c>
    </x:row>
    <x:row r="493">
      <x:c r="A493" s="31" t="str">
        <x:v>lithium</x:v>
      </x:c>
      <x:c r="B493" s="31" t="str">
        <x:v>interaction_severity_unclassified</x:v>
      </x:c>
      <x:c r="C493" s="37" t="str">
        <x:v>Possible named interaction with metronidazole requires clinical severity review.</x:v>
      </x:c>
      <x:c r="D493" s="37" t="str">
        <x:v>https://drug.fda.moph.go.th/media.php?id=810416973254107136&amp;name=SMPC_Metronidazole_Solutions for injections or infusions.pdf</x:v>
      </x:c>
      <x:c r="E493" s="39" t="str">
        <x:v>Open</x:v>
      </x:c>
    </x:row>
    <x:row r="494">
      <x:c r="A494" s="31" t="str">
        <x:v>carbamazepine</x:v>
      </x:c>
      <x:c r="B494" s="31" t="str">
        <x:v>interaction_severity_unclassified</x:v>
      </x:c>
      <x:c r="C494" s="37" t="str">
        <x:v>Possible named interaction with mianserin requires clinical severity review.</x:v>
      </x:c>
      <x:c r="D494" s="37" t="str">
        <x:v>https://drug.fda.moph.go.th/media.php?id=810417450431684608&amp;name=SMPC_Mianserin_Tablets.pdf</x:v>
      </x:c>
      <x:c r="E494" s="39" t="str">
        <x:v>Open</x:v>
      </x:c>
    </x:row>
    <x:row r="495">
      <x:c r="A495" s="31" t="str">
        <x:v>clonidine</x:v>
      </x:c>
      <x:c r="B495" s="31" t="str">
        <x:v>interaction_severity_unclassified</x:v>
      </x:c>
      <x:c r="C495" s="37" t="str">
        <x:v>Possible named interaction with mianserin requires clinical severity review.</x:v>
      </x:c>
      <x:c r="D495" s="37" t="str">
        <x:v>https://drug.fda.moph.go.th/media.php?id=810417450431684608&amp;name=SMPC_Mianserin_Tablets.pdf</x:v>
      </x:c>
      <x:c r="E495" s="39" t="str">
        <x:v>Open</x:v>
      </x:c>
    </x:row>
    <x:row r="496">
      <x:c r="A496" s="31" t="str">
        <x:v>mianserin</x:v>
      </x:c>
      <x:c r="B496" s="31" t="str">
        <x:v>interaction_severity_unclassified</x:v>
      </x:c>
      <x:c r="C496" s="37" t="str">
        <x:v>Possible named interaction with propranolol requires clinical severity review.</x:v>
      </x:c>
      <x:c r="D496" s="37" t="str">
        <x:v>https://drug.fda.moph.go.th/media.php?id=810417450431684608&amp;name=SMPC_Mianserin_Tablets.pdf</x:v>
      </x:c>
      <x:c r="E496" s="39" t="str">
        <x:v>Open</x:v>
      </x:c>
    </x:row>
    <x:row r="497">
      <x:c r="A497" s="31" t="str">
        <x:v>miconazole</x:v>
      </x:c>
      <x:c r="B497" s="31" t="str">
        <x:v>interaction_severity_unclassified</x:v>
      </x:c>
      <x:c r="C497" s="37" t="str">
        <x:v>Possible named interaction with pimozide requires clinical severity review.</x:v>
      </x:c>
      <x:c r="D497" s="37" t="str">
        <x:v>https://drug.fda.moph.go.th/media.php?id=810417927433101312&amp;name=SMPC_Miconazole_Oral gel.pdf</x:v>
      </x:c>
      <x:c r="E497" s="39" t="str">
        <x:v>Open</x:v>
      </x:c>
    </x:row>
    <x:row r="498">
      <x:c r="A498" s="31" t="str">
        <x:v>miconazole</x:v>
      </x:c>
      <x:c r="B498" s="31" t="str">
        <x:v>interaction_severity_unclassified</x:v>
      </x:c>
      <x:c r="C498" s="37" t="str">
        <x:v>Possible named interaction with simvastatin requires clinical severity review.</x:v>
      </x:c>
      <x:c r="D498" s="37" t="str">
        <x:v>https://drug.fda.moph.go.th/media.php?id=810417927433101312&amp;name=SMPC_Miconazole_Oral gel.pdf</x:v>
      </x:c>
      <x:c r="E498" s="39" t="str">
        <x:v>Open</x:v>
      </x:c>
    </x:row>
    <x:row r="499">
      <x:c r="A499" s="31" t="str">
        <x:v>miconazole</x:v>
      </x:c>
      <x:c r="B499" s="31" t="str">
        <x:v>interaction_severity_unclassified</x:v>
      </x:c>
      <x:c r="C499" s="37" t="str">
        <x:v>Possible named interaction with pimozide requires clinical severity review.</x:v>
      </x:c>
      <x:c r="D499" s="37" t="str">
        <x:v>https://drug.fda.moph.go.th/media.php?id=810417927433101312&amp;name=SMPC_Miconazole_Oral gel.pdf</x:v>
      </x:c>
      <x:c r="E499" s="39" t="str">
        <x:v>Open</x:v>
      </x:c>
    </x:row>
    <x:row r="500">
      <x:c r="A500" s="31" t="str">
        <x:v>miconazole</x:v>
      </x:c>
      <x:c r="B500" s="31" t="str">
        <x:v>interaction_severity_unclassified</x:v>
      </x:c>
      <x:c r="C500" s="37" t="str">
        <x:v>Possible named interaction with simvastatin requires clinical severity review.</x:v>
      </x:c>
      <x:c r="D500" s="37" t="str">
        <x:v>https://drug.fda.moph.go.th/media.php?id=810417927433101312&amp;name=SMPC_Miconazole_Oral gel.pdf</x:v>
      </x:c>
      <x:c r="E500" s="39" t="str">
        <x:v>Open</x:v>
      </x:c>
    </x:row>
    <x:row r="501">
      <x:c r="A501" s="31" t="str">
        <x:v>furosemide</x:v>
      </x:c>
      <x:c r="B501" s="31" t="str">
        <x:v>interaction_severity_unclassified</x:v>
      </x:c>
      <x:c r="C501" s="37" t="str">
        <x:v>Possible named interaction with naproxen requires clinical severity review.</x:v>
      </x:c>
      <x:c r="D501" s="37" t="str">
        <x:v>https://drug.fda.moph.go.th/media.php?id=810422587254513664&amp;name=SMPC_Naproxen_Tablets.pdf</x:v>
      </x:c>
      <x:c r="E501" s="39" t="str">
        <x:v>Open</x:v>
      </x:c>
    </x:row>
    <x:row r="502">
      <x:c r="A502" s="31" t="str">
        <x:v>methotrexate</x:v>
      </x:c>
      <x:c r="B502" s="31" t="str">
        <x:v>interaction_severity_unclassified</x:v>
      </x:c>
      <x:c r="C502" s="37" t="str">
        <x:v>Possible named interaction with naproxen requires clinical severity review.</x:v>
      </x:c>
      <x:c r="D502" s="37" t="str">
        <x:v>https://drug.fda.moph.go.th/media.php?id=810422587254513664&amp;name=SMPC_Naproxen_Tablets.pdf</x:v>
      </x:c>
      <x:c r="E502" s="39" t="str">
        <x:v>Open</x:v>
      </x:c>
    </x:row>
    <x:row r="503">
      <x:c r="A503" s="31" t="str">
        <x:v>lithium</x:v>
      </x:c>
      <x:c r="B503" s="31" t="str">
        <x:v>interaction_severity_unclassified</x:v>
      </x:c>
      <x:c r="C503" s="37" t="str">
        <x:v>Possible named interaction with naproxen requires clinical severity review.</x:v>
      </x:c>
      <x:c r="D503" s="37" t="str">
        <x:v>https://drug.fda.moph.go.th/media.php?id=810422587254513664&amp;name=SMPC_Naproxen_Tablets.pdf</x:v>
      </x:c>
      <x:c r="E503" s="39" t="str">
        <x:v>Open</x:v>
      </x:c>
    </x:row>
    <x:row r="504">
      <x:c r="A504" s="31" t="str">
        <x:v>ibuprofen</x:v>
      </x:c>
      <x:c r="B504" s="31" t="str">
        <x:v>interaction_severity_unclassified</x:v>
      </x:c>
      <x:c r="C504" s="37" t="str">
        <x:v>Possible named interaction with naproxen requires clinical severity review.</x:v>
      </x:c>
      <x:c r="D504" s="37" t="str">
        <x:v>https://drug.fda.moph.go.th/media.php?id=810422587254513664&amp;name=SMPC_Naproxen_Tablets.pdf</x:v>
      </x:c>
      <x:c r="E504" s="39" t="str">
        <x:v>Open</x:v>
      </x:c>
    </x:row>
    <x:row r="505">
      <x:c r="A505" s="31" t="str">
        <x:v>naproxen</x:v>
      </x:c>
      <x:c r="B505" s="31" t="str">
        <x:v>interaction_severity_unclassified</x:v>
      </x:c>
      <x:c r="C505" s="37" t="str">
        <x:v>Possible named interaction with zidovudine requires clinical severity review.</x:v>
      </x:c>
      <x:c r="D505" s="37" t="str">
        <x:v>https://drug.fda.moph.go.th/media.php?id=810422587254513664&amp;name=SMPC_Naproxen_Tablets.pdf</x:v>
      </x:c>
      <x:c r="E505" s="39" t="str">
        <x:v>Open</x:v>
      </x:c>
    </x:row>
    <x:row r="506">
      <x:c r="A506" s="31" t="str">
        <x:v>cimetidine</x:v>
      </x:c>
      <x:c r="B506" s="31" t="str">
        <x:v>interaction_severity_unclassified</x:v>
      </x:c>
      <x:c r="C506" s="37" t="str">
        <x:v>Possible named interaction with nimodipine requires clinical severity review.</x:v>
      </x:c>
      <x:c r="D506" s="37" t="str">
        <x:v>https://drug.fda.moph.go.th/media.php?id=810423093272125440&amp;name=SMPC_Nimodipine_Solution for Infusion.pdf</x:v>
      </x:c>
      <x:c r="E506" s="39" t="str">
        <x:v>Open</x:v>
      </x:c>
    </x:row>
    <x:row r="507">
      <x:c r="A507" s="31" t="str">
        <x:v>erythromycin</x:v>
      </x:c>
      <x:c r="B507" s="31" t="str">
        <x:v>interaction_severity_unclassified</x:v>
      </x:c>
      <x:c r="C507" s="37" t="str">
        <x:v>Possible named interaction with nimodipine requires clinical severity review.</x:v>
      </x:c>
      <x:c r="D507" s="37" t="str">
        <x:v>https://drug.fda.moph.go.th/media.php?id=810423093272125440&amp;name=SMPC_Nimodipine_Solution for Infusion.pdf</x:v>
      </x:c>
      <x:c r="E507" s="39" t="str">
        <x:v>Open</x:v>
      </x:c>
    </x:row>
    <x:row r="508">
      <x:c r="A508" s="31" t="str">
        <x:v>fluoxetine</x:v>
      </x:c>
      <x:c r="B508" s="31" t="str">
        <x:v>interaction_severity_unclassified</x:v>
      </x:c>
      <x:c r="C508" s="37" t="str">
        <x:v>Possible named interaction with nimodipine requires clinical severity review.</x:v>
      </x:c>
      <x:c r="D508" s="37" t="str">
        <x:v>https://drug.fda.moph.go.th/media.php?id=810423093272125440&amp;name=SMPC_Nimodipine_Solution for Infusion.pdf</x:v>
      </x:c>
      <x:c r="E508" s="39" t="str">
        <x:v>Open</x:v>
      </x:c>
    </x:row>
    <x:row r="509">
      <x:c r="A509" s="31" t="str">
        <x:v>ketoconazole</x:v>
      </x:c>
      <x:c r="B509" s="31" t="str">
        <x:v>interaction_severity_unclassified</x:v>
      </x:c>
      <x:c r="C509" s="37" t="str">
        <x:v>Possible named interaction with nimodipine requires clinical severity review.</x:v>
      </x:c>
      <x:c r="D509" s="37" t="str">
        <x:v>https://drug.fda.moph.go.th/media.php?id=810423093272125440&amp;name=SMPC_Nimodipine_Solution for Infusion.pdf</x:v>
      </x:c>
      <x:c r="E509" s="39" t="str">
        <x:v>Open</x:v>
      </x:c>
    </x:row>
    <x:row r="510">
      <x:c r="A510" s="31" t="str">
        <x:v>fluoxetine</x:v>
      </x:c>
      <x:c r="B510" s="31" t="str">
        <x:v>interaction_severity_unclassified</x:v>
      </x:c>
      <x:c r="C510" s="37" t="str">
        <x:v>Possible named interaction with nimodipine requires clinical severity review.</x:v>
      </x:c>
      <x:c r="D510" s="37" t="str">
        <x:v>https://drug.fda.moph.go.th/media.php?id=810423093272125440&amp;name=SMPC_Nimodipine_Solution for Infusion.pdf</x:v>
      </x:c>
      <x:c r="E510" s="39" t="str">
        <x:v>Open</x:v>
      </x:c>
    </x:row>
    <x:row r="511">
      <x:c r="A511" s="31" t="str">
        <x:v>nimodipine</x:v>
      </x:c>
      <x:c r="B511" s="31" t="str">
        <x:v>interaction_severity_unclassified</x:v>
      </x:c>
      <x:c r="C511" s="37" t="str">
        <x:v>Possible named interaction with nortriptyline requires clinical severity review.</x:v>
      </x:c>
      <x:c r="D511" s="37" t="str">
        <x:v>https://drug.fda.moph.go.th/media.php?id=810423093272125440&amp;name=SMPC_Nimodipine_Solution for Infusion.pdf</x:v>
      </x:c>
      <x:c r="E511" s="39" t="str">
        <x:v>Open</x:v>
      </x:c>
    </x:row>
    <x:row r="512">
      <x:c r="A512" s="31" t="str">
        <x:v>erythromycin</x:v>
      </x:c>
      <x:c r="B512" s="31" t="str">
        <x:v>interaction_severity_unclassified</x:v>
      </x:c>
      <x:c r="C512" s="37" t="str">
        <x:v>Possible named interaction with nimodipine requires clinical severity review.</x:v>
      </x:c>
      <x:c r="D512" s="37" t="str">
        <x:v>https://drug.fda.moph.go.th/media.php?id=810423093272125440&amp;name=SMPC_Nimodipine_Solution for Infusion.pdf</x:v>
      </x:c>
      <x:c r="E512" s="39" t="str">
        <x:v>Open</x:v>
      </x:c>
    </x:row>
    <x:row r="513">
      <x:c r="A513" s="31" t="str">
        <x:v>furosemide</x:v>
      </x:c>
      <x:c r="B513" s="31" t="str">
        <x:v>interaction_severity_unclassified</x:v>
      </x:c>
      <x:c r="C513" s="37" t="str">
        <x:v>Possible named interaction with nimodipine requires clinical severity review.</x:v>
      </x:c>
      <x:c r="D513" s="37" t="str">
        <x:v>https://drug.fda.moph.go.th/media.php?id=810423093272125440&amp;name=SMPC_Nimodipine_Solution for Infusion.pdf</x:v>
      </x:c>
      <x:c r="E513" s="39" t="str">
        <x:v>Open</x:v>
      </x:c>
    </x:row>
    <x:row r="514">
      <x:c r="A514" s="31" t="str">
        <x:v>ketoconazole</x:v>
      </x:c>
      <x:c r="B514" s="31" t="str">
        <x:v>interaction_severity_unclassified</x:v>
      </x:c>
      <x:c r="C514" s="37" t="str">
        <x:v>Possible named interaction with nimodipine requires clinical severity review.</x:v>
      </x:c>
      <x:c r="D514" s="37" t="str">
        <x:v>https://drug.fda.moph.go.th/media.php?id=810423093272125440&amp;name=SMPC_Nimodipine_Solution for Infusion.pdf</x:v>
      </x:c>
      <x:c r="E514" s="39" t="str">
        <x:v>Open</x:v>
      </x:c>
    </x:row>
    <x:row r="515">
      <x:c r="A515" s="31" t="str">
        <x:v>methyldopa</x:v>
      </x:c>
      <x:c r="B515" s="31" t="str">
        <x:v>interaction_severity_unclassified</x:v>
      </x:c>
      <x:c r="C515" s="37" t="str">
        <x:v>Possible named interaction with nimodipine requires clinical severity review.</x:v>
      </x:c>
      <x:c r="D515" s="37" t="str">
        <x:v>https://drug.fda.moph.go.th/media.php?id=810423093272125440&amp;name=SMPC_Nimodipine_Solution for Infusion.pdf</x:v>
      </x:c>
      <x:c r="E515" s="39" t="str">
        <x:v>Open</x:v>
      </x:c>
    </x:row>
    <x:row r="516">
      <x:c r="A516" s="31" t="str">
        <x:v>nimodipine</x:v>
      </x:c>
      <x:c r="B516" s="31" t="str">
        <x:v>interaction_severity_unclassified</x:v>
      </x:c>
      <x:c r="C516" s="37" t="str">
        <x:v>Possible named interaction with zidovudine requires clinical severity review.</x:v>
      </x:c>
      <x:c r="D516" s="37" t="str">
        <x:v>https://drug.fda.moph.go.th/media.php?id=810423093272125440&amp;name=SMPC_Nimodipine_Solution for Infusion.pdf</x:v>
      </x:c>
      <x:c r="E516" s="39" t="str">
        <x:v>Open</x:v>
      </x:c>
    </x:row>
    <x:row r="517">
      <x:c r="A517" s="31" t="str">
        <x:v>cimetidine</x:v>
      </x:c>
      <x:c r="B517" s="31" t="str">
        <x:v>interaction_severity_unclassified</x:v>
      </x:c>
      <x:c r="C517" s="37" t="str">
        <x:v>Possible named interaction with nimodipine requires clinical severity review.</x:v>
      </x:c>
      <x:c r="D517" s="37" t="str">
        <x:v>https://drug.fda.moph.go.th/media.php?id=810423093272125440&amp;name=SMPC_Nimodipine_Solution for Infusion.pdf</x:v>
      </x:c>
      <x:c r="E517" s="39" t="str">
        <x:v>Open</x:v>
      </x:c>
    </x:row>
    <x:row r="518">
      <x:c r="A518" s="31" t="str">
        <x:v>digoxin</x:v>
      </x:c>
      <x:c r="B518" s="31" t="str">
        <x:v>interaction_severity_unclassified</x:v>
      </x:c>
      <x:c r="C518" s="37" t="str">
        <x:v>Possible named interaction with nimodipine requires clinical severity review.</x:v>
      </x:c>
      <x:c r="D518" s="37" t="str">
        <x:v>https://drug.fda.moph.go.th/media.php?id=810423093272125440&amp;name=SMPC_Nimodipine_Solution for Infusion.pdf</x:v>
      </x:c>
      <x:c r="E518" s="39" t="str">
        <x:v>Open</x:v>
      </x:c>
    </x:row>
    <x:row r="519">
      <x:c r="A519" s="31" t="str">
        <x:v>haloperidol</x:v>
      </x:c>
      <x:c r="B519" s="31" t="str">
        <x:v>interaction_severity_unclassified</x:v>
      </x:c>
      <x:c r="C519" s="37" t="str">
        <x:v>Possible named interaction with nimodipine requires clinical severity review.</x:v>
      </x:c>
      <x:c r="D519" s="37" t="str">
        <x:v>https://drug.fda.moph.go.th/media.php?id=810423093272125440&amp;name=SMPC_Nimodipine_Solution for Infusion.pdf</x:v>
      </x:c>
      <x:c r="E519" s="39" t="str">
        <x:v>Open</x:v>
      </x:c>
    </x:row>
    <x:row r="520">
      <x:c r="A520" s="31" t="str">
        <x:v>nimodipine</x:v>
      </x:c>
      <x:c r="B520" s="31" t="str">
        <x:v>interaction_severity_unclassified</x:v>
      </x:c>
      <x:c r="C520" s="37" t="str">
        <x:v>Possible named interaction with ranitidine requires clinical severity review.</x:v>
      </x:c>
      <x:c r="D520" s="37" t="str">
        <x:v>https://drug.fda.moph.go.th/media.php?id=810423093272125440&amp;name=SMPC_Nimodipine_Solution for Infusion.pdf</x:v>
      </x:c>
      <x:c r="E520" s="39" t="str">
        <x:v>Open</x:v>
      </x:c>
    </x:row>
    <x:row r="521">
      <x:c r="A521" s="31" t="str">
        <x:v>nimodipine</x:v>
      </x:c>
      <x:c r="B521" s="31" t="str">
        <x:v>interaction_severity_unclassified</x:v>
      </x:c>
      <x:c r="C521" s="37" t="str">
        <x:v>Possible named interaction with sodium_valproate requires clinical severity review.</x:v>
      </x:c>
      <x:c r="D521" s="37" t="str">
        <x:v>https://drug.fda.moph.go.th/media.php?id=810423093272125440&amp;name=SMPC_Nimodipine_Solution for Infusion.pdf</x:v>
      </x:c>
      <x:c r="E521" s="39" t="str">
        <x:v>Open</x:v>
      </x:c>
    </x:row>
    <x:row r="522">
      <x:c r="A522" s="31" t="str">
        <x:v>disulfiram</x:v>
      </x:c>
      <x:c r="B522" s="31" t="str">
        <x:v>interaction_severity_unclassified</x:v>
      </x:c>
      <x:c r="C522" s="37" t="str">
        <x:v>Possible named interaction with nortriptyline requires clinical severity review.</x:v>
      </x:c>
      <x:c r="D522" s="37" t="str">
        <x:v>https://drug.fda.moph.go.th/media.php?id=810424052261986304&amp;name=SMPC_Nortriptyline_Film-coated Tablet.pdf</x:v>
      </x:c>
      <x:c r="E522" s="39" t="str">
        <x:v>Open</x:v>
      </x:c>
    </x:row>
    <x:row r="523">
      <x:c r="A523" s="31" t="str">
        <x:v>nortriptyline</x:v>
      </x:c>
      <x:c r="B523" s="31" t="str">
        <x:v>interaction_severity_unclassified</x:v>
      </x:c>
      <x:c r="C523" s="37" t="str">
        <x:v>Possible named interaction with thioridazine requires clinical severity review.</x:v>
      </x:c>
      <x:c r="D523" s="37" t="str">
        <x:v>https://drug.fda.moph.go.th/media.php?id=810424052261986304&amp;name=SMPC_Nortriptyline_Film-coated Tablet.pdf</x:v>
      </x:c>
      <x:c r="E523" s="39" t="str">
        <x:v>Open</x:v>
      </x:c>
    </x:row>
    <x:row r="524">
      <x:c r="A524" s="31" t="str">
        <x:v>nortriptyline</x:v>
      </x:c>
      <x:c r="B524" s="31" t="str">
        <x:v>interaction_severity_unclassified</x:v>
      </x:c>
      <x:c r="C524" s="37" t="str">
        <x:v>Possible named interaction with tramadol requires clinical severity review.</x:v>
      </x:c>
      <x:c r="D524" s="37" t="str">
        <x:v>https://drug.fda.moph.go.th/media.php?id=810424052261986304&amp;name=SMPC_Nortriptyline_Film-coated Tablet.pdf</x:v>
      </x:c>
      <x:c r="E524" s="39" t="str">
        <x:v>Open</x:v>
      </x:c>
    </x:row>
    <x:row r="525">
      <x:c r="A525" s="31" t="str">
        <x:v>carbamazepine</x:v>
      </x:c>
      <x:c r="B525" s="31" t="str">
        <x:v>interaction_severity_unclassified</x:v>
      </x:c>
      <x:c r="C525" s="37" t="str">
        <x:v>Possible named interaction with nortriptyline requires clinical severity review.</x:v>
      </x:c>
      <x:c r="D525" s="37" t="str">
        <x:v>https://drug.fda.moph.go.th/media.php?id=810424052261986304&amp;name=SMPC_Nortriptyline_Film-coated Tablet.pdf</x:v>
      </x:c>
      <x:c r="E525" s="39" t="str">
        <x:v>Open</x:v>
      </x:c>
    </x:row>
    <x:row r="526">
      <x:c r="A526" s="31" t="str">
        <x:v>nortriptyline</x:v>
      </x:c>
      <x:c r="B526" s="31" t="str">
        <x:v>interaction_severity_unclassified</x:v>
      </x:c>
      <x:c r="C526" s="37" t="str">
        <x:v>Possible named interaction with rifampicin requires clinical severity review.</x:v>
      </x:c>
      <x:c r="D526" s="37" t="str">
        <x:v>https://drug.fda.moph.go.th/media.php?id=810424052261986304&amp;name=SMPC_Nortriptyline_Film-coated Tablet.pdf</x:v>
      </x:c>
      <x:c r="E526" s="39" t="str">
        <x:v>Open</x:v>
      </x:c>
    </x:row>
    <x:row r="527">
      <x:c r="A527" s="31" t="str">
        <x:v>itraconazole</x:v>
      </x:c>
      <x:c r="B527" s="31" t="str">
        <x:v>interaction_severity_unclassified</x:v>
      </x:c>
      <x:c r="C527" s="37" t="str">
        <x:v>Possible named interaction with nortriptyline requires clinical severity review.</x:v>
      </x:c>
      <x:c r="D527" s="37" t="str">
        <x:v>https://drug.fda.moph.go.th/media.php?id=810424052261986304&amp;name=SMPC_Nortriptyline_Film-coated Tablet.pdf</x:v>
      </x:c>
      <x:c r="E527" s="39" t="str">
        <x:v>Open</x:v>
      </x:c>
    </x:row>
    <x:row r="528">
      <x:c r="A528" s="31" t="str">
        <x:v>ketoconazole</x:v>
      </x:c>
      <x:c r="B528" s="31" t="str">
        <x:v>interaction_severity_unclassified</x:v>
      </x:c>
      <x:c r="C528" s="37" t="str">
        <x:v>Possible named interaction with nortriptyline requires clinical severity review.</x:v>
      </x:c>
      <x:c r="D528" s="37" t="str">
        <x:v>https://drug.fda.moph.go.th/media.php?id=810424052261986304&amp;name=SMPC_Nortriptyline_Film-coated Tablet.pdf</x:v>
      </x:c>
      <x:c r="E528" s="39" t="str">
        <x:v>Open</x:v>
      </x:c>
    </x:row>
    <x:row r="529">
      <x:c r="A529" s="31" t="str">
        <x:v>metronidazole</x:v>
      </x:c>
      <x:c r="B529" s="31" t="str">
        <x:v>interaction_severity_unclassified</x:v>
      </x:c>
      <x:c r="C529" s="37" t="str">
        <x:v>Possible named interaction with ofloxacin requires clinical severity review.</x:v>
      </x:c>
      <x:c r="D529" s="37" t="str">
        <x:v>https://drug.fda.moph.go.th/media.php?id=810425338315284480&amp;name=SMPC_Ofloxacin_Film-coated Tablet.pdf</x:v>
      </x:c>
      <x:c r="E529" s="39" t="str">
        <x:v>Open</x:v>
      </x:c>
    </x:row>
    <x:row r="530">
      <x:c r="A530" s="31" t="str">
        <x:v>ofloxacin</x:v>
      </x:c>
      <x:c r="B530" s="31" t="str">
        <x:v>interaction_severity_unclassified</x:v>
      </x:c>
      <x:c r="C530" s="37" t="str">
        <x:v>Possible named interaction with teicoplanin requires clinical severity review.</x:v>
      </x:c>
      <x:c r="D530" s="37" t="str">
        <x:v>https://drug.fda.moph.go.th/media.php?id=810425338315284480&amp;name=SMPC_Ofloxacin_Film-coated Tablet.pdf</x:v>
      </x:c>
      <x:c r="E530" s="39" t="str">
        <x:v>Open</x:v>
      </x:c>
    </x:row>
    <x:row r="531">
      <x:c r="A531" s="31" t="str">
        <x:v>ofloxacin</x:v>
      </x:c>
      <x:c r="B531" s="31" t="str">
        <x:v>interaction_severity_unclassified</x:v>
      </x:c>
      <x:c r="C531" s="37" t="str">
        <x:v>Possible named interaction with theophylline requires clinical severity review.</x:v>
      </x:c>
      <x:c r="D531" s="37" t="str">
        <x:v>https://drug.fda.moph.go.th/media.php?id=810425338315284480&amp;name=SMPC_Ofloxacin_Film-coated Tablet.pdf</x:v>
      </x:c>
      <x:c r="E531" s="39" t="str">
        <x:v>Open</x:v>
      </x:c>
    </x:row>
    <x:row r="532">
      <x:c r="A532" s="31" t="str">
        <x:v>ofloxacin</x:v>
      </x:c>
      <x:c r="B532" s="31" t="str">
        <x:v>interaction_severity_unclassified</x:v>
      </x:c>
      <x:c r="C532" s="37" t="str">
        <x:v>Possible named interaction with vancomycin requires clinical severity review.</x:v>
      </x:c>
      <x:c r="D532" s="37" t="str">
        <x:v>https://drug.fda.moph.go.th/media.php?id=810425338315284480&amp;name=SMPC_Ofloxacin_Film-coated Tablet.pdf</x:v>
      </x:c>
      <x:c r="E532" s="39" t="str">
        <x:v>Open</x:v>
      </x:c>
    </x:row>
    <x:row r="533">
      <x:c r="A533" s="31" t="str">
        <x:v>insulin</x:v>
      </x:c>
      <x:c r="B533" s="31" t="str">
        <x:v>interaction_severity_unclassified</x:v>
      </x:c>
      <x:c r="C533" s="37" t="str">
        <x:v>Possible named interaction with ofloxacin requires clinical severity review.</x:v>
      </x:c>
      <x:c r="D533" s="37" t="str">
        <x:v>https://drug.fda.moph.go.th/media.php?id=810425338315284480&amp;name=SMPC_Ofloxacin_Film-coated Tablet.pdf</x:v>
      </x:c>
      <x:c r="E533" s="39" t="str">
        <x:v>Open</x:v>
      </x:c>
    </x:row>
    <x:row r="534">
      <x:c r="A534" s="31" t="str">
        <x:v>cimetidine</x:v>
      </x:c>
      <x:c r="B534" s="31" t="str">
        <x:v>interaction_severity_unclassified</x:v>
      </x:c>
      <x:c r="C534" s="37" t="str">
        <x:v>Possible named interaction with ofloxacin requires clinical severity review.</x:v>
      </x:c>
      <x:c r="D534" s="37" t="str">
        <x:v>https://drug.fda.moph.go.th/media.php?id=810425338315284480&amp;name=SMPC_Ofloxacin_Film-coated Tablet.pdf</x:v>
      </x:c>
      <x:c r="E534" s="39" t="str">
        <x:v>Open</x:v>
      </x:c>
    </x:row>
    <x:row r="535">
      <x:c r="A535" s="31" t="str">
        <x:v>furosemide</x:v>
      </x:c>
      <x:c r="B535" s="31" t="str">
        <x:v>interaction_severity_unclassified</x:v>
      </x:c>
      <x:c r="C535" s="37" t="str">
        <x:v>Possible named interaction with ofloxacin requires clinical severity review.</x:v>
      </x:c>
      <x:c r="D535" s="37" t="str">
        <x:v>https://drug.fda.moph.go.th/media.php?id=810425338315284480&amp;name=SMPC_Ofloxacin_Film-coated Tablet.pdf</x:v>
      </x:c>
      <x:c r="E535" s="39" t="str">
        <x:v>Open</x:v>
      </x:c>
    </x:row>
    <x:row r="536">
      <x:c r="A536" s="31" t="str">
        <x:v>ofloxacin</x:v>
      </x:c>
      <x:c r="B536" s="31" t="str">
        <x:v>interaction_severity_unclassified</x:v>
      </x:c>
      <x:c r="C536" s="37" t="str">
        <x:v>Possible named interaction with theophylline requires clinical severity review.</x:v>
      </x:c>
      <x:c r="D536" s="37" t="str">
        <x:v>https://drug.fda.moph.go.th/media.php?id=810425338315284480&amp;name=SMPC_Ofloxacin_Film-coated Tablet.pdf</x:v>
      </x:c>
      <x:c r="E536" s="39" t="str">
        <x:v>Open</x:v>
      </x:c>
    </x:row>
    <x:row r="537">
      <x:c r="A537" s="31" t="str">
        <x:v>methotrexate</x:v>
      </x:c>
      <x:c r="B537" s="31" t="str">
        <x:v>interaction_severity_unclassified</x:v>
      </x:c>
      <x:c r="C537" s="37" t="str">
        <x:v>Possible named interaction with ofloxacin requires clinical severity review.</x:v>
      </x:c>
      <x:c r="D537" s="37" t="str">
        <x:v>https://drug.fda.moph.go.th/media.php?id=810425338315284480&amp;name=SMPC_Ofloxacin_Film-coated Tablet.pdf</x:v>
      </x:c>
      <x:c r="E537" s="39" t="str">
        <x:v>Open</x:v>
      </x:c>
    </x:row>
    <x:row r="538">
      <x:c r="A538" s="31" t="str">
        <x:v>ofloxacin</x:v>
      </x:c>
      <x:c r="B538" s="31" t="str">
        <x:v>interaction_severity_unclassified</x:v>
      </x:c>
      <x:c r="C538" s="37" t="str">
        <x:v>Possible named interaction with theophylline requires clinical severity review.</x:v>
      </x:c>
      <x:c r="D538" s="37" t="str">
        <x:v>https://drug.fda.moph.go.th/media.php?id=810425338315284480&amp;name=SMPC_Ofloxacin_Film-coated Tablet.pdf</x:v>
      </x:c>
      <x:c r="E538" s="39" t="str">
        <x:v>Open</x:v>
      </x:c>
    </x:row>
    <x:row r="539">
      <x:c r="A539" s="31" t="str">
        <x:v>ofloxacin</x:v>
      </x:c>
      <x:c r="B539" s="31" t="str">
        <x:v>interaction_severity_unclassified</x:v>
      </x:c>
      <x:c r="C539" s="37" t="str">
        <x:v>Possible named interaction with theophylline requires clinical severity review.</x:v>
      </x:c>
      <x:c r="D539" s="37" t="str">
        <x:v>https://drug.fda.moph.go.th/media.php?id=810425581312286720&amp;name=SMPC_Ofloxacin_Tablet.pdf</x:v>
      </x:c>
      <x:c r="E539" s="39" t="str">
        <x:v>Open</x:v>
      </x:c>
    </x:row>
    <x:row r="540">
      <x:c r="A540" s="31" t="str">
        <x:v>insulin</x:v>
      </x:c>
      <x:c r="B540" s="31" t="str">
        <x:v>interaction_severity_unclassified</x:v>
      </x:c>
      <x:c r="C540" s="37" t="str">
        <x:v>Possible named interaction with ofloxacin requires clinical severity review.</x:v>
      </x:c>
      <x:c r="D540" s="37" t="str">
        <x:v>https://drug.fda.moph.go.th/media.php?id=810425581312286720&amp;name=SMPC_Ofloxacin_Tablet.pdf</x:v>
      </x:c>
      <x:c r="E540" s="39" t="str">
        <x:v>Open</x:v>
      </x:c>
    </x:row>
    <x:row r="541">
      <x:c r="A541" s="31" t="str">
        <x:v>ofloxacin</x:v>
      </x:c>
      <x:c r="B541" s="31" t="str">
        <x:v>interaction_severity_unclassified</x:v>
      </x:c>
      <x:c r="C541" s="37" t="str">
        <x:v>Possible named interaction with theophylline requires clinical severity review.</x:v>
      </x:c>
      <x:c r="D541" s="37" t="str">
        <x:v>https://drug.fda.moph.go.th/media.php?id=810425581312286720&amp;name=SMPC_Ofloxacin_Tablet.pdf</x:v>
      </x:c>
      <x:c r="E541" s="39" t="str">
        <x:v>Open</x:v>
      </x:c>
    </x:row>
    <x:row r="542">
      <x:c r="A542" s="31" t="str">
        <x:v>ofloxacin</x:v>
      </x:c>
      <x:c r="B542" s="31" t="str">
        <x:v>interaction_severity_unclassified</x:v>
      </x:c>
      <x:c r="C542" s="37" t="str">
        <x:v>Possible named interaction with theophylline requires clinical severity review.</x:v>
      </x:c>
      <x:c r="D542" s="37" t="str">
        <x:v>https://drug.fda.moph.go.th/media.php?id=810425581312286720&amp;name=SMPC_Ofloxacin_Tablet.pdf</x:v>
      </x:c>
      <x:c r="E542" s="39" t="str">
        <x:v>Open</x:v>
      </x:c>
    </x:row>
    <x:row r="543">
      <x:c r="A543" s="31" t="str">
        <x:v>cyanocobalamin</x:v>
      </x:c>
      <x:c r="B543" s="31" t="str">
        <x:v>interaction_severity_unclassified</x:v>
      </x:c>
      <x:c r="C543" s="37" t="str">
        <x:v>Possible named interaction with omeprazole requires clinical severity review.</x:v>
      </x:c>
      <x:c r="D543" s="37" t="str">
        <x:v>https://drug.fda.moph.go.th/media.php?id=810426319253938176&amp;name=SMPC_Omeprazole_Hard Gastro-resistant Capsule.pdf</x:v>
      </x:c>
      <x:c r="E543" s="39" t="str">
        <x:v>Open</x:v>
      </x:c>
    </x:row>
    <x:row r="544">
      <x:c r="A544" s="31" t="str">
        <x:v>digoxin</x:v>
      </x:c>
      <x:c r="B544" s="31" t="str">
        <x:v>interaction_severity_unclassified</x:v>
      </x:c>
      <x:c r="C544" s="37" t="str">
        <x:v>Possible named interaction with omeprazole requires clinical severity review.</x:v>
      </x:c>
      <x:c r="D544" s="37" t="str">
        <x:v>https://drug.fda.moph.go.th/media.php?id=810426319253938176&amp;name=SMPC_Omeprazole_Hard Gastro-resistant Capsule.pdf</x:v>
      </x:c>
      <x:c r="E544" s="39" t="str">
        <x:v>Open</x:v>
      </x:c>
    </x:row>
    <x:row r="545">
      <x:c r="A545" s="31" t="str">
        <x:v>magnesium</x:v>
      </x:c>
      <x:c r="B545" s="31" t="str">
        <x:v>interaction_severity_unclassified</x:v>
      </x:c>
      <x:c r="C545" s="37" t="str">
        <x:v>Possible named interaction with omeprazole requires clinical severity review.</x:v>
      </x:c>
      <x:c r="D545" s="37" t="str">
        <x:v>https://drug.fda.moph.go.th/media.php?id=810426319253938176&amp;name=SMPC_Omeprazole_Hard Gastro-resistant Capsule.pdf</x:v>
      </x:c>
      <x:c r="E545" s="39" t="str">
        <x:v>Open</x:v>
      </x:c>
    </x:row>
    <x:row r="546">
      <x:c r="A546" s="31" t="str">
        <x:v>digoxin</x:v>
      </x:c>
      <x:c r="B546" s="31" t="str">
        <x:v>interaction_severity_unclassified</x:v>
      </x:c>
      <x:c r="C546" s="37" t="str">
        <x:v>Possible named interaction with omeprazole requires clinical severity review.</x:v>
      </x:c>
      <x:c r="D546" s="37" t="str">
        <x:v>https://drug.fda.moph.go.th/media.php?id=810426319253938176&amp;name=SMPC_Omeprazole_Hard Gastro-resistant Capsule.pdf</x:v>
      </x:c>
      <x:c r="E546" s="39" t="str">
        <x:v>Open</x:v>
      </x:c>
    </x:row>
    <x:row r="547">
      <x:c r="A547" s="31" t="str">
        <x:v>itraconazole</x:v>
      </x:c>
      <x:c r="B547" s="31" t="str">
        <x:v>interaction_severity_unclassified</x:v>
      </x:c>
      <x:c r="C547" s="37" t="str">
        <x:v>Possible named interaction with omeprazole requires clinical severity review.</x:v>
      </x:c>
      <x:c r="D547" s="37" t="str">
        <x:v>https://drug.fda.moph.go.th/media.php?id=810426319253938176&amp;name=SMPC_Omeprazole_Hard Gastro-resistant Capsule.pdf</x:v>
      </x:c>
      <x:c r="E547" s="39" t="str">
        <x:v>Open</x:v>
      </x:c>
    </x:row>
    <x:row r="548">
      <x:c r="A548" s="31" t="str">
        <x:v>ketoconazole</x:v>
      </x:c>
      <x:c r="B548" s="31" t="str">
        <x:v>interaction_severity_unclassified</x:v>
      </x:c>
      <x:c r="C548" s="37" t="str">
        <x:v>Possible named interaction with omeprazole requires clinical severity review.</x:v>
      </x:c>
      <x:c r="D548" s="37" t="str">
        <x:v>https://drug.fda.moph.go.th/media.php?id=810426319253938176&amp;name=SMPC_Omeprazole_Hard Gastro-resistant Capsule.pdf</x:v>
      </x:c>
      <x:c r="E548" s="39" t="str">
        <x:v>Open</x:v>
      </x:c>
    </x:row>
    <x:row r="549">
      <x:c r="A549" s="31" t="str">
        <x:v>methotrexate</x:v>
      </x:c>
      <x:c r="B549" s="31" t="str">
        <x:v>interaction_severity_unclassified</x:v>
      </x:c>
      <x:c r="C549" s="37" t="str">
        <x:v>Possible named interaction with omeprazole requires clinical severity review.</x:v>
      </x:c>
      <x:c r="D549" s="37" t="str">
        <x:v>https://drug.fda.moph.go.th/media.php?id=810426319253938176&amp;name=SMPC_Omeprazole_Hard Gastro-resistant Capsule.pdf</x:v>
      </x:c>
      <x:c r="E549" s="39" t="str">
        <x:v>Open</x:v>
      </x:c>
    </x:row>
    <x:row r="550">
      <x:c r="A550" s="31" t="str">
        <x:v>clarithromycin</x:v>
      </x:c>
      <x:c r="B550" s="31" t="str">
        <x:v>interaction_severity_unclassified</x:v>
      </x:c>
      <x:c r="C550" s="37" t="str">
        <x:v>Possible named interaction with omeprazole requires clinical severity review.</x:v>
      </x:c>
      <x:c r="D550" s="37" t="str">
        <x:v>https://drug.fda.moph.go.th/media.php?id=810426319253938176&amp;name=SMPC_Omeprazole_Hard Gastro-resistant Capsule.pdf</x:v>
      </x:c>
      <x:c r="E550" s="39" t="str">
        <x:v>Open</x:v>
      </x:c>
    </x:row>
    <x:row r="551">
      <x:c r="A551" s="31" t="str">
        <x:v>omeprazole</x:v>
      </x:c>
      <x:c r="B551" s="31" t="str">
        <x:v>interaction_severity_unclassified</x:v>
      </x:c>
      <x:c r="C551" s="37" t="str">
        <x:v>Possible named interaction with rifampicin requires clinical severity review.</x:v>
      </x:c>
      <x:c r="D551" s="37" t="str">
        <x:v>https://drug.fda.moph.go.th/media.php?id=810426319253938176&amp;name=SMPC_Omeprazole_Hard Gastro-resistant Capsule.pdf</x:v>
      </x:c>
      <x:c r="E551" s="39" t="str">
        <x:v>Open</x:v>
      </x:c>
    </x:row>
    <x:row r="552">
      <x:c r="A552" s="31" t="str">
        <x:v>methotrexate</x:v>
      </x:c>
      <x:c r="B552" s="31" t="str">
        <x:v>interaction_severity_unclassified</x:v>
      </x:c>
      <x:c r="C552" s="37" t="str">
        <x:v>Possible named interaction with omeprazole requires clinical severity review.</x:v>
      </x:c>
      <x:c r="D552" s="37" t="str">
        <x:v>https://drug.fda.moph.go.th/media.php?id=810426319253938176&amp;name=SMPC_Omeprazole_Hard Gastro-resistant Capsule.pdf</x:v>
      </x:c>
      <x:c r="E552" s="39" t="str">
        <x:v>Open</x:v>
      </x:c>
    </x:row>
    <x:row r="553">
      <x:c r="A553" s="31" t="str">
        <x:v>magnesium</x:v>
      </x:c>
      <x:c r="B553" s="31" t="str">
        <x:v>interaction_severity_unclassified</x:v>
      </x:c>
      <x:c r="C553" s="37" t="str">
        <x:v>Possible named interaction with omeprazole requires clinical severity review.</x:v>
      </x:c>
      <x:c r="D553" s="37" t="str">
        <x:v>https://drug.fda.moph.go.th/media.php?id=810426319253938176&amp;name=SMPC_Omeprazole_Hard Gastro-resistant Capsule.pdf</x:v>
      </x:c>
      <x:c r="E553" s="39" t="str">
        <x:v>Open</x:v>
      </x:c>
    </x:row>
    <x:row r="554">
      <x:c r="A554" s="31" t="str">
        <x:v>insulin</x:v>
      </x:c>
      <x:c r="B554" s="31" t="str">
        <x:v>interaction_severity_unclassified</x:v>
      </x:c>
      <x:c r="C554" s="37" t="str">
        <x:v>Possible named interaction with oxytetracycline requires clinical severity review.</x:v>
      </x:c>
      <x:c r="D554" s="37" t="str">
        <x:v>https://drug.fda.moph.go.th/media.php?id=810426784758767616&amp;name=SMPC_Oxytetracycline_Capsules.pdf</x:v>
      </x:c>
      <x:c r="E554" s="39" t="str">
        <x:v>Open</x:v>
      </x:c>
    </x:row>
    <x:row r="555">
      <x:c r="A555" s="31" t="str">
        <x:v>lithium</x:v>
      </x:c>
      <x:c r="B555" s="31" t="str">
        <x:v>interaction_severity_unclassified</x:v>
      </x:c>
      <x:c r="C555" s="37" t="str">
        <x:v>Possible named interaction with oxytetracycline requires clinical severity review.</x:v>
      </x:c>
      <x:c r="D555" s="37" t="str">
        <x:v>https://drug.fda.moph.go.th/media.php?id=810426784758767616&amp;name=SMPC_Oxytetracycline_Capsules.pdf</x:v>
      </x:c>
      <x:c r="E555" s="39" t="str">
        <x:v>Open</x:v>
      </x:c>
    </x:row>
    <x:row r="556">
      <x:c r="A556" s="31" t="str">
        <x:v>carbamazepine</x:v>
      </x:c>
      <x:c r="B556" s="31" t="str">
        <x:v>interaction_severity_unclassified</x:v>
      </x:c>
      <x:c r="C556" s="37" t="str">
        <x:v>Possible named interaction with paracetamol requires clinical severity review.</x:v>
      </x:c>
      <x:c r="D556" s="37" t="str">
        <x:v>https://drug.fda.moph.go.th/media.php?id=810427720377966592&amp;name=SMPC_Paracetamol_Capsules.pdf</x:v>
      </x:c>
      <x:c r="E556" s="39" t="str">
        <x:v>Open</x:v>
      </x:c>
    </x:row>
    <x:row r="557">
      <x:c r="A557" s="31" t="str">
        <x:v>isoniazid</x:v>
      </x:c>
      <x:c r="B557" s="31" t="str">
        <x:v>interaction_severity_unclassified</x:v>
      </x:c>
      <x:c r="C557" s="37" t="str">
        <x:v>Possible named interaction with paracetamol requires clinical severity review.</x:v>
      </x:c>
      <x:c r="D557" s="37" t="str">
        <x:v>https://drug.fda.moph.go.th/media.php?id=810427720377966592&amp;name=SMPC_Paracetamol_Capsules.pdf</x:v>
      </x:c>
      <x:c r="E557" s="39" t="str">
        <x:v>Open</x:v>
      </x:c>
    </x:row>
    <x:row r="558">
      <x:c r="A558" s="31" t="str">
        <x:v>carbamazepine</x:v>
      </x:c>
      <x:c r="B558" s="31" t="str">
        <x:v>interaction_severity_unclassified</x:v>
      </x:c>
      <x:c r="C558" s="37" t="str">
        <x:v>Possible named interaction with paracetamol requires clinical severity review.</x:v>
      </x:c>
      <x:c r="D558" s="37" t="str">
        <x:v>https://drug.fda.moph.go.th/media.php?id=810428236826812416&amp;name=SMPC_Paracetamol_Elixir.pdf</x:v>
      </x:c>
      <x:c r="E558" s="39" t="str">
        <x:v>Open</x:v>
      </x:c>
    </x:row>
    <x:row r="559">
      <x:c r="A559" s="31" t="str">
        <x:v>isoniazid</x:v>
      </x:c>
      <x:c r="B559" s="31" t="str">
        <x:v>interaction_severity_unclassified</x:v>
      </x:c>
      <x:c r="C559" s="37" t="str">
        <x:v>Possible named interaction with paracetamol requires clinical severity review.</x:v>
      </x:c>
      <x:c r="D559" s="37" t="str">
        <x:v>https://drug.fda.moph.go.th/media.php?id=810428236826812416&amp;name=SMPC_Paracetamol_Elixir.pdf</x:v>
      </x:c>
      <x:c r="E559" s="39" t="str">
        <x:v>Open</x:v>
      </x:c>
    </x:row>
    <x:row r="560">
      <x:c r="A560" s="31" t="str">
        <x:v>carbamazepine</x:v>
      </x:c>
      <x:c r="B560" s="31" t="str">
        <x:v>interaction_severity_unclassified</x:v>
      </x:c>
      <x:c r="C560" s="37" t="str">
        <x:v>Possible named interaction with paracetamol requires clinical severity review.</x:v>
      </x:c>
      <x:c r="D560" s="37" t="str">
        <x:v>https://drug.fda.moph.go.th/media.php?id=810428697118121984&amp;name=SMPC_Paracetamol_Solutions for injections or infusions.pdf</x:v>
      </x:c>
      <x:c r="E560" s="39" t="str">
        <x:v>Open</x:v>
      </x:c>
    </x:row>
    <x:row r="561">
      <x:c r="A561" s="31" t="str">
        <x:v>isoniazid</x:v>
      </x:c>
      <x:c r="B561" s="31" t="str">
        <x:v>interaction_severity_unclassified</x:v>
      </x:c>
      <x:c r="C561" s="37" t="str">
        <x:v>Possible named interaction with paracetamol requires clinical severity review.</x:v>
      </x:c>
      <x:c r="D561" s="37" t="str">
        <x:v>https://drug.fda.moph.go.th/media.php?id=810428697118121984&amp;name=SMPC_Paracetamol_Solutions for injections or infusions.pdf</x:v>
      </x:c>
      <x:c r="E561" s="39" t="str">
        <x:v>Open</x:v>
      </x:c>
    </x:row>
    <x:row r="562">
      <x:c r="A562" s="31" t="str">
        <x:v>carbamazepine</x:v>
      </x:c>
      <x:c r="B562" s="31" t="str">
        <x:v>interaction_severity_unclassified</x:v>
      </x:c>
      <x:c r="C562" s="37" t="str">
        <x:v>Possible named interaction with paracetamol requires clinical severity review.</x:v>
      </x:c>
      <x:c r="D562" s="37" t="str">
        <x:v>https://drug.fda.moph.go.th/media.php?id=810429112165474304&amp;name=SMPC_Paracetamol_Syrup.pdf</x:v>
      </x:c>
      <x:c r="E562" s="39" t="str">
        <x:v>Open</x:v>
      </x:c>
    </x:row>
    <x:row r="563">
      <x:c r="A563" s="31" t="str">
        <x:v>isoniazid</x:v>
      </x:c>
      <x:c r="B563" s="31" t="str">
        <x:v>interaction_severity_unclassified</x:v>
      </x:c>
      <x:c r="C563" s="37" t="str">
        <x:v>Possible named interaction with paracetamol requires clinical severity review.</x:v>
      </x:c>
      <x:c r="D563" s="37" t="str">
        <x:v>https://drug.fda.moph.go.th/media.php?id=810429112165474304&amp;name=SMPC_Paracetamol_Syrup.pdf</x:v>
      </x:c>
      <x:c r="E563" s="39" t="str">
        <x:v>Open</x:v>
      </x:c>
    </x:row>
    <x:row r="564">
      <x:c r="A564" s="31" t="str">
        <x:v>carbamazepine</x:v>
      </x:c>
      <x:c r="B564" s="31" t="str">
        <x:v>interaction_severity_unclassified</x:v>
      </x:c>
      <x:c r="C564" s="37" t="str">
        <x:v>Possible named interaction with paracetamol requires clinical severity review.</x:v>
      </x:c>
      <x:c r="D564" s="37" t="str">
        <x:v>https://drug.fda.moph.go.th/media.php?id=810429959502962688&amp;name=SMPC_Paracetamol_suspension.pdf</x:v>
      </x:c>
      <x:c r="E564" s="39" t="str">
        <x:v>Open</x:v>
      </x:c>
    </x:row>
    <x:row r="565">
      <x:c r="A565" s="31" t="str">
        <x:v>isoniazid</x:v>
      </x:c>
      <x:c r="B565" s="31" t="str">
        <x:v>interaction_severity_unclassified</x:v>
      </x:c>
      <x:c r="C565" s="37" t="str">
        <x:v>Possible named interaction with paracetamol requires clinical severity review.</x:v>
      </x:c>
      <x:c r="D565" s="37" t="str">
        <x:v>https://drug.fda.moph.go.th/media.php?id=810429959502962688&amp;name=SMPC_Paracetamol_suspension.pdf</x:v>
      </x:c>
      <x:c r="E565" s="39" t="str">
        <x:v>Open</x:v>
      </x:c>
    </x:row>
    <x:row r="566">
      <x:c r="A566" s="31" t="str">
        <x:v>carbamazepine</x:v>
      </x:c>
      <x:c r="B566" s="31" t="str">
        <x:v>interaction_severity_unclassified</x:v>
      </x:c>
      <x:c r="C566" s="37" t="str">
        <x:v>Possible named interaction with paracetamol requires clinical severity review.</x:v>
      </x:c>
      <x:c r="D566" s="37" t="str">
        <x:v>https://drug.fda.moph.go.th/media.php?id=810430466103582720&amp;name=SMPC_Paracetamol_Tablet.pdf</x:v>
      </x:c>
      <x:c r="E566" s="39" t="str">
        <x:v>Open</x:v>
      </x:c>
    </x:row>
    <x:row r="567">
      <x:c r="A567" s="31" t="str">
        <x:v>isoniazid</x:v>
      </x:c>
      <x:c r="B567" s="31" t="str">
        <x:v>interaction_severity_unclassified</x:v>
      </x:c>
      <x:c r="C567" s="37" t="str">
        <x:v>Possible named interaction with paracetamol requires clinical severity review.</x:v>
      </x:c>
      <x:c r="D567" s="37" t="str">
        <x:v>https://drug.fda.moph.go.th/media.php?id=810430466103582720&amp;name=SMPC_Paracetamol_Tablet.pdf</x:v>
      </x:c>
      <x:c r="E567" s="39" t="str">
        <x:v>Open</x:v>
      </x:c>
    </x:row>
    <x:row r="568">
      <x:c r="A568" s="31" t="str">
        <x:v>chloramphenicol</x:v>
      </x:c>
      <x:c r="B568" s="31" t="str">
        <x:v>interaction_severity_unclassified</x:v>
      </x:c>
      <x:c r="C568" s="37" t="str">
        <x:v>Possible named interaction with phenoxymethylpenicillin_penicillin_v requires clinical severity review.</x:v>
      </x:c>
      <x:c r="D568" s="37" t="str">
        <x:v>https://drug.fda.moph.go.th/media.php?id=810432142491394048&amp;name=SMPC_Phenoxymethylpenicillin potassium_Dry syrup.pdf</x:v>
      </x:c>
      <x:c r="E568" s="39" t="str">
        <x:v>Open</x:v>
      </x:c>
    </x:row>
    <x:row r="569">
      <x:c r="A569" s="31" t="str">
        <x:v>erythromycin</x:v>
      </x:c>
      <x:c r="B569" s="31" t="str">
        <x:v>interaction_severity_unclassified</x:v>
      </x:c>
      <x:c r="C569" s="37" t="str">
        <x:v>Possible named interaction with phenoxymethylpenicillin_penicillin_v requires clinical severity review.</x:v>
      </x:c>
      <x:c r="D569" s="37" t="str">
        <x:v>https://drug.fda.moph.go.th/media.php?id=810432142491394048&amp;name=SMPC_Phenoxymethylpenicillin potassium_Dry syrup.pdf</x:v>
      </x:c>
      <x:c r="E569" s="39" t="str">
        <x:v>Open</x:v>
      </x:c>
    </x:row>
    <x:row r="570">
      <x:c r="A570" s="31" t="str">
        <x:v>amitriptyline</x:v>
      </x:c>
      <x:c r="B570" s="31" t="str">
        <x:v>interaction_severity_unclassified</x:v>
      </x:c>
      <x:c r="C570" s="37" t="str">
        <x:v>Possible named interaction with pimozide requires clinical severity review.</x:v>
      </x:c>
      <x:c r="D570" s="37" t="str">
        <x:v>https://drug.fda.moph.go.th/media.php?id=810432738745262080&amp;name=SMPC_Pimozide_Tablet.pdf</x:v>
      </x:c>
      <x:c r="E570" s="39" t="str">
        <x:v>Open</x:v>
      </x:c>
    </x:row>
    <x:row r="571">
      <x:c r="A571" s="31" t="str">
        <x:v>chlorpromazine</x:v>
      </x:c>
      <x:c r="B571" s="31" t="str">
        <x:v>interaction_severity_unclassified</x:v>
      </x:c>
      <x:c r="C571" s="37" t="str">
        <x:v>Possible named interaction with pimozide requires clinical severity review.</x:v>
      </x:c>
      <x:c r="D571" s="37" t="str">
        <x:v>https://drug.fda.moph.go.th/media.php?id=810432738745262080&amp;name=SMPC_Pimozide_Tablet.pdf</x:v>
      </x:c>
      <x:c r="E571" s="39" t="str">
        <x:v>Open</x:v>
      </x:c>
    </x:row>
    <x:row r="572">
      <x:c r="A572" s="31" t="str">
        <x:v>metoclopramide</x:v>
      </x:c>
      <x:c r="B572" s="31" t="str">
        <x:v>interaction_severity_unclassified</x:v>
      </x:c>
      <x:c r="C572" s="37" t="str">
        <x:v>Possible named interaction with pimozide requires clinical severity review.</x:v>
      </x:c>
      <x:c r="D572" s="37" t="str">
        <x:v>https://drug.fda.moph.go.th/media.php?id=810432738745262080&amp;name=SMPC_Pimozide_Tablet.pdf</x:v>
      </x:c>
      <x:c r="E572" s="39" t="str">
        <x:v>Open</x:v>
      </x:c>
    </x:row>
    <x:row r="573">
      <x:c r="A573" s="31" t="str">
        <x:v>pimozide</x:v>
      </x:c>
      <x:c r="B573" s="31" t="str">
        <x:v>interaction_severity_unclassified</x:v>
      </x:c>
      <x:c r="C573" s="37" t="str">
        <x:v>Possible named interaction with quinine requires clinical severity review.</x:v>
      </x:c>
      <x:c r="D573" s="37" t="str">
        <x:v>https://drug.fda.moph.go.th/media.php?id=810432738745262080&amp;name=SMPC_Pimozide_Tablet.pdf</x:v>
      </x:c>
      <x:c r="E573" s="39" t="str">
        <x:v>Open</x:v>
      </x:c>
    </x:row>
    <x:row r="574">
      <x:c r="A574" s="31" t="str">
        <x:v>pimozide</x:v>
      </x:c>
      <x:c r="B574" s="31" t="str">
        <x:v>interaction_severity_unclassified</x:v>
      </x:c>
      <x:c r="C574" s="37" t="str">
        <x:v>Possible named interaction with thioridazine requires clinical severity review.</x:v>
      </x:c>
      <x:c r="D574" s="37" t="str">
        <x:v>https://drug.fda.moph.go.th/media.php?id=810432738745262080&amp;name=SMPC_Pimozide_Tablet.pdf</x:v>
      </x:c>
      <x:c r="E574" s="39" t="str">
        <x:v>Open</x:v>
      </x:c>
    </x:row>
    <x:row r="575">
      <x:c r="A575" s="31" t="str">
        <x:v>digoxin</x:v>
      </x:c>
      <x:c r="B575" s="31" t="str">
        <x:v>interaction_severity_unclassified</x:v>
      </x:c>
      <x:c r="C575" s="37" t="str">
        <x:v>Possible named interaction with piroxicam requires clinical severity review.</x:v>
      </x:c>
      <x:c r="D575" s="37" t="str">
        <x:v>https://drug.fda.moph.go.th/media.php?id=810433390829510656&amp;name=SMPC_Piroxicam_Capsules.pdf</x:v>
      </x:c>
      <x:c r="E575" s="39" t="str">
        <x:v>Open</x:v>
      </x:c>
    </x:row>
    <x:row r="576">
      <x:c r="A576" s="31" t="str">
        <x:v>lithium</x:v>
      </x:c>
      <x:c r="B576" s="31" t="str">
        <x:v>interaction_severity_unclassified</x:v>
      </x:c>
      <x:c r="C576" s="37" t="str">
        <x:v>Possible named interaction with piroxicam requires clinical severity review.</x:v>
      </x:c>
      <x:c r="D576" s="37" t="str">
        <x:v>https://drug.fda.moph.go.th/media.php?id=810433390829510656&amp;name=SMPC_Piroxicam_Capsules.pdf</x:v>
      </x:c>
      <x:c r="E576" s="39" t="str">
        <x:v>Open</x:v>
      </x:c>
    </x:row>
    <x:row r="577">
      <x:c r="A577" s="31" t="str">
        <x:v>colchicine</x:v>
      </x:c>
      <x:c r="B577" s="31" t="str">
        <x:v>interaction_severity_unclassified</x:v>
      </x:c>
      <x:c r="C577" s="37" t="str">
        <x:v>Possible named interaction with prazosin requires clinical severity review.</x:v>
      </x:c>
      <x:c r="D577" s="37" t="str">
        <x:v>https://drug.fda.moph.go.th/media.php?id=810438580303437824&amp;name=SMPC_Prazosin_Tablets.pdf</x:v>
      </x:c>
      <x:c r="E577" s="39" t="str">
        <x:v>Open</x:v>
      </x:c>
    </x:row>
    <x:row r="578">
      <x:c r="A578" s="31" t="str">
        <x:v>digoxin</x:v>
      </x:c>
      <x:c r="B578" s="31" t="str">
        <x:v>interaction_severity_unclassified</x:v>
      </x:c>
      <x:c r="C578" s="37" t="str">
        <x:v>Possible named interaction with prazosin requires clinical severity review.</x:v>
      </x:c>
      <x:c r="D578" s="37" t="str">
        <x:v>https://drug.fda.moph.go.th/media.php?id=810438580303437824&amp;name=SMPC_Prazosin_Tablets.pdf</x:v>
      </x:c>
      <x:c r="E578" s="39" t="str">
        <x:v>Open</x:v>
      </x:c>
    </x:row>
    <x:row r="579">
      <x:c r="A579" s="31" t="str">
        <x:v>indomethacin</x:v>
      </x:c>
      <x:c r="B579" s="31" t="str">
        <x:v>interaction_severity_unclassified</x:v>
      </x:c>
      <x:c r="C579" s="37" t="str">
        <x:v>Possible named interaction with prazosin requires clinical severity review.</x:v>
      </x:c>
      <x:c r="D579" s="37" t="str">
        <x:v>https://drug.fda.moph.go.th/media.php?id=810438580303437824&amp;name=SMPC_Prazosin_Tablets.pdf</x:v>
      </x:c>
      <x:c r="E579" s="39" t="str">
        <x:v>Open</x:v>
      </x:c>
    </x:row>
    <x:row r="580">
      <x:c r="A580" s="31" t="str">
        <x:v>insulin</x:v>
      </x:c>
      <x:c r="B580" s="31" t="str">
        <x:v>interaction_severity_unclassified</x:v>
      </x:c>
      <x:c r="C580" s="37" t="str">
        <x:v>Possible named interaction with prazosin requires clinical severity review.</x:v>
      </x:c>
      <x:c r="D580" s="37" t="str">
        <x:v>https://drug.fda.moph.go.th/media.php?id=810438580303437824&amp;name=SMPC_Prazosin_Tablets.pdf</x:v>
      </x:c>
      <x:c r="E580" s="39" t="str">
        <x:v>Open</x:v>
      </x:c>
    </x:row>
    <x:row r="581">
      <x:c r="A581" s="31" t="str">
        <x:v>propylthiouracil</x:v>
      </x:c>
      <x:c r="B581" s="31" t="str">
        <x:v>interaction_severity_unclassified</x:v>
      </x:c>
      <x:c r="C581" s="37" t="str">
        <x:v>Possible named interaction with theophylline requires clinical severity review.</x:v>
      </x:c>
      <x:c r="D581" s="37" t="str">
        <x:v>https://drug.fda.moph.go.th/media.php?id=810444421324742656&amp;name=SMPC_Propylthiouracil_Tablet.pdf</x:v>
      </x:c>
      <x:c r="E581" s="39" t="str">
        <x:v>Open</x:v>
      </x:c>
    </x:row>
    <x:row r="582">
      <x:c r="A582" s="31" t="str">
        <x:v>isoniazid</x:v>
      </x:c>
      <x:c r="B582" s="31" t="str">
        <x:v>interaction_severity_unclassified</x:v>
      </x:c>
      <x:c r="C582" s="37" t="str">
        <x:v>Possible named interaction with pyridoxine requires clinical severity review.</x:v>
      </x:c>
      <x:c r="D582" s="37" t="str">
        <x:v>https://drug.fda.moph.go.th/media.php?id=810444996493844480&amp;name=SMPC_Pyridoxine_Tablet.pdf</x:v>
      </x:c>
      <x:c r="E582" s="39" t="str">
        <x:v>Open</x:v>
      </x:c>
    </x:row>
    <x:row r="583">
      <x:c r="A583" s="31" t="str">
        <x:v>quinine</x:v>
      </x:c>
      <x:c r="B583" s="31" t="str">
        <x:v>interaction_severity_unclassified</x:v>
      </x:c>
      <x:c r="C583" s="37" t="str">
        <x:v>Possible named interaction with sodium_bicarbonate requires clinical severity review.</x:v>
      </x:c>
      <x:c r="D583" s="37" t="str">
        <x:v>https://drug.fda.moph.go.th/media.php?id=810445665753767936&amp;name=SMPC_Quinine dihydrochloride_solutions for injections or infusions.pdf</x:v>
      </x:c>
      <x:c r="E583" s="39" t="str">
        <x:v>Open</x:v>
      </x:c>
    </x:row>
    <x:row r="584">
      <x:c r="A584" s="31" t="str">
        <x:v>mannitol</x:v>
      </x:c>
      <x:c r="B584" s="31" t="str">
        <x:v>interaction_severity_unclassified</x:v>
      </x:c>
      <x:c r="C584" s="37" t="str">
        <x:v>Possible named interaction with quinine requires clinical severity review.</x:v>
      </x:c>
      <x:c r="D584" s="37" t="str">
        <x:v>https://drug.fda.moph.go.th/media.php?id=810445665753767936&amp;name=SMPC_Quinine dihydrochloride_solutions for injections or infusions.pdf</x:v>
      </x:c>
      <x:c r="E584" s="39" t="str">
        <x:v>Open</x:v>
      </x:c>
    </x:row>
    <x:row r="585">
      <x:c r="A585" s="31" t="str">
        <x:v>lidocaine</x:v>
      </x:c>
      <x:c r="B585" s="31" t="str">
        <x:v>interaction_severity_unclassified</x:v>
      </x:c>
      <x:c r="C585" s="37" t="str">
        <x:v>Possible named interaction with ranitidine requires clinical severity review.</x:v>
      </x:c>
      <x:c r="D585" s="37" t="str">
        <x:v>https://drug.fda.moph.go.th/media.php?id=810446254327865344&amp;name=SMPC_Ranitidine_Tablet.pdf</x:v>
      </x:c>
      <x:c r="E585" s="39" t="str">
        <x:v>Open</x:v>
      </x:c>
    </x:row>
    <x:row r="586">
      <x:c r="A586" s="31" t="str">
        <x:v>propranolol</x:v>
      </x:c>
      <x:c r="B586" s="31" t="str">
        <x:v>interaction_severity_unclassified</x:v>
      </x:c>
      <x:c r="C586" s="37" t="str">
        <x:v>Possible named interaction with ranitidine requires clinical severity review.</x:v>
      </x:c>
      <x:c r="D586" s="37" t="str">
        <x:v>https://drug.fda.moph.go.th/media.php?id=810446254327865344&amp;name=SMPC_Ranitidine_Tablet.pdf</x:v>
      </x:c>
      <x:c r="E586" s="39" t="str">
        <x:v>Open</x:v>
      </x:c>
    </x:row>
    <x:row r="587">
      <x:c r="A587" s="31" t="str">
        <x:v>ranitidine</x:v>
      </x:c>
      <x:c r="B587" s="31" t="str">
        <x:v>interaction_severity_unclassified</x:v>
      </x:c>
      <x:c r="C587" s="37" t="str">
        <x:v>Possible named interaction with theophylline requires clinical severity review.</x:v>
      </x:c>
      <x:c r="D587" s="37" t="str">
        <x:v>https://drug.fda.moph.go.th/media.php?id=810446254327865344&amp;name=SMPC_Ranitidine_Tablet.pdf</x:v>
      </x:c>
      <x:c r="E587" s="39" t="str">
        <x:v>Open</x:v>
      </x:c>
    </x:row>
    <x:row r="588">
      <x:c r="A588" s="31" t="str">
        <x:v>amoxicillin</x:v>
      </x:c>
      <x:c r="B588" s="31" t="str">
        <x:v>interaction_severity_unclassified</x:v>
      </x:c>
      <x:c r="C588" s="37" t="str">
        <x:v>Possible named interaction with ranitidine requires clinical severity review.</x:v>
      </x:c>
      <x:c r="D588" s="37" t="str">
        <x:v>https://drug.fda.moph.go.th/media.php?id=810446254327865344&amp;name=SMPC_Ranitidine_Tablet.pdf</x:v>
      </x:c>
      <x:c r="E588" s="39" t="str">
        <x:v>Open</x:v>
      </x:c>
    </x:row>
    <x:row r="589">
      <x:c r="A589" s="31" t="str">
        <x:v>glipizide</x:v>
      </x:c>
      <x:c r="B589" s="31" t="str">
        <x:v>interaction_severity_unclassified</x:v>
      </x:c>
      <x:c r="C589" s="37" t="str">
        <x:v>Possible named interaction with ranitidine requires clinical severity review.</x:v>
      </x:c>
      <x:c r="D589" s="37" t="str">
        <x:v>https://drug.fda.moph.go.th/media.php?id=810446254327865344&amp;name=SMPC_Ranitidine_Tablet.pdf</x:v>
      </x:c>
      <x:c r="E589" s="39" t="str">
        <x:v>Open</x:v>
      </x:c>
    </x:row>
    <x:row r="590">
      <x:c r="A590" s="31" t="str">
        <x:v>ketoconazole</x:v>
      </x:c>
      <x:c r="B590" s="31" t="str">
        <x:v>interaction_severity_unclassified</x:v>
      </x:c>
      <x:c r="C590" s="37" t="str">
        <x:v>Possible named interaction with ranitidine requires clinical severity review.</x:v>
      </x:c>
      <x:c r="D590" s="37" t="str">
        <x:v>https://drug.fda.moph.go.th/media.php?id=810446254327865344&amp;name=SMPC_Ranitidine_Tablet.pdf</x:v>
      </x:c>
      <x:c r="E590" s="39" t="str">
        <x:v>Open</x:v>
      </x:c>
    </x:row>
    <x:row r="591">
      <x:c r="A591" s="31" t="str">
        <x:v>metronidazole</x:v>
      </x:c>
      <x:c r="B591" s="31" t="str">
        <x:v>interaction_severity_unclassified</x:v>
      </x:c>
      <x:c r="C591" s="37" t="str">
        <x:v>Possible named interaction with ranitidine requires clinical severity review.</x:v>
      </x:c>
      <x:c r="D591" s="37" t="str">
        <x:v>https://drug.fda.moph.go.th/media.php?id=810446254327865344&amp;name=SMPC_Ranitidine_Tablet.pdf</x:v>
      </x:c>
      <x:c r="E591" s="39" t="str">
        <x:v>Open</x:v>
      </x:c>
    </x:row>
    <x:row r="592">
      <x:c r="A592" s="31" t="str">
        <x:v>ranitidine</x:v>
      </x:c>
      <x:c r="B592" s="31" t="str">
        <x:v>interaction_severity_unclassified</x:v>
      </x:c>
      <x:c r="C592" s="37" t="str">
        <x:v>Possible named interaction with sucralfate requires clinical severity review.</x:v>
      </x:c>
      <x:c r="D592" s="37" t="str">
        <x:v>https://drug.fda.moph.go.th/media.php?id=810446254327865344&amp;name=SMPC_Ranitidine_Tablet.pdf</x:v>
      </x:c>
      <x:c r="E592" s="39" t="str">
        <x:v>Open</x:v>
      </x:c>
    </x:row>
    <x:row r="593">
      <x:c r="A593" s="31" t="str">
        <x:v>glipizide</x:v>
      </x:c>
      <x:c r="B593" s="31" t="str">
        <x:v>interaction_severity_unclassified</x:v>
      </x:c>
      <x:c r="C593" s="37" t="str">
        <x:v>Possible named interaction with ranitidine requires clinical severity review.</x:v>
      </x:c>
      <x:c r="D593" s="37" t="str">
        <x:v>https://drug.fda.moph.go.th/media.php?id=810446887676157952&amp;name=SMPC_Ranitidine_solution for injection and infusion.pdf</x:v>
      </x:c>
      <x:c r="E593" s="39" t="str">
        <x:v>Open</x:v>
      </x:c>
    </x:row>
    <x:row r="594">
      <x:c r="A594" s="31" t="str">
        <x:v>ketoconazole</x:v>
      </x:c>
      <x:c r="B594" s="31" t="str">
        <x:v>interaction_severity_unclassified</x:v>
      </x:c>
      <x:c r="C594" s="37" t="str">
        <x:v>Possible named interaction with ranitidine requires clinical severity review.</x:v>
      </x:c>
      <x:c r="D594" s="37" t="str">
        <x:v>https://drug.fda.moph.go.th/media.php?id=810446887676157952&amp;name=SMPC_Ranitidine_solution for injection and infusion.pdf</x:v>
      </x:c>
      <x:c r="E594" s="39" t="str">
        <x:v>Open</x:v>
      </x:c>
    </x:row>
    <x:row r="595">
      <x:c r="A595" s="31" t="str">
        <x:v>liquid_paraffin</x:v>
      </x:c>
      <x:c r="B595" s="31" t="str">
        <x:v>interaction_severity_unclassified</x:v>
      </x:c>
      <x:c r="C595" s="37" t="str">
        <x:v>Possible named interaction with retinol requires clinical severity review.</x:v>
      </x:c>
      <x:c r="D595" s="37" t="str">
        <x:v>https://drug.fda.moph.go.th/media.php?id=810447473809170432&amp;name=SMPC_Retinol_Capsules.pdf</x:v>
      </x:c>
      <x:c r="E595" s="39" t="str">
        <x:v>Open</x:v>
      </x:c>
    </x:row>
    <x:row r="596">
      <x:c r="A596" s="31" t="str">
        <x:v>retinol</x:v>
      </x:c>
      <x:c r="B596" s="31" t="str">
        <x:v>interaction_severity_unclassified</x:v>
      </x:c>
      <x:c r="C596" s="37" t="str">
        <x:v>Possible named interaction with tretinoin requires clinical severity review.</x:v>
      </x:c>
      <x:c r="D596" s="37" t="str">
        <x:v>https://drug.fda.moph.go.th/media.php?id=810447473809170432&amp;name=SMPC_Retinol_Capsules.pdf</x:v>
      </x:c>
      <x:c r="E596" s="39" t="str">
        <x:v>Open</x:v>
      </x:c>
    </x:row>
    <x:row r="597">
      <x:c r="A597" s="31" t="str">
        <x:v>cefazolin</x:v>
      </x:c>
      <x:c r="B597" s="31" t="str">
        <x:v>interaction_severity_unclassified</x:v>
      </x:c>
      <x:c r="C597" s="37" t="str">
        <x:v>Possible named interaction with rifampicin requires clinical severity review.</x:v>
      </x:c>
      <x:c r="D597" s="37" t="str">
        <x:v>https://drug.fda.moph.go.th/media.php?id=810448559467012096&amp;name=SMPC_Rifampicin_Tablets.pdf</x:v>
      </x:c>
      <x:c r="E597" s="39" t="str">
        <x:v>Open</x:v>
      </x:c>
    </x:row>
    <x:row r="598">
      <x:c r="A598" s="31" t="str">
        <x:v>isoniazid</x:v>
      </x:c>
      <x:c r="B598" s="31" t="str">
        <x:v>interaction_severity_unclassified</x:v>
      </x:c>
      <x:c r="C598" s="37" t="str">
        <x:v>Possible named interaction with rifampicin requires clinical severity review.</x:v>
      </x:c>
      <x:c r="D598" s="37" t="str">
        <x:v>https://drug.fda.moph.go.th/media.php?id=810448559467012096&amp;name=SMPC_Rifampicin_Tablets.pdf</x:v>
      </x:c>
      <x:c r="E598" s="39" t="str">
        <x:v>Open</x:v>
      </x:c>
    </x:row>
    <x:row r="599">
      <x:c r="A599" s="31" t="str">
        <x:v>haloperidol</x:v>
      </x:c>
      <x:c r="B599" s="31" t="str">
        <x:v>interaction_severity_unclassified</x:v>
      </x:c>
      <x:c r="C599" s="37" t="str">
        <x:v>Possible named interaction with rifampicin requires clinical severity review.</x:v>
      </x:c>
      <x:c r="D599" s="37" t="str">
        <x:v>https://drug.fda.moph.go.th/media.php?id=810448559467012096&amp;name=SMPC_Rifampicin_Tablets.pdf</x:v>
      </x:c>
      <x:c r="E599" s="39" t="str">
        <x:v>Open</x:v>
      </x:c>
    </x:row>
    <x:row r="600">
      <x:c r="A600" s="31" t="str">
        <x:v>rifampicin</x:v>
      </x:c>
      <x:c r="B600" s="31" t="str">
        <x:v>interaction_severity_unclassified</x:v>
      </x:c>
      <x:c r="C600" s="37" t="str">
        <x:v>Possible named interaction with tamoxifen requires clinical severity review.</x:v>
      </x:c>
      <x:c r="D600" s="37" t="str">
        <x:v>https://drug.fda.moph.go.th/media.php?id=810448559467012096&amp;name=SMPC_Rifampicin_Tablets.pdf</x:v>
      </x:c>
      <x:c r="E600" s="39" t="str">
        <x:v>Open</x:v>
      </x:c>
    </x:row>
    <x:row r="601">
      <x:c r="A601" s="31" t="str">
        <x:v>paracetamol</x:v>
      </x:c>
      <x:c r="B601" s="31" t="str">
        <x:v>interaction_severity_unclassified</x:v>
      </x:c>
      <x:c r="C601" s="37" t="str">
        <x:v>Possible named interaction with rifampicin requires clinical severity review.</x:v>
      </x:c>
      <x:c r="D601" s="37" t="str">
        <x:v>https://drug.fda.moph.go.th/media.php?id=810448559467012096&amp;name=SMPC_Rifampicin_Tablets.pdf</x:v>
      </x:c>
      <x:c r="E601" s="39" t="str">
        <x:v>Open</x:v>
      </x:c>
    </x:row>
    <x:row r="602">
      <x:c r="A602" s="31" t="str">
        <x:v>propranolol</x:v>
      </x:c>
      <x:c r="B602" s="31" t="str">
        <x:v>interaction_severity_unclassified</x:v>
      </x:c>
      <x:c r="C602" s="37" t="str">
        <x:v>Possible named interaction with salbutamol requires clinical severity review.</x:v>
      </x:c>
      <x:c r="D602" s="37" t="str">
        <x:v>https://drug.fda.moph.go.th/media.php?id=810449076385619968&amp;name=SMPC_Salbutamol_Syrup.pdf</x:v>
      </x:c>
      <x:c r="E602" s="39" t="str">
        <x:v>Open</x:v>
      </x:c>
    </x:row>
    <x:row r="603">
      <x:c r="A603" s="31" t="str">
        <x:v>captopril</x:v>
      </x:c>
      <x:c r="B603" s="31" t="str">
        <x:v>interaction_severity_unclassified</x:v>
      </x:c>
      <x:c r="C603" s="37" t="str">
        <x:v>Possible named interaction with sodium_bicarbonate requires clinical severity review.</x:v>
      </x:c>
      <x:c r="D603" s="37" t="str">
        <x:v>https://drug.fda.moph.go.th/media.php?id=810453894575562752&amp;name=SMPC_Sodium Bicarbonate_powder.pdf</x:v>
      </x:c>
      <x:c r="E603" s="39" t="str">
        <x:v>Open</x:v>
      </x:c>
    </x:row>
    <x:row r="604">
      <x:c r="A604" s="31" t="str">
        <x:v>digoxin</x:v>
      </x:c>
      <x:c r="B604" s="31" t="str">
        <x:v>interaction_severity_unclassified</x:v>
      </x:c>
      <x:c r="C604" s="37" t="str">
        <x:v>Possible named interaction with sodium_bicarbonate requires clinical severity review.</x:v>
      </x:c>
      <x:c r="D604" s="37" t="str">
        <x:v>https://drug.fda.moph.go.th/media.php?id=810453894575562752&amp;name=SMPC_Sodium Bicarbonate_powder.pdf</x:v>
      </x:c>
      <x:c r="E604" s="39" t="str">
        <x:v>Open</x:v>
      </x:c>
    </x:row>
    <x:row r="605">
      <x:c r="A605" s="31" t="str">
        <x:v>enalapril</x:v>
      </x:c>
      <x:c r="B605" s="31" t="str">
        <x:v>interaction_severity_unclassified</x:v>
      </x:c>
      <x:c r="C605" s="37" t="str">
        <x:v>Possible named interaction with sodium_bicarbonate requires clinical severity review.</x:v>
      </x:c>
      <x:c r="D605" s="37" t="str">
        <x:v>https://drug.fda.moph.go.th/media.php?id=810453894575562752&amp;name=SMPC_Sodium Bicarbonate_powder.pdf</x:v>
      </x:c>
      <x:c r="E605" s="39" t="str">
        <x:v>Open</x:v>
      </x:c>
    </x:row>
    <x:row r="606">
      <x:c r="A606" s="31" t="str">
        <x:v>isoniazid</x:v>
      </x:c>
      <x:c r="B606" s="31" t="str">
        <x:v>interaction_severity_unclassified</x:v>
      </x:c>
      <x:c r="C606" s="37" t="str">
        <x:v>Possible named interaction with sodium_bicarbonate requires clinical severity review.</x:v>
      </x:c>
      <x:c r="D606" s="37" t="str">
        <x:v>https://drug.fda.moph.go.th/media.php?id=810453894575562752&amp;name=SMPC_Sodium Bicarbonate_powder.pdf</x:v>
      </x:c>
      <x:c r="E606" s="39" t="str">
        <x:v>Open</x:v>
      </x:c>
    </x:row>
    <x:row r="607">
      <x:c r="A607" s="31" t="str">
        <x:v>itraconazole</x:v>
      </x:c>
      <x:c r="B607" s="31" t="str">
        <x:v>interaction_severity_unclassified</x:v>
      </x:c>
      <x:c r="C607" s="37" t="str">
        <x:v>Possible named interaction with sodium_bicarbonate requires clinical severity review.</x:v>
      </x:c>
      <x:c r="D607" s="37" t="str">
        <x:v>https://drug.fda.moph.go.th/media.php?id=810453894575562752&amp;name=SMPC_Sodium Bicarbonate_powder.pdf</x:v>
      </x:c>
      <x:c r="E607" s="39" t="str">
        <x:v>Open</x:v>
      </x:c>
    </x:row>
    <x:row r="608">
      <x:c r="A608" s="31" t="str">
        <x:v>ketoconazole</x:v>
      </x:c>
      <x:c r="B608" s="31" t="str">
        <x:v>interaction_severity_unclassified</x:v>
      </x:c>
      <x:c r="C608" s="37" t="str">
        <x:v>Possible named interaction with sodium_bicarbonate requires clinical severity review.</x:v>
      </x:c>
      <x:c r="D608" s="37" t="str">
        <x:v>https://drug.fda.moph.go.th/media.php?id=810453894575562752&amp;name=SMPC_Sodium Bicarbonate_powder.pdf</x:v>
      </x:c>
      <x:c r="E608" s="39" t="str">
        <x:v>Open</x:v>
      </x:c>
    </x:row>
    <x:row r="609">
      <x:c r="A609" s="31" t="str">
        <x:v>cefaclor</x:v>
      </x:c>
      <x:c r="B609" s="31" t="str">
        <x:v>interaction_severity_unclassified</x:v>
      </x:c>
      <x:c r="C609" s="37" t="str">
        <x:v>Possible named interaction with sodium_bicarbonate requires clinical severity review.</x:v>
      </x:c>
      <x:c r="D609" s="37" t="str">
        <x:v>https://drug.fda.moph.go.th/media.php?id=810453894575562752&amp;name=SMPC_Sodium Bicarbonate_powder.pdf</x:v>
      </x:c>
      <x:c r="E609" s="39" t="str">
        <x:v>Open</x:v>
      </x:c>
    </x:row>
    <x:row r="610">
      <x:c r="A610" s="31" t="str">
        <x:v>lithium</x:v>
      </x:c>
      <x:c r="B610" s="31" t="str">
        <x:v>interaction_severity_unclassified</x:v>
      </x:c>
      <x:c r="C610" s="37" t="str">
        <x:v>Possible named interaction with sodium_bicarbonate requires clinical severity review.</x:v>
      </x:c>
      <x:c r="D610" s="37" t="str">
        <x:v>https://drug.fda.moph.go.th/media.php?id=810453894575562752&amp;name=SMPC_Sodium Bicarbonate_powder.pdf</x:v>
      </x:c>
      <x:c r="E610" s="39" t="str">
        <x:v>Open</x:v>
      </x:c>
    </x:row>
    <x:row r="611">
      <x:c r="A611" s="31" t="str">
        <x:v>ketoconazole</x:v>
      </x:c>
      <x:c r="B611" s="31" t="str">
        <x:v>interaction_severity_unclassified</x:v>
      </x:c>
      <x:c r="C611" s="37" t="str">
        <x:v>Possible named interaction with sodium_bicarbonate requires clinical severity review.</x:v>
      </x:c>
      <x:c r="D611" s="37" t="str">
        <x:v>https://drug.fda.moph.go.th/media.php?id=810454498920243200&amp;name=SMPC_Sodium Bicarbonate_oral solution.pdf</x:v>
      </x:c>
      <x:c r="E611" s="39" t="str">
        <x:v>Open</x:v>
      </x:c>
    </x:row>
    <x:row r="612">
      <x:c r="A612" s="31" t="str">
        <x:v>rifampicin</x:v>
      </x:c>
      <x:c r="B612" s="31" t="str">
        <x:v>interaction_severity_unclassified</x:v>
      </x:c>
      <x:c r="C612" s="37" t="str">
        <x:v>Possible named interaction with sodium_bicarbonate requires clinical severity review.</x:v>
      </x:c>
      <x:c r="D612" s="37" t="str">
        <x:v>https://drug.fda.moph.go.th/media.php?id=810454498920243200&amp;name=SMPC_Sodium Bicarbonate_oral solution.pdf</x:v>
      </x:c>
      <x:c r="E612" s="39" t="str">
        <x:v>Open</x:v>
      </x:c>
    </x:row>
    <x:row r="613">
      <x:c r="A613" s="31" t="str">
        <x:v>methotrexate</x:v>
      </x:c>
      <x:c r="B613" s="31" t="str">
        <x:v>interaction_severity_unclassified</x:v>
      </x:c>
      <x:c r="C613" s="37" t="str">
        <x:v>Possible named interaction with sodium_bicarbonate requires clinical severity review.</x:v>
      </x:c>
      <x:c r="D613" s="37" t="str">
        <x:v>https://drug.fda.moph.go.th/media.php?id=810454498920243200&amp;name=SMPC_Sodium Bicarbonate_oral solution.pdf</x:v>
      </x:c>
      <x:c r="E613" s="39" t="str">
        <x:v>Open</x:v>
      </x:c>
    </x:row>
    <x:row r="614">
      <x:c r="A614" s="31" t="str">
        <x:v>lithium</x:v>
      </x:c>
      <x:c r="B614" s="31" t="str">
        <x:v>interaction_severity_unclassified</x:v>
      </x:c>
      <x:c r="C614" s="37" t="str">
        <x:v>Possible named interaction with sodium_bicarbonate requires clinical severity review.</x:v>
      </x:c>
      <x:c r="D614" s="37" t="str">
        <x:v>https://drug.fda.moph.go.th/media.php?id=810454498920243200&amp;name=SMPC_Sodium Bicarbonate_oral solution.pdf</x:v>
      </x:c>
      <x:c r="E614" s="39" t="str">
        <x:v>Open</x:v>
      </x:c>
    </x:row>
    <x:row r="615">
      <x:c r="A615" s="31" t="str">
        <x:v>sodium_dihydrogen</x:v>
      </x:c>
      <x:c r="B615" s="31" t="str">
        <x:v>interaction_severity_unclassified</x:v>
      </x:c>
      <x:c r="C615" s="37" t="str">
        <x:v>Possible named interaction with sodium_phosphate requires clinical severity review.</x:v>
      </x:c>
      <x:c r="D615" s="37" t="str">
        <x:v>https://drug.fda.moph.go.th/media.php?id=810461583477186560&amp;name=SMPC_Sodium dihydrogen phosphate_enema.pdf</x:v>
      </x:c>
      <x:c r="E615" s="39" t="str">
        <x:v>Open</x:v>
      </x:c>
    </x:row>
    <x:row r="616">
      <x:c r="A616" s="31" t="str">
        <x:v>carbamazepine</x:v>
      </x:c>
      <x:c r="B616" s="31" t="str">
        <x:v>interaction_severity_unclassified</x:v>
      </x:c>
      <x:c r="C616" s="37" t="str">
        <x:v>Possible named interaction with sodium_valproate requires clinical severity review.</x:v>
      </x:c>
      <x:c r="D616" s="37" t="str">
        <x:v>https://drug.fda.moph.go.th/media.php?id=810462806720782336&amp;name=SMPC_Sodium Valproate_Enteric-coated tablet.pdf</x:v>
      </x:c>
      <x:c r="E616" s="39" t="str">
        <x:v>Open</x:v>
      </x:c>
    </x:row>
    <x:row r="617">
      <x:c r="A617" s="31" t="str">
        <x:v>nimodipine</x:v>
      </x:c>
      <x:c r="B617" s="31" t="str">
        <x:v>interaction_severity_unclassified</x:v>
      </x:c>
      <x:c r="C617" s="37" t="str">
        <x:v>Possible named interaction with sodium_valproate requires clinical severity review.</x:v>
      </x:c>
      <x:c r="D617" s="37" t="str">
        <x:v>https://drug.fda.moph.go.th/media.php?id=810462806720782336&amp;name=SMPC_Sodium Valproate_Enteric-coated tablet.pdf</x:v>
      </x:c>
      <x:c r="E617" s="39" t="str">
        <x:v>Open</x:v>
      </x:c>
    </x:row>
    <x:row r="618">
      <x:c r="A618" s="31" t="str">
        <x:v>sodium_valproate</x:v>
      </x:c>
      <x:c r="B618" s="31" t="str">
        <x:v>interaction_severity_unclassified</x:v>
      </x:c>
      <x:c r="C618" s="37" t="str">
        <x:v>Possible named interaction with zidovudine requires clinical severity review.</x:v>
      </x:c>
      <x:c r="D618" s="37" t="str">
        <x:v>https://drug.fda.moph.go.th/media.php?id=810462806720782336&amp;name=SMPC_Sodium Valproate_Enteric-coated tablet.pdf</x:v>
      </x:c>
      <x:c r="E618" s="39" t="str">
        <x:v>Open</x:v>
      </x:c>
    </x:row>
    <x:row r="619">
      <x:c r="A619" s="31" t="str">
        <x:v>propofol</x:v>
      </x:c>
      <x:c r="B619" s="31" t="str">
        <x:v>interaction_severity_unclassified</x:v>
      </x:c>
      <x:c r="C619" s="37" t="str">
        <x:v>Possible named interaction with sodium_valproate requires clinical severity review.</x:v>
      </x:c>
      <x:c r="D619" s="37" t="str">
        <x:v>https://drug.fda.moph.go.th/media.php?id=810462806720782336&amp;name=SMPC_Sodium Valproate_Enteric-coated tablet.pdf</x:v>
      </x:c>
      <x:c r="E619" s="39" t="str">
        <x:v>Open</x:v>
      </x:c>
    </x:row>
    <x:row r="620">
      <x:c r="A620" s="31" t="str">
        <x:v>carbamazepine</x:v>
      </x:c>
      <x:c r="B620" s="31" t="str">
        <x:v>interaction_severity_unclassified</x:v>
      </x:c>
      <x:c r="C620" s="37" t="str">
        <x:v>Possible named interaction with sodium_valproate requires clinical severity review.</x:v>
      </x:c>
      <x:c r="D620" s="37" t="str">
        <x:v>https://drug.fda.moph.go.th/media.php?id=810462806720782336&amp;name=SMPC_Sodium Valproate_Enteric-coated tablet.pdf</x:v>
      </x:c>
      <x:c r="E620" s="39" t="str">
        <x:v>Open</x:v>
      </x:c>
    </x:row>
    <x:row r="621">
      <x:c r="A621" s="31" t="str">
        <x:v>nimodipine</x:v>
      </x:c>
      <x:c r="B621" s="31" t="str">
        <x:v>interaction_severity_unclassified</x:v>
      </x:c>
      <x:c r="C621" s="37" t="str">
        <x:v>Possible named interaction with sodium_valproate requires clinical severity review.</x:v>
      </x:c>
      <x:c r="D621" s="37" t="str">
        <x:v>https://drug.fda.moph.go.th/media.php?id=810462806720782336&amp;name=SMPC_Sodium Valproate_Enteric-coated tablet.pdf</x:v>
      </x:c>
      <x:c r="E621" s="39" t="str">
        <x:v>Open</x:v>
      </x:c>
    </x:row>
    <x:row r="622">
      <x:c r="A622" s="31" t="str">
        <x:v>cholestyramine</x:v>
      </x:c>
      <x:c r="B622" s="31" t="str">
        <x:v>interaction_severity_unclassified</x:v>
      </x:c>
      <x:c r="C622" s="37" t="str">
        <x:v>Possible named interaction with sodium_valproate requires clinical severity review.</x:v>
      </x:c>
      <x:c r="D622" s="37" t="str">
        <x:v>https://drug.fda.moph.go.th/media.php?id=810462806720782336&amp;name=SMPC_Sodium Valproate_Enteric-coated tablet.pdf</x:v>
      </x:c>
      <x:c r="E622" s="39" t="str">
        <x:v>Open</x:v>
      </x:c>
    </x:row>
    <x:row r="623">
      <x:c r="A623" s="31" t="str">
        <x:v>cimetidine</x:v>
      </x:c>
      <x:c r="B623" s="31" t="str">
        <x:v>interaction_severity_unclassified</x:v>
      </x:c>
      <x:c r="C623" s="37" t="str">
        <x:v>Possible named interaction with sodium_valproate requires clinical severity review.</x:v>
      </x:c>
      <x:c r="D623" s="37" t="str">
        <x:v>https://drug.fda.moph.go.th/media.php?id=810462806720782336&amp;name=SMPC_Sodium Valproate_Enteric-coated tablet.pdf</x:v>
      </x:c>
      <x:c r="E623" s="39" t="str">
        <x:v>Open</x:v>
      </x:c>
    </x:row>
    <x:row r="624">
      <x:c r="A624" s="31" t="str">
        <x:v>erythromycin</x:v>
      </x:c>
      <x:c r="B624" s="31" t="str">
        <x:v>interaction_severity_unclassified</x:v>
      </x:c>
      <x:c r="C624" s="37" t="str">
        <x:v>Possible named interaction with sodium_valproate requires clinical severity review.</x:v>
      </x:c>
      <x:c r="D624" s="37" t="str">
        <x:v>https://drug.fda.moph.go.th/media.php?id=810462806720782336&amp;name=SMPC_Sodium Valproate_Enteric-coated tablet.pdf</x:v>
      </x:c>
      <x:c r="E624" s="39" t="str">
        <x:v>Open</x:v>
      </x:c>
    </x:row>
    <x:row r="625">
      <x:c r="A625" s="31" t="str">
        <x:v>rifampicin</x:v>
      </x:c>
      <x:c r="B625" s="31" t="str">
        <x:v>interaction_severity_unclassified</x:v>
      </x:c>
      <x:c r="C625" s="37" t="str">
        <x:v>Possible named interaction with sodium_valproate requires clinical severity review.</x:v>
      </x:c>
      <x:c r="D625" s="37" t="str">
        <x:v>https://drug.fda.moph.go.th/media.php?id=810462806720782336&amp;name=SMPC_Sodium Valproate_Enteric-coated tablet.pdf</x:v>
      </x:c>
      <x:c r="E625" s="39" t="str">
        <x:v>Open</x:v>
      </x:c>
    </x:row>
    <x:row r="626">
      <x:c r="A626" s="31" t="str">
        <x:v>methotrexate</x:v>
      </x:c>
      <x:c r="B626" s="31" t="str">
        <x:v>interaction_severity_unclassified</x:v>
      </x:c>
      <x:c r="C626" s="37" t="str">
        <x:v>Possible named interaction with sodium_valproate requires clinical severity review.</x:v>
      </x:c>
      <x:c r="D626" s="37" t="str">
        <x:v>https://drug.fda.moph.go.th/media.php?id=810462806720782336&amp;name=SMPC_Sodium Valproate_Enteric-coated tablet.pdf</x:v>
      </x:c>
      <x:c r="E626" s="39" t="str">
        <x:v>Open</x:v>
      </x:c>
    </x:row>
    <x:row r="627">
      <x:c r="A627" s="31" t="str">
        <x:v>ciprofloxacin</x:v>
      </x:c>
      <x:c r="B627" s="31" t="str">
        <x:v>interaction_severity_unclassified</x:v>
      </x:c>
      <x:c r="C627" s="37" t="str">
        <x:v>Possible named interaction with sucralfate requires clinical severity review.</x:v>
      </x:c>
      <x:c r="D627" s="37" t="str">
        <x:v>https://drug.fda.moph.go.th/media.php?id=810463510696960000&amp;name=SMPC_Sucralfate_suspension.pdf</x:v>
      </x:c>
      <x:c r="E627" s="39" t="str">
        <x:v>Open</x:v>
      </x:c>
    </x:row>
    <x:row r="628">
      <x:c r="A628" s="31" t="str">
        <x:v>digoxin</x:v>
      </x:c>
      <x:c r="B628" s="31" t="str">
        <x:v>interaction_severity_unclassified</x:v>
      </x:c>
      <x:c r="C628" s="37" t="str">
        <x:v>Possible named interaction with sucralfate requires clinical severity review.</x:v>
      </x:c>
      <x:c r="D628" s="37" t="str">
        <x:v>https://drug.fda.moph.go.th/media.php?id=810463510696960000&amp;name=SMPC_Sucralfate_suspension.pdf</x:v>
      </x:c>
      <x:c r="E628" s="39" t="str">
        <x:v>Open</x:v>
      </x:c>
    </x:row>
    <x:row r="629">
      <x:c r="A629" s="31" t="str">
        <x:v>ketoconazole</x:v>
      </x:c>
      <x:c r="B629" s="31" t="str">
        <x:v>interaction_severity_unclassified</x:v>
      </x:c>
      <x:c r="C629" s="37" t="str">
        <x:v>Possible named interaction with sucralfate requires clinical severity review.</x:v>
      </x:c>
      <x:c r="D629" s="37" t="str">
        <x:v>https://drug.fda.moph.go.th/media.php?id=810463510696960000&amp;name=SMPC_Sucralfate_suspension.pdf</x:v>
      </x:c>
      <x:c r="E629" s="39" t="str">
        <x:v>Open</x:v>
      </x:c>
    </x:row>
    <x:row r="630">
      <x:c r="A630" s="31" t="str">
        <x:v>levothyroxine</x:v>
      </x:c>
      <x:c r="B630" s="31" t="str">
        <x:v>interaction_severity_unclassified</x:v>
      </x:c>
      <x:c r="C630" s="37" t="str">
        <x:v>Possible named interaction with sucralfate requires clinical severity review.</x:v>
      </x:c>
      <x:c r="D630" s="37" t="str">
        <x:v>https://drug.fda.moph.go.th/media.php?id=810463510696960000&amp;name=SMPC_Sucralfate_suspension.pdf</x:v>
      </x:c>
      <x:c r="E630" s="39" t="str">
        <x:v>Open</x:v>
      </x:c>
    </x:row>
    <x:row r="631">
      <x:c r="A631" s="31" t="str">
        <x:v>sucralfate</x:v>
      </x:c>
      <x:c r="B631" s="31" t="str">
        <x:v>interaction_severity_unclassified</x:v>
      </x:c>
      <x:c r="C631" s="37" t="str">
        <x:v>Possible named interaction with tetracycline requires clinical severity review.</x:v>
      </x:c>
      <x:c r="D631" s="37" t="str">
        <x:v>https://drug.fda.moph.go.th/media.php?id=810463510696960000&amp;name=SMPC_Sucralfate_suspension.pdf</x:v>
      </x:c>
      <x:c r="E631" s="39" t="str">
        <x:v>Open</x:v>
      </x:c>
    </x:row>
    <x:row r="632">
      <x:c r="A632" s="31" t="str">
        <x:v>sucralfate</x:v>
      </x:c>
      <x:c r="B632" s="31" t="str">
        <x:v>interaction_severity_unclassified</x:v>
      </x:c>
      <x:c r="C632" s="37" t="str">
        <x:v>Possible named interaction with theophylline requires clinical severity review.</x:v>
      </x:c>
      <x:c r="D632" s="37" t="str">
        <x:v>https://drug.fda.moph.go.th/media.php?id=810463510696960000&amp;name=SMPC_Sucralfate_suspension.pdf</x:v>
      </x:c>
      <x:c r="E632" s="39" t="str">
        <x:v>Open</x:v>
      </x:c>
    </x:row>
    <x:row r="633">
      <x:c r="A633" s="31" t="str">
        <x:v>norfloxacin</x:v>
      </x:c>
      <x:c r="B633" s="31" t="str">
        <x:v>interaction_severity_unclassified</x:v>
      </x:c>
      <x:c r="C633" s="37" t="str">
        <x:v>Possible named interaction with sucralfate requires clinical severity review.</x:v>
      </x:c>
      <x:c r="D633" s="37" t="str">
        <x:v>https://drug.fda.moph.go.th/media.php?id=810463510696960000&amp;name=SMPC_Sucralfate_suspension.pdf</x:v>
      </x:c>
      <x:c r="E633" s="39" t="str">
        <x:v>Open</x:v>
      </x:c>
    </x:row>
    <x:row r="634">
      <x:c r="A634" s="31" t="str">
        <x:v>fluoxetine</x:v>
      </x:c>
      <x:c r="B634" s="31" t="str">
        <x:v>interaction_severity_unclassified</x:v>
      </x:c>
      <x:c r="C634" s="37" t="str">
        <x:v>Possible named interaction with tamoxifen requires clinical severity review.</x:v>
      </x:c>
      <x:c r="D634" s="37" t="str">
        <x:v>https://drug.fda.moph.go.th/media.php?id=810464618991460352&amp;name=SMPC_Tamoxifen_Tablets.pdf</x:v>
      </x:c>
      <x:c r="E634" s="39" t="str">
        <x:v>Open</x:v>
      </x:c>
    </x:row>
    <x:row r="635">
      <x:c r="A635" s="31" t="str">
        <x:v>fluoxetine</x:v>
      </x:c>
      <x:c r="B635" s="31" t="str">
        <x:v>interaction_severity_unclassified</x:v>
      </x:c>
      <x:c r="C635" s="37" t="str">
        <x:v>Possible named interaction with tamoxifen requires clinical severity review.</x:v>
      </x:c>
      <x:c r="D635" s="37" t="str">
        <x:v>https://drug.fda.moph.go.th/media.php?id=810464618991460352&amp;name=SMPC_Tamoxifen_Tablets.pdf</x:v>
      </x:c>
      <x:c r="E635" s="39" t="str">
        <x:v>Open</x:v>
      </x:c>
    </x:row>
    <x:row r="636">
      <x:c r="A636" s="31" t="str">
        <x:v>rifampicin</x:v>
      </x:c>
      <x:c r="B636" s="31" t="str">
        <x:v>interaction_severity_unclassified</x:v>
      </x:c>
      <x:c r="C636" s="37" t="str">
        <x:v>Possible named interaction with tamoxifen requires clinical severity review.</x:v>
      </x:c>
      <x:c r="D636" s="37" t="str">
        <x:v>https://drug.fda.moph.go.th/media.php?id=810464618991460352&amp;name=SMPC_Tamoxifen_Tablets.pdf</x:v>
      </x:c>
      <x:c r="E636" s="39" t="str">
        <x:v>Open</x:v>
      </x:c>
    </x:row>
    <x:row r="637">
      <x:c r="A637" s="31" t="str">
        <x:v>furosemide</x:v>
      </x:c>
      <x:c r="B637" s="31" t="str">
        <x:v>interaction_severity_unclassified</x:v>
      </x:c>
      <x:c r="C637" s="37" t="str">
        <x:v>Possible named interaction with teicoplanin requires clinical severity review.</x:v>
      </x:c>
      <x:c r="D637" s="37" t="str">
        <x:v>https://drug.fda.moph.go.th/media.php?id=810465319775772672&amp;name=SMPC_Teicoplanin_powder for solution for injection-infusion or oral solution.pdf</x:v>
      </x:c>
      <x:c r="E637" s="39" t="str">
        <x:v>Open</x:v>
      </x:c>
    </x:row>
    <x:row r="638">
      <x:c r="A638" s="31" t="str">
        <x:v>furosemide</x:v>
      </x:c>
      <x:c r="B638" s="31" t="str">
        <x:v>interaction_severity_unclassified</x:v>
      </x:c>
      <x:c r="C638" s="37" t="str">
        <x:v>Possible named interaction with teicoplanin requires clinical severity review.</x:v>
      </x:c>
      <x:c r="D638" s="37" t="str">
        <x:v>https://drug.fda.moph.go.th/media.php?id=810465319775772672&amp;name=SMPC_Teicoplanin_powder for solution for injection-infusion or oral solution.pdf</x:v>
      </x:c>
      <x:c r="E638" s="39" t="str">
        <x:v>Open</x:v>
      </x:c>
    </x:row>
    <x:row r="639">
      <x:c r="A639" s="31" t="str">
        <x:v>ibuprofen</x:v>
      </x:c>
      <x:c r="B639" s="31" t="str">
        <x:v>interaction_severity_unclassified</x:v>
      </x:c>
      <x:c r="C639" s="37" t="str">
        <x:v>Possible named interaction with tenoxicam requires clinical severity review.</x:v>
      </x:c>
      <x:c r="D639" s="37" t="str">
        <x:v>https://drug.fda.moph.go.th/media.php?id=810466026549551104&amp;name=SMPC_Tenoxicam_Tablets.pdf</x:v>
      </x:c>
      <x:c r="E639" s="39" t="str">
        <x:v>Open</x:v>
      </x:c>
    </x:row>
    <x:row r="640">
      <x:c r="A640" s="31" t="str">
        <x:v>ibuprofen</x:v>
      </x:c>
      <x:c r="B640" s="31" t="str">
        <x:v>interaction_severity_unclassified</x:v>
      </x:c>
      <x:c r="C640" s="37" t="str">
        <x:v>Possible named interaction with tenoxicam requires clinical severity review.</x:v>
      </x:c>
      <x:c r="D640" s="37" t="str">
        <x:v>https://drug.fda.moph.go.th/media.php?id=810466026549551104&amp;name=SMPC_Tenoxicam_Tablets.pdf</x:v>
      </x:c>
      <x:c r="E640" s="39" t="str">
        <x:v>Open</x:v>
      </x:c>
    </x:row>
    <x:row r="641">
      <x:c r="A641" s="31" t="str">
        <x:v>cimetidine</x:v>
      </x:c>
      <x:c r="B641" s="31" t="str">
        <x:v>interaction_severity_unclassified</x:v>
      </x:c>
      <x:c r="C641" s="37" t="str">
        <x:v>Possible named interaction with tenoxicam requires clinical severity review.</x:v>
      </x:c>
      <x:c r="D641" s="37" t="str">
        <x:v>https://drug.fda.moph.go.th/media.php?id=810466026549551104&amp;name=SMPC_Tenoxicam_Tablets.pdf</x:v>
      </x:c>
      <x:c r="E641" s="39" t="str">
        <x:v>Open</x:v>
      </x:c>
    </x:row>
    <x:row r="642">
      <x:c r="A642" s="31" t="str">
        <x:v>atenolol</x:v>
      </x:c>
      <x:c r="B642" s="31" t="str">
        <x:v>interaction_severity_unclassified</x:v>
      </x:c>
      <x:c r="C642" s="37" t="str">
        <x:v>Possible named interaction with tenoxicam requires clinical severity review.</x:v>
      </x:c>
      <x:c r="D642" s="37" t="str">
        <x:v>https://drug.fda.moph.go.th/media.php?id=810466026549551104&amp;name=SMPC_Tenoxicam_Tablets.pdf</x:v>
      </x:c>
      <x:c r="E642" s="39" t="str">
        <x:v>Open</x:v>
      </x:c>
    </x:row>
    <x:row r="643">
      <x:c r="A643" s="31" t="str">
        <x:v>furosemide</x:v>
      </x:c>
      <x:c r="B643" s="31" t="str">
        <x:v>interaction_severity_unclassified</x:v>
      </x:c>
      <x:c r="C643" s="37" t="str">
        <x:v>Possible named interaction with tenoxicam requires clinical severity review.</x:v>
      </x:c>
      <x:c r="D643" s="37" t="str">
        <x:v>https://drug.fda.moph.go.th/media.php?id=810466026549551104&amp;name=SMPC_Tenoxicam_Tablets.pdf</x:v>
      </x:c>
      <x:c r="E643" s="39" t="str">
        <x:v>Open</x:v>
      </x:c>
    </x:row>
    <x:row r="644">
      <x:c r="A644" s="31" t="str">
        <x:v>lithium</x:v>
      </x:c>
      <x:c r="B644" s="31" t="str">
        <x:v>interaction_severity_unclassified</x:v>
      </x:c>
      <x:c r="C644" s="37" t="str">
        <x:v>Possible named interaction with tenoxicam requires clinical severity review.</x:v>
      </x:c>
      <x:c r="D644" s="37" t="str">
        <x:v>https://drug.fda.moph.go.th/media.php?id=810466026549551104&amp;name=SMPC_Tenoxicam_Tablets.pdf</x:v>
      </x:c>
      <x:c r="E644" s="39" t="str">
        <x:v>Open</x:v>
      </x:c>
    </x:row>
    <x:row r="645">
      <x:c r="A645" s="31" t="str">
        <x:v>methotrexate</x:v>
      </x:c>
      <x:c r="B645" s="31" t="str">
        <x:v>interaction_severity_unclassified</x:v>
      </x:c>
      <x:c r="C645" s="37" t="str">
        <x:v>Possible named interaction with tenoxicam requires clinical severity review.</x:v>
      </x:c>
      <x:c r="D645" s="37" t="str">
        <x:v>https://drug.fda.moph.go.th/media.php?id=810466026549551104&amp;name=SMPC_Tenoxicam_Tablets.pdf</x:v>
      </x:c>
      <x:c r="E645" s="39" t="str">
        <x:v>Open</x:v>
      </x:c>
    </x:row>
    <x:row r="646">
      <x:c r="A646" s="31" t="str">
        <x:v>ibuprofen</x:v>
      </x:c>
      <x:c r="B646" s="31" t="str">
        <x:v>interaction_severity_unclassified</x:v>
      </x:c>
      <x:c r="C646" s="37" t="str">
        <x:v>Possible named interaction with tenoxicam requires clinical severity review.</x:v>
      </x:c>
      <x:c r="D646" s="37" t="str">
        <x:v>https://drug.fda.moph.go.th/media.php?id=810466026549551104&amp;name=SMPC_Tenoxicam_Tablets.pdf</x:v>
      </x:c>
      <x:c r="E646" s="39" t="str">
        <x:v>Open</x:v>
      </x:c>
    </x:row>
    <x:row r="647">
      <x:c r="A647" s="31" t="str">
        <x:v>tenoxicam</x:v>
      </x:c>
      <x:c r="B647" s="31" t="str">
        <x:v>interaction_severity_unclassified</x:v>
      </x:c>
      <x:c r="C647" s="37" t="str">
        <x:v>Possible named interaction with zidovudine requires clinical severity review.</x:v>
      </x:c>
      <x:c r="D647" s="37" t="str">
        <x:v>https://drug.fda.moph.go.th/media.php?id=810466026549551104&amp;name=SMPC_Tenoxicam_Tablets.pdf</x:v>
      </x:c>
      <x:c r="E647" s="39" t="str">
        <x:v>Open</x:v>
      </x:c>
    </x:row>
    <x:row r="648">
      <x:c r="A648" s="31" t="str">
        <x:v>diclofenac</x:v>
      </x:c>
      <x:c r="B648" s="31" t="str">
        <x:v>interaction_severity_unclassified</x:v>
      </x:c>
      <x:c r="C648" s="37" t="str">
        <x:v>Possible named interaction with tenoxicam requires clinical severity review.</x:v>
      </x:c>
      <x:c r="D648" s="37" t="str">
        <x:v>https://drug.fda.moph.go.th/media.php?id=810466026549551104&amp;name=SMPC_Tenoxicam_Tablets.pdf</x:v>
      </x:c>
      <x:c r="E648" s="39" t="str">
        <x:v>Open</x:v>
      </x:c>
    </x:row>
    <x:row r="649">
      <x:c r="A649" s="31" t="str">
        <x:v>piroxicam</x:v>
      </x:c>
      <x:c r="B649" s="31" t="str">
        <x:v>interaction_severity_unclassified</x:v>
      </x:c>
      <x:c r="C649" s="37" t="str">
        <x:v>Possible named interaction with tenoxicam requires clinical severity review.</x:v>
      </x:c>
      <x:c r="D649" s="37" t="str">
        <x:v>https://drug.fda.moph.go.th/media.php?id=810466026549551104&amp;name=SMPC_Tenoxicam_Tablets.pdf</x:v>
      </x:c>
      <x:c r="E649" s="39" t="str">
        <x:v>Open</x:v>
      </x:c>
    </x:row>
    <x:row r="650">
      <x:c r="A650" s="31" t="str">
        <x:v>propranolol</x:v>
      </x:c>
      <x:c r="B650" s="31" t="str">
        <x:v>interaction_severity_unclassified</x:v>
      </x:c>
      <x:c r="C650" s="37" t="str">
        <x:v>Possible named interaction with terbutaline requires clinical severity review.</x:v>
      </x:c>
      <x:c r="D650" s="37" t="str">
        <x:v>https://drug.fda.moph.go.th/media.php?id=810466986881589248&amp;name=SMPC_Terbutaline_Solution for injection or infusion.pdf</x:v>
      </x:c>
      <x:c r="E650" s="39" t="str">
        <x:v>Open</x:v>
      </x:c>
    </x:row>
    <x:row r="651">
      <x:c r="A651" s="31" t="str">
        <x:v>propranolol</x:v>
      </x:c>
      <x:c r="B651" s="31" t="str">
        <x:v>interaction_severity_unclassified</x:v>
      </x:c>
      <x:c r="C651" s="37" t="str">
        <x:v>Possible named interaction with terbutaline requires clinical severity review.</x:v>
      </x:c>
      <x:c r="D651" s="37" t="str">
        <x:v>https://drug.fda.moph.go.th/media.php?id=810467535672713216&amp;name=SMPC_Terbutaline_Syrup.pdf</x:v>
      </x:c>
      <x:c r="E651" s="39" t="str">
        <x:v>Open</x:v>
      </x:c>
    </x:row>
    <x:row r="652">
      <x:c r="A652" s="31" t="str">
        <x:v>tetracycline</x:v>
      </x:c>
      <x:c r="B652" s="31" t="str">
        <x:v>interaction_severity_unclassified</x:v>
      </x:c>
      <x:c r="C652" s="37" t="str">
        <x:v>Possible named interaction with zinc requires clinical severity review.</x:v>
      </x:c>
      <x:c r="D652" s="37" t="str">
        <x:v>https://drug.fda.moph.go.th/media.php?id=810476861875429376&amp;name=SMPC_Tetracycline_Tablets.pdf</x:v>
      </x:c>
      <x:c r="E652" s="39" t="str">
        <x:v>Open</x:v>
      </x:c>
    </x:row>
    <x:row r="653">
      <x:c r="A653" s="31" t="str">
        <x:v>digoxin</x:v>
      </x:c>
      <x:c r="B653" s="31" t="str">
        <x:v>interaction_severity_unclassified</x:v>
      </x:c>
      <x:c r="C653" s="37" t="str">
        <x:v>Possible named interaction with tetracycline requires clinical severity review.</x:v>
      </x:c>
      <x:c r="D653" s="37" t="str">
        <x:v>https://drug.fda.moph.go.th/media.php?id=810476861875429376&amp;name=SMPC_Tetracycline_Tablets.pdf</x:v>
      </x:c>
      <x:c r="E653" s="39" t="str">
        <x:v>Open</x:v>
      </x:c>
    </x:row>
    <x:row r="654">
      <x:c r="A654" s="31" t="str">
        <x:v>insulin</x:v>
      </x:c>
      <x:c r="B654" s="31" t="str">
        <x:v>interaction_severity_unclassified</x:v>
      </x:c>
      <x:c r="C654" s="37" t="str">
        <x:v>Possible named interaction with tetracycline requires clinical severity review.</x:v>
      </x:c>
      <x:c r="D654" s="37" t="str">
        <x:v>https://drug.fda.moph.go.th/media.php?id=810476861875429376&amp;name=SMPC_Tetracycline_Tablets.pdf</x:v>
      </x:c>
      <x:c r="E654" s="39" t="str">
        <x:v>Open</x:v>
      </x:c>
    </x:row>
    <x:row r="655">
      <x:c r="A655" s="31" t="str">
        <x:v>sucralfate</x:v>
      </x:c>
      <x:c r="B655" s="31" t="str">
        <x:v>interaction_severity_unclassified</x:v>
      </x:c>
      <x:c r="C655" s="37" t="str">
        <x:v>Possible named interaction with tetracycline requires clinical severity review.</x:v>
      </x:c>
      <x:c r="D655" s="37" t="str">
        <x:v>https://drug.fda.moph.go.th/media.php?id=810476861875429376&amp;name=SMPC_Tetracycline_Tablets.pdf</x:v>
      </x:c>
      <x:c r="E655" s="39" t="str">
        <x:v>Open</x:v>
      </x:c>
    </x:row>
    <x:row r="656">
      <x:c r="A656" s="31" t="str">
        <x:v>methotrexate</x:v>
      </x:c>
      <x:c r="B656" s="31" t="str">
        <x:v>interaction_severity_unclassified</x:v>
      </x:c>
      <x:c r="C656" s="37" t="str">
        <x:v>Possible named interaction with tetracycline requires clinical severity review.</x:v>
      </x:c>
      <x:c r="D656" s="37" t="str">
        <x:v>https://drug.fda.moph.go.th/media.php?id=810476861875429376&amp;name=SMPC_Tetracycline_Tablets.pdf</x:v>
      </x:c>
      <x:c r="E656" s="39" t="str">
        <x:v>Open</x:v>
      </x:c>
    </x:row>
    <x:row r="657">
      <x:c r="A657" s="31" t="str">
        <x:v>lithium</x:v>
      </x:c>
      <x:c r="B657" s="31" t="str">
        <x:v>interaction_severity_unclassified</x:v>
      </x:c>
      <x:c r="C657" s="37" t="str">
        <x:v>Possible named interaction with tetracycline requires clinical severity review.</x:v>
      </x:c>
      <x:c r="D657" s="37" t="str">
        <x:v>https://drug.fda.moph.go.th/media.php?id=810476861875429376&amp;name=SMPC_Tetracycline_Tablets.pdf</x:v>
      </x:c>
      <x:c r="E657" s="39" t="str">
        <x:v>Open</x:v>
      </x:c>
    </x:row>
    <x:row r="658">
      <x:c r="A658" s="31" t="str">
        <x:v>fluorouracil</x:v>
      </x:c>
      <x:c r="B658" s="31" t="str">
        <x:v>interaction_severity_unclassified</x:v>
      </x:c>
      <x:c r="C658" s="37" t="str">
        <x:v>Possible named interaction with thiamine requires clinical severity review.</x:v>
      </x:c>
      <x:c r="D658" s="37" t="str">
        <x:v>https://drug.fda.moph.go.th/media.php?id=810477458427092992&amp;name=SMPC_Thiamine hydrochloride_Tablets.pdf</x:v>
      </x:c>
      <x:c r="E658" s="39" t="str">
        <x:v>Open</x:v>
      </x:c>
    </x:row>
    <x:row r="659">
      <x:c r="A659" s="31" t="str">
        <x:v>theophylline</x:v>
      </x:c>
      <x:c r="B659" s="31" t="str">
        <x:v>interaction_severity_unclassified</x:v>
      </x:c>
      <x:c r="C659" s="37" t="str">
        <x:v>Possible named interaction with thiamine requires clinical severity review.</x:v>
      </x:c>
      <x:c r="D659" s="37" t="str">
        <x:v>https://drug.fda.moph.go.th/media.php?id=810477458427092992&amp;name=SMPC_Thiamine hydrochloride_Tablets.pdf</x:v>
      </x:c>
      <x:c r="E659" s="39" t="str">
        <x:v>Open</x:v>
      </x:c>
    </x:row>
    <x:row r="660">
      <x:c r="A660" s="31" t="str">
        <x:v>fluorouracil</x:v>
      </x:c>
      <x:c r="B660" s="31" t="str">
        <x:v>interaction_severity_unclassified</x:v>
      </x:c>
      <x:c r="C660" s="37" t="str">
        <x:v>Possible named interaction with thiamine requires clinical severity review.</x:v>
      </x:c>
      <x:c r="D660" s="37" t="str">
        <x:v>https://drug.fda.moph.go.th/media.php?id=810478221882695680&amp;name=SMPC_Thiamine hydrochloride_Solution for Injection.pdf</x:v>
      </x:c>
      <x:c r="E660" s="39" t="str">
        <x:v>Open</x:v>
      </x:c>
    </x:row>
    <x:row r="661">
      <x:c r="A661" s="31" t="str">
        <x:v>furosemide</x:v>
      </x:c>
      <x:c r="B661" s="31" t="str">
        <x:v>interaction_severity_unclassified</x:v>
      </x:c>
      <x:c r="C661" s="37" t="str">
        <x:v>Possible named interaction with thiamine requires clinical severity review.</x:v>
      </x:c>
      <x:c r="D661" s="37" t="str">
        <x:v>https://drug.fda.moph.go.th/media.php?id=810478221882695680&amp;name=SMPC_Thiamine hydrochloride_Solution for Injection.pdf</x:v>
      </x:c>
      <x:c r="E661" s="39" t="str">
        <x:v>Open</x:v>
      </x:c>
    </x:row>
    <x:row r="662">
      <x:c r="A662" s="31" t="str">
        <x:v>theophylline</x:v>
      </x:c>
      <x:c r="B662" s="31" t="str">
        <x:v>interaction_severity_unclassified</x:v>
      </x:c>
      <x:c r="C662" s="37" t="str">
        <x:v>Possible named interaction with thiamine requires clinical severity review.</x:v>
      </x:c>
      <x:c r="D662" s="37" t="str">
        <x:v>https://drug.fda.moph.go.th/media.php?id=810478221882695680&amp;name=SMPC_Thiamine hydrochloride_Solution for Injection.pdf</x:v>
      </x:c>
      <x:c r="E662" s="39" t="str">
        <x:v>Open</x:v>
      </x:c>
    </x:row>
    <x:row r="663">
      <x:c r="A663" s="31" t="str">
        <x:v>clonidine</x:v>
      </x:c>
      <x:c r="B663" s="31" t="str">
        <x:v>interaction_severity_unclassified</x:v>
      </x:c>
      <x:c r="C663" s="37" t="str">
        <x:v>Possible named interaction with timolol requires clinical severity review.</x:v>
      </x:c>
      <x:c r="D663" s="37" t="str">
        <x:v>https://drug.fda.moph.go.th/media.php?id=810482237991690240&amp;name=SMPC_Timolol_Eye Drops Solution.pdf</x:v>
      </x:c>
      <x:c r="E663" s="39" t="str">
        <x:v>Open</x:v>
      </x:c>
    </x:row>
    <x:row r="664">
      <x:c r="A664" s="31" t="str">
        <x:v>fluoxetine</x:v>
      </x:c>
      <x:c r="B664" s="31" t="str">
        <x:v>interaction_severity_unclassified</x:v>
      </x:c>
      <x:c r="C664" s="37" t="str">
        <x:v>Possible named interaction with timolol requires clinical severity review.</x:v>
      </x:c>
      <x:c r="D664" s="37" t="str">
        <x:v>https://drug.fda.moph.go.th/media.php?id=810482237991690240&amp;name=SMPC_Timolol_Eye Drops Solution.pdf</x:v>
      </x:c>
      <x:c r="E664" s="39" t="str">
        <x:v>Open</x:v>
      </x:c>
    </x:row>
    <x:row r="665">
      <x:c r="A665" s="31" t="str">
        <x:v>diltiazem</x:v>
      </x:c>
      <x:c r="B665" s="31" t="str">
        <x:v>interaction_severity_unclassified</x:v>
      </x:c>
      <x:c r="C665" s="37" t="str">
        <x:v>Possible named interaction with timolol requires clinical severity review.</x:v>
      </x:c>
      <x:c r="D665" s="37" t="str">
        <x:v>https://drug.fda.moph.go.th/media.php?id=810482237991690240&amp;name=SMPC_Timolol_Eye Drops Solution.pdf</x:v>
      </x:c>
      <x:c r="E665" s="39" t="str">
        <x:v>Open</x:v>
      </x:c>
    </x:row>
    <x:row r="666">
      <x:c r="A666" s="31" t="str">
        <x:v>timolol</x:v>
      </x:c>
      <x:c r="B666" s="31" t="str">
        <x:v>interaction_severity_unclassified</x:v>
      </x:c>
      <x:c r="C666" s="37" t="str">
        <x:v>Possible named interaction with verapamil requires clinical severity review.</x:v>
      </x:c>
      <x:c r="D666" s="37" t="str">
        <x:v>https://drug.fda.moph.go.th/media.php?id=810482237991690240&amp;name=SMPC_Timolol_Eye Drops Solution.pdf</x:v>
      </x:c>
      <x:c r="E666" s="39" t="str">
        <x:v>Open</x:v>
      </x:c>
    </x:row>
    <x:row r="667">
      <x:c r="A667" s="31" t="str">
        <x:v>metronidazole</x:v>
      </x:c>
      <x:c r="B667" s="31" t="str">
        <x:v>interaction_severity_unclassified</x:v>
      </x:c>
      <x:c r="C667" s="37" t="str">
        <x:v>Possible named interaction with tinidazole requires clinical severity review.</x:v>
      </x:c>
      <x:c r="D667" s="37" t="str">
        <x:v>https://drug.fda.moph.go.th/media.php?id=810482703316164608&amp;name=SMPC_Tinidazole_Film-coated Tablet.pdf</x:v>
      </x:c>
      <x:c r="E667" s="39" t="str">
        <x:v>Open</x:v>
      </x:c>
    </x:row>
    <x:row r="668">
      <x:c r="A668" s="31" t="str">
        <x:v>carbamazepine</x:v>
      </x:c>
      <x:c r="B668" s="31" t="str">
        <x:v>interaction_severity_unclassified</x:v>
      </x:c>
      <x:c r="C668" s="37" t="str">
        <x:v>Possible named interaction with tocopherol requires clinical severity review.</x:v>
      </x:c>
      <x:c r="D668" s="37" t="str">
        <x:v>https://drug.fda.moph.go.th/media.php?id=810483084486123520&amp;name=SMPC_Tocopherol_soft capsules.pdf</x:v>
      </x:c>
      <x:c r="E668" s="39" t="str">
        <x:v>Open</x:v>
      </x:c>
    </x:row>
    <x:row r="669">
      <x:c r="A669" s="31" t="str">
        <x:v>cimetidine</x:v>
      </x:c>
      <x:c r="B669" s="31" t="str">
        <x:v>interaction_severity_unclassified</x:v>
      </x:c>
      <x:c r="C669" s="37" t="str">
        <x:v>Possible named interaction with tramadol requires clinical severity review.</x:v>
      </x:c>
      <x:c r="D669" s="37" t="str">
        <x:v>https://drug.fda.moph.go.th/media.php?id=810483663501402112&amp;name=SMPC_Tramadol_Capsules.pdf</x:v>
      </x:c>
      <x:c r="E669" s="39" t="str">
        <x:v>Open</x:v>
      </x:c>
    </x:row>
    <x:row r="670">
      <x:c r="A670" s="31" t="str">
        <x:v>erythromycin</x:v>
      </x:c>
      <x:c r="B670" s="31" t="str">
        <x:v>interaction_severity_unclassified</x:v>
      </x:c>
      <x:c r="C670" s="37" t="str">
        <x:v>Possible named interaction with tramadol requires clinical severity review.</x:v>
      </x:c>
      <x:c r="D670" s="37" t="str">
        <x:v>https://drug.fda.moph.go.th/media.php?id=810483663501402112&amp;name=SMPC_Tramadol_Capsules.pdf</x:v>
      </x:c>
      <x:c r="E670" s="39" t="str">
        <x:v>Open</x:v>
      </x:c>
    </x:row>
    <x:row r="671">
      <x:c r="A671" s="31" t="str">
        <x:v>ketoconazole</x:v>
      </x:c>
      <x:c r="B671" s="31" t="str">
        <x:v>interaction_severity_unclassified</x:v>
      </x:c>
      <x:c r="C671" s="37" t="str">
        <x:v>Possible named interaction with tramadol requires clinical severity review.</x:v>
      </x:c>
      <x:c r="D671" s="37" t="str">
        <x:v>https://drug.fda.moph.go.th/media.php?id=810483663501402112&amp;name=SMPC_Tramadol_Capsules.pdf</x:v>
      </x:c>
      <x:c r="E671" s="39" t="str">
        <x:v>Open</x:v>
      </x:c>
    </x:row>
    <x:row r="672">
      <x:c r="A672" s="31" t="str">
        <x:v>paracetamol</x:v>
      </x:c>
      <x:c r="B672" s="31" t="str">
        <x:v>interaction_severity_unclassified</x:v>
      </x:c>
      <x:c r="C672" s="37" t="str">
        <x:v>Possible named interaction with tramadol requires clinical severity review.</x:v>
      </x:c>
      <x:c r="D672" s="37" t="str">
        <x:v>https://drug.fda.moph.go.th/media.php?id=810483663501402112&amp;name=SMPC_Tramadol_Capsules.pdf</x:v>
      </x:c>
      <x:c r="E672" s="39" t="str">
        <x:v>Open</x:v>
      </x:c>
    </x:row>
    <x:row r="673">
      <x:c r="A673" s="31" t="str">
        <x:v>cimetidine</x:v>
      </x:c>
      <x:c r="B673" s="31" t="str">
        <x:v>interaction_severity_unclassified</x:v>
      </x:c>
      <x:c r="C673" s="37" t="str">
        <x:v>Possible named interaction with tramadol requires clinical severity review.</x:v>
      </x:c>
      <x:c r="D673" s="37" t="str">
        <x:v>https://drug.fda.moph.go.th/media.php?id=810484035766853632&amp;name=SMPC_Tramadol_solution for injection or infusion.pdf</x:v>
      </x:c>
      <x:c r="E673" s="39" t="str">
        <x:v>Open</x:v>
      </x:c>
    </x:row>
    <x:row r="674">
      <x:c r="A674" s="31" t="str">
        <x:v>erythromycin</x:v>
      </x:c>
      <x:c r="B674" s="31" t="str">
        <x:v>interaction_severity_unclassified</x:v>
      </x:c>
      <x:c r="C674" s="37" t="str">
        <x:v>Possible named interaction with tramadol requires clinical severity review.</x:v>
      </x:c>
      <x:c r="D674" s="37" t="str">
        <x:v>https://drug.fda.moph.go.th/media.php?id=810484035766853632&amp;name=SMPC_Tramadol_solution for injection or infusion.pdf</x:v>
      </x:c>
      <x:c r="E674" s="39" t="str">
        <x:v>Open</x:v>
      </x:c>
    </x:row>
    <x:row r="675">
      <x:c r="A675" s="31" t="str">
        <x:v>ketoconazole</x:v>
      </x:c>
      <x:c r="B675" s="31" t="str">
        <x:v>interaction_severity_unclassified</x:v>
      </x:c>
      <x:c r="C675" s="37" t="str">
        <x:v>Possible named interaction with tramadol requires clinical severity review.</x:v>
      </x:c>
      <x:c r="D675" s="37" t="str">
        <x:v>https://drug.fda.moph.go.th/media.php?id=810484035766853632&amp;name=SMPC_Tramadol_solution for injection or infusion.pdf</x:v>
      </x:c>
      <x:c r="E675" s="39" t="str">
        <x:v>Open</x:v>
      </x:c>
    </x:row>
    <x:row r="676">
      <x:c r="A676" s="31" t="str">
        <x:v>diclofenac</x:v>
      </x:c>
      <x:c r="B676" s="31" t="str">
        <x:v>interaction_severity_unclassified</x:v>
      </x:c>
      <x:c r="C676" s="37" t="str">
        <x:v>Possible named interaction with tramadol requires clinical severity review.</x:v>
      </x:c>
      <x:c r="D676" s="37" t="str">
        <x:v>https://drug.fda.moph.go.th/media.php?id=810484035766853632&amp;name=SMPC_Tramadol_solution for injection or infusion.pdf</x:v>
      </x:c>
      <x:c r="E676" s="39" t="str">
        <x:v>Open</x:v>
      </x:c>
    </x:row>
    <x:row r="677">
      <x:c r="A677" s="31" t="str">
        <x:v>indomethacin</x:v>
      </x:c>
      <x:c r="B677" s="31" t="str">
        <x:v>interaction_severity_unclassified</x:v>
      </x:c>
      <x:c r="C677" s="37" t="str">
        <x:v>Possible named interaction with tramadol requires clinical severity review.</x:v>
      </x:c>
      <x:c r="D677" s="37" t="str">
        <x:v>https://drug.fda.moph.go.th/media.php?id=810484035766853632&amp;name=SMPC_Tramadol_solution for injection or infusion.pdf</x:v>
      </x:c>
      <x:c r="E677" s="39" t="str">
        <x:v>Open</x:v>
      </x:c>
    </x:row>
    <x:row r="678">
      <x:c r="A678" s="31" t="str">
        <x:v>piroxicam</x:v>
      </x:c>
      <x:c r="B678" s="31" t="str">
        <x:v>interaction_severity_unclassified</x:v>
      </x:c>
      <x:c r="C678" s="37" t="str">
        <x:v>Possible named interaction with tramadol requires clinical severity review.</x:v>
      </x:c>
      <x:c r="D678" s="37" t="str">
        <x:v>https://drug.fda.moph.go.th/media.php?id=810484035766853632&amp;name=SMPC_Tramadol_solution for injection or infusion.pdf</x:v>
      </x:c>
      <x:c r="E678" s="39" t="str">
        <x:v>Open</x:v>
      </x:c>
    </x:row>
    <x:row r="679">
      <x:c r="A679" s="31" t="str">
        <x:v>carbamazepine</x:v>
      </x:c>
      <x:c r="B679" s="31" t="str">
        <x:v>interaction_severity_unclassified</x:v>
      </x:c>
      <x:c r="C679" s="37" t="str">
        <x:v>Possible named interaction with trazodone requires clinical severity review.</x:v>
      </x:c>
      <x:c r="D679" s="37" t="str">
        <x:v>https://drug.fda.moph.go.th/media.php?id=810484413367459840&amp;name=SMPC_Trazodone_Tablets.pdf</x:v>
      </x:c>
      <x:c r="E679" s="39" t="str">
        <x:v>Open</x:v>
      </x:c>
    </x:row>
    <x:row r="680">
      <x:c r="A680" s="31" t="str">
        <x:v>cimetidine</x:v>
      </x:c>
      <x:c r="B680" s="31" t="str">
        <x:v>interaction_severity_unclassified</x:v>
      </x:c>
      <x:c r="C680" s="37" t="str">
        <x:v>Possible named interaction with trazodone requires clinical severity review.</x:v>
      </x:c>
      <x:c r="D680" s="37" t="str">
        <x:v>https://drug.fda.moph.go.th/media.php?id=810484413367459840&amp;name=SMPC_Trazodone_Tablets.pdf</x:v>
      </x:c>
      <x:c r="E680" s="39" t="str">
        <x:v>Open</x:v>
      </x:c>
    </x:row>
    <x:row r="681">
      <x:c r="A681" s="31" t="str">
        <x:v>erythromycin</x:v>
      </x:c>
      <x:c r="B681" s="31" t="str">
        <x:v>interaction_severity_unclassified</x:v>
      </x:c>
      <x:c r="C681" s="37" t="str">
        <x:v>Possible named interaction with trazodone requires clinical severity review.</x:v>
      </x:c>
      <x:c r="D681" s="37" t="str">
        <x:v>https://drug.fda.moph.go.th/media.php?id=810484413367459840&amp;name=SMPC_Trazodone_Tablets.pdf</x:v>
      </x:c>
      <x:c r="E681" s="39" t="str">
        <x:v>Open</x:v>
      </x:c>
    </x:row>
    <x:row r="682">
      <x:c r="A682" s="31" t="str">
        <x:v>itraconazole</x:v>
      </x:c>
      <x:c r="B682" s="31" t="str">
        <x:v>interaction_severity_unclassified</x:v>
      </x:c>
      <x:c r="C682" s="37" t="str">
        <x:v>Possible named interaction with trazodone requires clinical severity review.</x:v>
      </x:c>
      <x:c r="D682" s="37" t="str">
        <x:v>https://drug.fda.moph.go.th/media.php?id=810484413367459840&amp;name=SMPC_Trazodone_Tablets.pdf</x:v>
      </x:c>
      <x:c r="E682" s="39" t="str">
        <x:v>Open</x:v>
      </x:c>
    </x:row>
    <x:row r="683">
      <x:c r="A683" s="31" t="str">
        <x:v>ketoconazole</x:v>
      </x:c>
      <x:c r="B683" s="31" t="str">
        <x:v>interaction_severity_unclassified</x:v>
      </x:c>
      <x:c r="C683" s="37" t="str">
        <x:v>Possible named interaction with trazodone requires clinical severity review.</x:v>
      </x:c>
      <x:c r="D683" s="37" t="str">
        <x:v>https://drug.fda.moph.go.th/media.php?id=810484413367459840&amp;name=SMPC_Trazodone_Tablets.pdf</x:v>
      </x:c>
      <x:c r="E683" s="39" t="str">
        <x:v>Open</x:v>
      </x:c>
    </x:row>
    <x:row r="684">
      <x:c r="A684" s="31" t="str">
        <x:v>carbamazepine</x:v>
      </x:c>
      <x:c r="B684" s="31" t="str">
        <x:v>interaction_severity_unclassified</x:v>
      </x:c>
      <x:c r="C684" s="37" t="str">
        <x:v>Possible named interaction with trazodone requires clinical severity review.</x:v>
      </x:c>
      <x:c r="D684" s="37" t="str">
        <x:v>https://drug.fda.moph.go.th/media.php?id=810484413367459840&amp;name=SMPC_Trazodone_Tablets.pdf</x:v>
      </x:c>
      <x:c r="E684" s="39" t="str">
        <x:v>Open</x:v>
      </x:c>
    </x:row>
    <x:row r="685">
      <x:c r="A685" s="31" t="str">
        <x:v>fluoxetine</x:v>
      </x:c>
      <x:c r="B685" s="31" t="str">
        <x:v>interaction_severity_unclassified</x:v>
      </x:c>
      <x:c r="C685" s="37" t="str">
        <x:v>Possible named interaction with trazodone requires clinical severity review.</x:v>
      </x:c>
      <x:c r="D685" s="37" t="str">
        <x:v>https://drug.fda.moph.go.th/media.php?id=810484413367459840&amp;name=SMPC_Trazodone_Tablets.pdf</x:v>
      </x:c>
      <x:c r="E685" s="39" t="str">
        <x:v>Open</x:v>
      </x:c>
    </x:row>
    <x:row r="686">
      <x:c r="A686" s="31" t="str">
        <x:v>chlorpromazine</x:v>
      </x:c>
      <x:c r="B686" s="31" t="str">
        <x:v>interaction_severity_unclassified</x:v>
      </x:c>
      <x:c r="C686" s="37" t="str">
        <x:v>Possible named interaction with trazodone requires clinical severity review.</x:v>
      </x:c>
      <x:c r="D686" s="37" t="str">
        <x:v>https://drug.fda.moph.go.th/media.php?id=810484413367459840&amp;name=SMPC_Trazodone_Tablets.pdf</x:v>
      </x:c>
      <x:c r="E686" s="39" t="str">
        <x:v>Open</x:v>
      </x:c>
    </x:row>
    <x:row r="687">
      <x:c r="A687" s="31" t="str">
        <x:v>clonidine</x:v>
      </x:c>
      <x:c r="B687" s="31" t="str">
        <x:v>interaction_severity_unclassified</x:v>
      </x:c>
      <x:c r="C687" s="37" t="str">
        <x:v>Possible named interaction with trazodone requires clinical severity review.</x:v>
      </x:c>
      <x:c r="D687" s="37" t="str">
        <x:v>https://drug.fda.moph.go.th/media.php?id=810484413367459840&amp;name=SMPC_Trazodone_Tablets.pdf</x:v>
      </x:c>
      <x:c r="E687" s="39" t="str">
        <x:v>Open</x:v>
      </x:c>
    </x:row>
    <x:row r="688">
      <x:c r="A688" s="31" t="str">
        <x:v>perphenazine</x:v>
      </x:c>
      <x:c r="B688" s="31" t="str">
        <x:v>interaction_severity_unclassified</x:v>
      </x:c>
      <x:c r="C688" s="37" t="str">
        <x:v>Possible named interaction with trazodone requires clinical severity review.</x:v>
      </x:c>
      <x:c r="D688" s="37" t="str">
        <x:v>https://drug.fda.moph.go.th/media.php?id=810484413367459840&amp;name=SMPC_Trazodone_Tablets.pdf</x:v>
      </x:c>
      <x:c r="E688" s="39" t="str">
        <x:v>Open</x:v>
      </x:c>
    </x:row>
    <x:row r="689">
      <x:c r="A689" s="31" t="str">
        <x:v>digoxin</x:v>
      </x:c>
      <x:c r="B689" s="31" t="str">
        <x:v>interaction_severity_unclassified</x:v>
      </x:c>
      <x:c r="C689" s="37" t="str">
        <x:v>Possible named interaction with trazodone requires clinical severity review.</x:v>
      </x:c>
      <x:c r="D689" s="37" t="str">
        <x:v>https://drug.fda.moph.go.th/media.php?id=810484413367459840&amp;name=SMPC_Trazodone_Tablets.pdf</x:v>
      </x:c>
      <x:c r="E689" s="39" t="str">
        <x:v>Open</x:v>
      </x:c>
    </x:row>
    <x:row r="690">
      <x:c r="A690" s="31" t="str">
        <x:v>insulin</x:v>
      </x:c>
      <x:c r="B690" s="31" t="str">
        <x:v>interaction_severity_unclassified</x:v>
      </x:c>
      <x:c r="C690" s="37" t="str">
        <x:v>Possible named interaction with triamcinolone_acetonide requires clinical severity review.</x:v>
      </x:c>
      <x:c r="D690" s="37" t="str">
        <x:v>https://drug.fda.moph.go.th/media.php?id=810493020255428608&amp;name=SMPC_Triamcinolone_Suspensions for injections or infusions.pdf</x:v>
      </x:c>
      <x:c r="E690" s="39" t="str">
        <x:v>Open</x:v>
      </x:c>
    </x:row>
    <x:row r="691">
      <x:c r="A691" s="31" t="str">
        <x:v>carbamazepine</x:v>
      </x:c>
      <x:c r="B691" s="31" t="str">
        <x:v>interaction_severity_unclassified</x:v>
      </x:c>
      <x:c r="C691" s="37" t="str">
        <x:v>Possible named interaction with triamcinolone_acetonide requires clinical severity review.</x:v>
      </x:c>
      <x:c r="D691" s="37" t="str">
        <x:v>https://drug.fda.moph.go.th/media.php?id=810493020255428608&amp;name=SMPC_Triamcinolone_Suspensions for injections or infusions.pdf</x:v>
      </x:c>
      <x:c r="E691" s="39" t="str">
        <x:v>Open</x:v>
      </x:c>
    </x:row>
    <x:row r="692">
      <x:c r="A692" s="31" t="str">
        <x:v>isoniazid</x:v>
      </x:c>
      <x:c r="B692" s="31" t="str">
        <x:v>interaction_severity_unclassified</x:v>
      </x:c>
      <x:c r="C692" s="37" t="str">
        <x:v>Possible named interaction with triamcinolone_acetonide requires clinical severity review.</x:v>
      </x:c>
      <x:c r="D692" s="37" t="str">
        <x:v>https://drug.fda.moph.go.th/media.php?id=810493020255428608&amp;name=SMPC_Triamcinolone_Suspensions for injections or infusions.pdf</x:v>
      </x:c>
      <x:c r="E692" s="39" t="str">
        <x:v>Open</x:v>
      </x:c>
    </x:row>
    <x:row r="693">
      <x:c r="A693" s="31" t="str">
        <x:v>rifampicin</x:v>
      </x:c>
      <x:c r="B693" s="31" t="str">
        <x:v>interaction_severity_unclassified</x:v>
      </x:c>
      <x:c r="C693" s="37" t="str">
        <x:v>Possible named interaction with triamcinolone_acetonide requires clinical severity review.</x:v>
      </x:c>
      <x:c r="D693" s="37" t="str">
        <x:v>https://drug.fda.moph.go.th/media.php?id=810493020255428608&amp;name=SMPC_Triamcinolone_Suspensions for injections or infusions.pdf</x:v>
      </x:c>
      <x:c r="E693" s="39" t="str">
        <x:v>Open</x:v>
      </x:c>
    </x:row>
    <x:row r="694">
      <x:c r="A694" s="31" t="str">
        <x:v>clarithromycin</x:v>
      </x:c>
      <x:c r="B694" s="31" t="str">
        <x:v>interaction_severity_unclassified</x:v>
      </x:c>
      <x:c r="C694" s="37" t="str">
        <x:v>Possible named interaction with triamcinolone_acetonide requires clinical severity review.</x:v>
      </x:c>
      <x:c r="D694" s="37" t="str">
        <x:v>https://drug.fda.moph.go.th/media.php?id=810493020255428608&amp;name=SMPC_Triamcinolone_Suspensions for injections or infusions.pdf</x:v>
      </x:c>
      <x:c r="E694" s="39" t="str">
        <x:v>Open</x:v>
      </x:c>
    </x:row>
    <x:row r="695">
      <x:c r="A695" s="31" t="str">
        <x:v>itraconazole</x:v>
      </x:c>
      <x:c r="B695" s="31" t="str">
        <x:v>interaction_severity_unclassified</x:v>
      </x:c>
      <x:c r="C695" s="37" t="str">
        <x:v>Possible named interaction with triamcinolone_acetonide requires clinical severity review.</x:v>
      </x:c>
      <x:c r="D695" s="37" t="str">
        <x:v>https://drug.fda.moph.go.th/media.php?id=810493020255428608&amp;name=SMPC_Triamcinolone_Suspensions for injections or infusions.pdf</x:v>
      </x:c>
      <x:c r="E695" s="39" t="str">
        <x:v>Open</x:v>
      </x:c>
    </x:row>
    <x:row r="696">
      <x:c r="A696" s="31" t="str">
        <x:v>ketoconazole</x:v>
      </x:c>
      <x:c r="B696" s="31" t="str">
        <x:v>interaction_severity_unclassified</x:v>
      </x:c>
      <x:c r="C696" s="37" t="str">
        <x:v>Possible named interaction with triamcinolone_acetonide requires clinical severity review.</x:v>
      </x:c>
      <x:c r="D696" s="37" t="str">
        <x:v>https://drug.fda.moph.go.th/media.php?id=810493020255428608&amp;name=SMPC_Triamcinolone_Suspensions for injections or infusions.pdf</x:v>
      </x:c>
      <x:c r="E696" s="39" t="str">
        <x:v>Open</x:v>
      </x:c>
    </x:row>
    <x:row r="697">
      <x:c r="A697" s="31" t="str">
        <x:v>insulin</x:v>
      </x:c>
      <x:c r="B697" s="31" t="str">
        <x:v>interaction_severity_unclassified</x:v>
      </x:c>
      <x:c r="C697" s="37" t="str">
        <x:v>Possible named interaction with triamcinolone_acetonide requires clinical severity review.</x:v>
      </x:c>
      <x:c r="D697" s="37" t="str">
        <x:v>https://drug.fda.moph.go.th/media.php?id=810493020255428608&amp;name=SMPC_Triamcinolone_Suspensions for injections or infusions.pdf</x:v>
      </x:c>
      <x:c r="E697" s="39" t="str">
        <x:v>Open</x:v>
      </x:c>
    </x:row>
    <x:row r="698">
      <x:c r="A698" s="31" t="str">
        <x:v>carbamazepine</x:v>
      </x:c>
      <x:c r="B698" s="31" t="str">
        <x:v>interaction_severity_unclassified</x:v>
      </x:c>
      <x:c r="C698" s="37" t="str">
        <x:v>Possible named interaction with triamcinolone_acetonide requires clinical severity review.</x:v>
      </x:c>
      <x:c r="D698" s="37" t="str">
        <x:v>https://drug.fda.moph.go.th/media.php?id=810493020255428608&amp;name=SMPC_Triamcinolone_Suspensions for injections or infusions.pdf</x:v>
      </x:c>
      <x:c r="E698" s="39" t="str">
        <x:v>Open</x:v>
      </x:c>
    </x:row>
    <x:row r="699">
      <x:c r="A699" s="31" t="str">
        <x:v>isoniazid</x:v>
      </x:c>
      <x:c r="B699" s="31" t="str">
        <x:v>interaction_severity_unclassified</x:v>
      </x:c>
      <x:c r="C699" s="37" t="str">
        <x:v>Possible named interaction with triamcinolone_acetonide requires clinical severity review.</x:v>
      </x:c>
      <x:c r="D699" s="37" t="str">
        <x:v>https://drug.fda.moph.go.th/media.php?id=810493020255428608&amp;name=SMPC_Triamcinolone_Suspensions for injections or infusions.pdf</x:v>
      </x:c>
      <x:c r="E699" s="39" t="str">
        <x:v>Open</x:v>
      </x:c>
    </x:row>
    <x:row r="700">
      <x:c r="A700" s="31" t="str">
        <x:v>rifampicin</x:v>
      </x:c>
      <x:c r="B700" s="31" t="str">
        <x:v>interaction_severity_unclassified</x:v>
      </x:c>
      <x:c r="C700" s="37" t="str">
        <x:v>Possible named interaction with triamcinolone_acetonide requires clinical severity review.</x:v>
      </x:c>
      <x:c r="D700" s="37" t="str">
        <x:v>https://drug.fda.moph.go.th/media.php?id=810493020255428608&amp;name=SMPC_Triamcinolone_Suspensions for injections or infusions.pdf</x:v>
      </x:c>
      <x:c r="E700" s="39" t="str">
        <x:v>Open</x:v>
      </x:c>
    </x:row>
    <x:row r="701">
      <x:c r="A701" s="31" t="str">
        <x:v>clarithromycin</x:v>
      </x:c>
      <x:c r="B701" s="31" t="str">
        <x:v>interaction_severity_unclassified</x:v>
      </x:c>
      <x:c r="C701" s="37" t="str">
        <x:v>Possible named interaction with triamcinolone_acetonide requires clinical severity review.</x:v>
      </x:c>
      <x:c r="D701" s="37" t="str">
        <x:v>https://drug.fda.moph.go.th/media.php?id=810493020255428608&amp;name=SMPC_Triamcinolone_Suspensions for injections or infusions.pdf</x:v>
      </x:c>
      <x:c r="E701" s="39" t="str">
        <x:v>Open</x:v>
      </x:c>
    </x:row>
    <x:row r="702">
      <x:c r="A702" s="31" t="str">
        <x:v>itraconazole</x:v>
      </x:c>
      <x:c r="B702" s="31" t="str">
        <x:v>interaction_severity_unclassified</x:v>
      </x:c>
      <x:c r="C702" s="37" t="str">
        <x:v>Possible named interaction with triamcinolone_acetonide requires clinical severity review.</x:v>
      </x:c>
      <x:c r="D702" s="37" t="str">
        <x:v>https://drug.fda.moph.go.th/media.php?id=810493020255428608&amp;name=SMPC_Triamcinolone_Suspensions for injections or infusions.pdf</x:v>
      </x:c>
      <x:c r="E702" s="39" t="str">
        <x:v>Open</x:v>
      </x:c>
    </x:row>
    <x:row r="703">
      <x:c r="A703" s="31" t="str">
        <x:v>ketoconazole</x:v>
      </x:c>
      <x:c r="B703" s="31" t="str">
        <x:v>interaction_severity_unclassified</x:v>
      </x:c>
      <x:c r="C703" s="37" t="str">
        <x:v>Possible named interaction with triamcinolone_acetonide requires clinical severity review.</x:v>
      </x:c>
      <x:c r="D703" s="37" t="str">
        <x:v>https://drug.fda.moph.go.th/media.php?id=810493020255428608&amp;name=SMPC_Triamcinolone_Suspensions for injections or infusions.pdf</x:v>
      </x:c>
      <x:c r="E703" s="39" t="str">
        <x:v>Open</x:v>
      </x:c>
    </x:row>
    <x:row r="704">
      <x:c r="A704" s="31" t="str">
        <x:v>rifampicin</x:v>
      </x:c>
      <x:c r="B704" s="31" t="str">
        <x:v>interaction_severity_unclassified</x:v>
      </x:c>
      <x:c r="C704" s="37" t="str">
        <x:v>Possible named interaction with trimethoprim_sulfamethoxazole requires clinical severity review.</x:v>
      </x:c>
      <x:c r="D704" s="37" t="str">
        <x:v>https://drug.fda.moph.go.th/media.php?id=810494133834752000&amp;name=SMPC_Trimethoprim + Sulfamethoxazole_Solution for Infusion.pdf</x:v>
      </x:c>
      <x:c r="E704" s="39" t="str">
        <x:v>Open</x:v>
      </x:c>
    </x:row>
    <x:row r="705">
      <x:c r="A705" s="31" t="str">
        <x:v>digoxin</x:v>
      </x:c>
      <x:c r="B705" s="31" t="str">
        <x:v>interaction_severity_unclassified</x:v>
      </x:c>
      <x:c r="C705" s="37" t="str">
        <x:v>Possible named interaction with trimethoprim_sulfamethoxazole requires clinical severity review.</x:v>
      </x:c>
      <x:c r="D705" s="37" t="str">
        <x:v>https://drug.fda.moph.go.th/media.php?id=810494133834752000&amp;name=SMPC_Trimethoprim + Sulfamethoxazole_Solution for Infusion.pdf</x:v>
      </x:c>
      <x:c r="E705" s="39" t="str">
        <x:v>Open</x:v>
      </x:c>
    </x:row>
    <x:row r="706">
      <x:c r="A706" s="31" t="str">
        <x:v>methotrexate</x:v>
      </x:c>
      <x:c r="B706" s="31" t="str">
        <x:v>interaction_severity_unclassified</x:v>
      </x:c>
      <x:c r="C706" s="37" t="str">
        <x:v>Possible named interaction with trimethoprim_sulfamethoxazole requires clinical severity review.</x:v>
      </x:c>
      <x:c r="D706" s="37" t="str">
        <x:v>https://drug.fda.moph.go.th/media.php?id=810494133834752000&amp;name=SMPC_Trimethoprim + Sulfamethoxazole_Solution for Infusion.pdf</x:v>
      </x:c>
      <x:c r="E706" s="39" t="str">
        <x:v>Open</x:v>
      </x:c>
    </x:row>
    <x:row r="707">
      <x:c r="A707" s="31" t="str">
        <x:v>diphenhydramine</x:v>
      </x:c>
      <x:c r="B707" s="31" t="str">
        <x:v>interaction_severity_unclassified</x:v>
      </x:c>
      <x:c r="C707" s="37" t="str">
        <x:v>Possible named interaction with trimethoprim_sulfamethoxazole requires clinical severity review.</x:v>
      </x:c>
      <x:c r="D707" s="37" t="str">
        <x:v>https://drug.fda.moph.go.th/media.php?id=810494133834752000&amp;name=SMPC_Trimethoprim + Sulfamethoxazole_Solution for Infusion.pdf</x:v>
      </x:c>
      <x:c r="E707" s="39" t="str">
        <x:v>Open</x:v>
      </x:c>
    </x:row>
    <x:row r="708">
      <x:c r="A708" s="31" t="str">
        <x:v>rifampicin</x:v>
      </x:c>
      <x:c r="B708" s="31" t="str">
        <x:v>interaction_severity_unclassified</x:v>
      </x:c>
      <x:c r="C708" s="37" t="str">
        <x:v>Possible named interaction with zidovudine requires clinical severity review.</x:v>
      </x:c>
      <x:c r="D708" s="37" t="str">
        <x:v>https://drug.fda.moph.go.th/media.php?id=810494978483691520&amp;name=SMPC_Zidovudine_Capsules.pdf</x:v>
      </x:c>
      <x:c r="E708" s="39" t="str">
        <x:v>Open</x:v>
      </x:c>
    </x:row>
    <x:row r="709">
      <x:c r="A709" s="31" t="str">
        <x:v>aciclovir</x:v>
      </x:c>
      <x:c r="B709" s="31" t="str">
        <x:v>interaction_severity_unclassified</x:v>
      </x:c>
      <x:c r="C709" s="37" t="str">
        <x:v>Possible named interaction with zidovudine requires clinical severity review.</x:v>
      </x:c>
      <x:c r="D709" s="37" t="str">
        <x:v>https://drug.fda.moph.go.th/media.php?id=810494978483691520&amp;name=SMPC_Zidovudine_Capsules.pdf</x:v>
      </x:c>
      <x:c r="E709" s="39" t="str">
        <x:v>Open</x:v>
      </x:c>
    </x:row>
    <x:row r="710">
      <x:c r="A710" s="31" t="str">
        <x:v>clarithromycin</x:v>
      </x:c>
      <x:c r="B710" s="31" t="str">
        <x:v>interaction_severity_unclassified</x:v>
      </x:c>
      <x:c r="C710" s="37" t="str">
        <x:v>Possible named interaction with zidovudine requires clinical severity review.</x:v>
      </x:c>
      <x:c r="D710" s="37" t="str">
        <x:v>https://drug.fda.moph.go.th/media.php?id=810494978483691520&amp;name=SMPC_Zidovudine_Capsules.pdf</x:v>
      </x:c>
      <x:c r="E710" s="39" t="str">
        <x:v>Open</x:v>
      </x:c>
    </x:row>
    <x:row r="711">
      <x:c r="A711" s="31" t="str">
        <x:v>doxorubicin</x:v>
      </x:c>
      <x:c r="B711" s="31" t="str">
        <x:v>interaction_severity_unclassified</x:v>
      </x:c>
      <x:c r="C711" s="37" t="str">
        <x:v>Possible named interaction with zidovudine requires clinical severity review.</x:v>
      </x:c>
      <x:c r="D711" s="37" t="str">
        <x:v>https://drug.fda.moph.go.th/media.php?id=810494978483691520&amp;name=SMPC_Zidovudine_Capsules.pdf</x:v>
      </x:c>
      <x:c r="E711" s="39" t="str">
        <x:v>Open</x:v>
      </x:c>
    </x:row>
    <x:row r="712">
      <x:c r="A712" s="31" t="str">
        <x:v>pyrimethamine</x:v>
      </x:c>
      <x:c r="B712" s="31" t="str">
        <x:v>interaction_severity_unclassified</x:v>
      </x:c>
      <x:c r="C712" s="37" t="str">
        <x:v>Possible named interaction with zidovudine requires clinical severity review.</x:v>
      </x:c>
      <x:c r="D712" s="37" t="str">
        <x:v>https://drug.fda.moph.go.th/media.php?id=810494978483691520&amp;name=SMPC_Zidovudine_Capsules.pdf</x:v>
      </x:c>
      <x:c r="E712" s="39" t="str">
        <x:v>Open</x:v>
      </x:c>
    </x:row>
    <x:row r="713">
      <x:c r="A713" s="31" t="str">
        <x:v>zinc</x:v>
      </x:c>
      <x:c r="B713" s="31" t="str">
        <x:v>interaction_severity_unclassified</x:v>
      </x:c>
      <x:c r="C713" s="37" t="str">
        <x:v>Possible named interaction with zinc_oxide requires clinical severity review.</x:v>
      </x:c>
      <x:c r="D713" s="37" t="str">
        <x:v>https://drug.fda.moph.go.th/media.php?id=810495384341323776&amp;name=SMPC_Zinc oxide_Ointment.pdf</x:v>
      </x:c>
      <x:c r="E713" s="39" t="str">
        <x:v>Open</x:v>
      </x:c>
    </x:row>
    <x:row r="714">
      <x:c r="A714" s="31" t="str">
        <x:v>amino_acid</x:v>
      </x:c>
      <x:c r="B714" s="31" t="str">
        <x:v>interaction_severity_unclassified</x:v>
      </x:c>
      <x:c r="C714" s="37" t="str">
        <x:v>Possible named interaction with tetracycline requires clinical severity review.</x:v>
      </x:c>
      <x:c r="D714" s="37" t="str">
        <x:v>https://drug.fda.moph.go.th/media.php?id=904601730573017088&amp;name=1. Ref SmPC_Amino acid.pdf</x:v>
      </x:c>
      <x:c r="E714" s="39" t="str">
        <x:v>Open</x:v>
      </x:c>
    </x:row>
    <x:row r="715">
      <x:c r="A715" s="31" t="str">
        <x:v>atropine</x:v>
      </x:c>
      <x:c r="B715" s="31" t="str">
        <x:v>interaction_severity_unclassified</x:v>
      </x:c>
      <x:c r="C715" s="37" t="str">
        <x:v>Possible named interaction with dobutamine requires clinical severity review.</x:v>
      </x:c>
      <x:c r="D715" s="37" t="str">
        <x:v>https://drug.fda.moph.go.th/media.php?id=904966129582219264&amp;name=2. Ref SmPC_Dobutamine.pdf</x:v>
      </x:c>
      <x:c r="E715" s="39" t="str">
        <x:v>Open</x:v>
      </x:c>
    </x:row>
    <x:row r="716">
      <x:c r="A716" s="31" t="str">
        <x:v>captopril</x:v>
      </x:c>
      <x:c r="B716" s="31" t="str">
        <x:v>interaction_severity_unclassified</x:v>
      </x:c>
      <x:c r="C716" s="37" t="str">
        <x:v>Possible named interaction with dobutamine requires clinical severity review.</x:v>
      </x:c>
      <x:c r="D716" s="37" t="str">
        <x:v>https://drug.fda.moph.go.th/media.php?id=904966129582219264&amp;name=2. Ref SmPC_Dobutamine.pdf</x:v>
      </x:c>
      <x:c r="E716" s="39" t="str">
        <x:v>Open</x:v>
      </x:c>
    </x:row>
    <x:row r="717">
      <x:c r="A717" s="31" t="str">
        <x:v>dobutamine</x:v>
      </x:c>
      <x:c r="B717" s="31" t="str">
        <x:v>interaction_severity_unclassified</x:v>
      </x:c>
      <x:c r="C717" s="37" t="str">
        <x:v>Possible named interaction with insulin requires clinical severity review.</x:v>
      </x:c>
      <x:c r="D717" s="37" t="str">
        <x:v>https://drug.fda.moph.go.th/media.php?id=904966129582219264&amp;name=2. Ref SmPC_Dobutamine.pdf</x:v>
      </x:c>
      <x:c r="E717" s="39" t="str">
        <x:v>Open</x:v>
      </x:c>
    </x:row>
    <x:row r="718">
      <x:c r="A718" s="31" t="str">
        <x:v>dobutamine</x:v>
      </x:c>
      <x:c r="B718" s="31" t="str">
        <x:v>interaction_severity_unclassified</x:v>
      </x:c>
      <x:c r="C718" s="37" t="str">
        <x:v>Possible named interaction with thiamine requires clinical severity review.</x:v>
      </x:c>
      <x:c r="D718" s="37" t="str">
        <x:v>https://drug.fda.moph.go.th/media.php?id=904966129582219264&amp;name=2. Ref SmPC_Dobutamine.pdf</x:v>
      </x:c>
      <x:c r="E718" s="39" t="str">
        <x:v>Open</x:v>
      </x:c>
    </x:row>
    <x:row r="719">
      <x:c r="A719" s="31" t="str">
        <x:v>aciclovir</x:v>
      </x:c>
      <x:c r="B719" s="31" t="str">
        <x:v>interaction_severity_unclassified</x:v>
      </x:c>
      <x:c r="C719" s="37" t="str">
        <x:v>Possible named interaction with dobutamine requires clinical severity review.</x:v>
      </x:c>
      <x:c r="D719" s="37" t="str">
        <x:v>https://drug.fda.moph.go.th/media.php?id=904966129582219264&amp;name=2. Ref SmPC_Dobutamine.pdf</x:v>
      </x:c>
      <x:c r="E719" s="39" t="str">
        <x:v>Open</x:v>
      </x:c>
    </x:row>
    <x:row r="720">
      <x:c r="A720" s="31" t="str">
        <x:v>alteplase</x:v>
      </x:c>
      <x:c r="B720" s="31" t="str">
        <x:v>interaction_severity_unclassified</x:v>
      </x:c>
      <x:c r="C720" s="37" t="str">
        <x:v>Possible named interaction with dobutamine requires clinical severity review.</x:v>
      </x:c>
      <x:c r="D720" s="37" t="str">
        <x:v>https://drug.fda.moph.go.th/media.php?id=904966129582219264&amp;name=2. Ref SmPC_Dobutamine.pdf</x:v>
      </x:c>
      <x:c r="E720" s="39" t="str">
        <x:v>Open</x:v>
      </x:c>
    </x:row>
    <x:row r="721">
      <x:c r="A721" s="31" t="str">
        <x:v>chloramphenicol</x:v>
      </x:c>
      <x:c r="B721" s="31" t="str">
        <x:v>interaction_severity_unclassified</x:v>
      </x:c>
      <x:c r="C721" s="37" t="str">
        <x:v>Possible named interaction with dobutamine requires clinical severity review.</x:v>
      </x:c>
      <x:c r="D721" s="37" t="str">
        <x:v>https://drug.fda.moph.go.th/media.php?id=904966129582219264&amp;name=2. Ref SmPC_Dobutamine.pdf</x:v>
      </x:c>
      <x:c r="E721" s="39" t="str">
        <x:v>Open</x:v>
      </x:c>
    </x:row>
    <x:row r="722">
      <x:c r="A722" s="31" t="str">
        <x:v>digoxin</x:v>
      </x:c>
      <x:c r="B722" s="31" t="str">
        <x:v>interaction_severity_unclassified</x:v>
      </x:c>
      <x:c r="C722" s="37" t="str">
        <x:v>Possible named interaction with dobutamine requires clinical severity review.</x:v>
      </x:c>
      <x:c r="D722" s="37" t="str">
        <x:v>https://drug.fda.moph.go.th/media.php?id=904966129582219264&amp;name=2. Ref SmPC_Dobutamine.pdf</x:v>
      </x:c>
      <x:c r="E722" s="39" t="str">
        <x:v>Open</x:v>
      </x:c>
    </x:row>
    <x:row r="723">
      <x:c r="A723" s="31" t="str">
        <x:v>dobutamine</x:v>
      </x:c>
      <x:c r="B723" s="31" t="str">
        <x:v>interaction_severity_unclassified</x:v>
      </x:c>
      <x:c r="C723" s="37" t="str">
        <x:v>Possible named interaction with furosemide requires clinical severity review.</x:v>
      </x:c>
      <x:c r="D723" s="37" t="str">
        <x:v>https://drug.fda.moph.go.th/media.php?id=904966129582219264&amp;name=2. Ref SmPC_Dobutamine.pdf</x:v>
      </x:c>
      <x:c r="E723" s="39" t="str">
        <x:v>Open</x:v>
      </x:c>
    </x:row>
    <x:row r="724">
      <x:c r="A724" s="31" t="str">
        <x:v>dobutamine</x:v>
      </x:c>
      <x:c r="B724" s="31" t="str">
        <x:v>interaction_severity_unclassified</x:v>
      </x:c>
      <x:c r="C724" s="37" t="str">
        <x:v>Possible named interaction with insulin requires clinical severity review.</x:v>
      </x:c>
      <x:c r="D724" s="37" t="str">
        <x:v>https://drug.fda.moph.go.th/media.php?id=904966129582219264&amp;name=2. Ref SmPC_Dobutamine.pdf</x:v>
      </x:c>
      <x:c r="E724" s="39" t="str">
        <x:v>Open</x:v>
      </x:c>
    </x:row>
    <x:row r="725">
      <x:c r="A725" s="31" t="str">
        <x:v>dobutamine</x:v>
      </x:c>
      <x:c r="B725" s="31" t="str">
        <x:v>interaction_severity_unclassified</x:v>
      </x:c>
      <x:c r="C725" s="37" t="str">
        <x:v>Possible named interaction with magnesium requires clinical severity review.</x:v>
      </x:c>
      <x:c r="D725" s="37" t="str">
        <x:v>https://drug.fda.moph.go.th/media.php?id=904966129582219264&amp;name=2. Ref SmPC_Dobutamine.pdf</x:v>
      </x:c>
      <x:c r="E725" s="39" t="str">
        <x:v>Open</x:v>
      </x:c>
    </x:row>
    <x:row r="726">
      <x:c r="A726" s="31" t="str">
        <x:v>dobutamine</x:v>
      </x:c>
      <x:c r="B726" s="31" t="str">
        <x:v>interaction_severity_unclassified</x:v>
      </x:c>
      <x:c r="C726" s="37" t="str">
        <x:v>Possible named interaction with potassium_chloride requires clinical severity review.</x:v>
      </x:c>
      <x:c r="D726" s="37" t="str">
        <x:v>https://drug.fda.moph.go.th/media.php?id=904966129582219264&amp;name=2. Ref SmPC_Dobutamine.pdf</x:v>
      </x:c>
      <x:c r="E726" s="39" t="str">
        <x:v>Open</x:v>
      </x:c>
    </x:row>
    <x:row r="727">
      <x:c r="A727" s="31" t="str">
        <x:v>dobutamine</x:v>
      </x:c>
      <x:c r="B727" s="31" t="str">
        <x:v>interaction_severity_unclassified</x:v>
      </x:c>
      <x:c r="C727" s="37" t="str">
        <x:v>Possible named interaction with verapamil requires clinical severity review.</x:v>
      </x:c>
      <x:c r="D727" s="37" t="str">
        <x:v>https://drug.fda.moph.go.th/media.php?id=904966129582219264&amp;name=2. Ref SmPC_Dobutamine.pdf</x:v>
      </x:c>
      <x:c r="E727" s="39" t="str">
        <x:v>Open</x:v>
      </x:c>
    </x:row>
    <x:row r="728">
      <x:c r="A728" s="31" t="str">
        <x:v>aminophylline</x:v>
      </x:c>
      <x:c r="B728" s="31" t="str">
        <x:v>interaction_severity_unclassified</x:v>
      </x:c>
      <x:c r="C728" s="37" t="str">
        <x:v>Possible named interaction with dobutamine requires clinical severity review.</x:v>
      </x:c>
      <x:c r="D728" s="37" t="str">
        <x:v>https://drug.fda.moph.go.th/media.php?id=904966129582219264&amp;name=2. Ref SmPC_Dobutamine.pdf</x:v>
      </x:c>
      <x:c r="E728" s="39" t="str">
        <x:v>Open</x:v>
      </x:c>
    </x:row>
    <x:row r="729">
      <x:c r="A729" s="31" t="str">
        <x:v>digoxin</x:v>
      </x:c>
      <x:c r="B729" s="31" t="str">
        <x:v>interaction_severity_unclassified</x:v>
      </x:c>
      <x:c r="C729" s="37" t="str">
        <x:v>Possible named interaction with omeprazole requires clinical severity review.</x:v>
      </x:c>
      <x:c r="D729" s="37" t="str">
        <x:v>https://drug.fda.moph.go.th/media.php?id=904966130538520576&amp;name=3. Ref SmPC_Omeprazole.pdf</x:v>
      </x:c>
      <x:c r="E729" s="39" t="str">
        <x:v>Open</x:v>
      </x:c>
    </x:row>
    <x:row r="730">
      <x:c r="A730" s="31" t="str">
        <x:v>itraconazole</x:v>
      </x:c>
      <x:c r="B730" s="31" t="str">
        <x:v>interaction_severity_unclassified</x:v>
      </x:c>
      <x:c r="C730" s="37" t="str">
        <x:v>Possible named interaction with omeprazole requires clinical severity review.</x:v>
      </x:c>
      <x:c r="D730" s="37" t="str">
        <x:v>https://drug.fda.moph.go.th/media.php?id=904966130538520576&amp;name=3. Ref SmPC_Omeprazole.pdf</x:v>
      </x:c>
      <x:c r="E730" s="39" t="str">
        <x:v>Open</x:v>
      </x:c>
    </x:row>
    <x:row r="731">
      <x:c r="A731" s="31" t="str">
        <x:v>ketoconazole</x:v>
      </x:c>
      <x:c r="B731" s="31" t="str">
        <x:v>interaction_severity_unclassified</x:v>
      </x:c>
      <x:c r="C731" s="37" t="str">
        <x:v>Possible named interaction with omeprazole requires clinical severity review.</x:v>
      </x:c>
      <x:c r="D731" s="37" t="str">
        <x:v>https://drug.fda.moph.go.th/media.php?id=904966130538520576&amp;name=3. Ref SmPC_Omeprazole.pdf</x:v>
      </x:c>
      <x:c r="E731" s="39" t="str">
        <x:v>Open</x:v>
      </x:c>
    </x:row>
    <x:row r="732">
      <x:c r="A732" s="31" t="str">
        <x:v>clarithromycin</x:v>
      </x:c>
      <x:c r="B732" s="31" t="str">
        <x:v>interaction_severity_unclassified</x:v>
      </x:c>
      <x:c r="C732" s="37" t="str">
        <x:v>Possible named interaction with omeprazole requires clinical severity review.</x:v>
      </x:c>
      <x:c r="D732" s="37" t="str">
        <x:v>https://drug.fda.moph.go.th/media.php?id=904966130538520576&amp;name=3. Ref SmPC_Omeprazole.pdf</x:v>
      </x:c>
      <x:c r="E732" s="39" t="str">
        <x:v>Open</x:v>
      </x:c>
    </x:row>
    <x:row r="733">
      <x:c r="A733" s="31" t="str">
        <x:v>omeprazole</x:v>
      </x:c>
      <x:c r="B733" s="31" t="str">
        <x:v>interaction_severity_unclassified</x:v>
      </x:c>
      <x:c r="C733" s="37" t="str">
        <x:v>Possible named interaction with rifampicin requires clinical severity review.</x:v>
      </x:c>
      <x:c r="D733" s="37" t="str">
        <x:v>https://drug.fda.moph.go.th/media.php?id=904966130538520576&amp;name=3. Ref SmPC_Omeprazole.pdf</x:v>
      </x:c>
      <x:c r="E733" s="39" t="str">
        <x:v>Open</x:v>
      </x:c>
    </x:row>
    <x:row r="734">
      <x:c r="A734" s="31" t="str">
        <x:v>methotrexate</x:v>
      </x:c>
      <x:c r="B734" s="31" t="str">
        <x:v>interaction_severity_unclassified</x:v>
      </x:c>
      <x:c r="C734" s="37" t="str">
        <x:v>Possible named interaction with omeprazole requires clinical severity review.</x:v>
      </x:c>
      <x:c r="D734" s="37" t="str">
        <x:v>https://drug.fda.moph.go.th/media.php?id=904966130538520576&amp;name=3. Ref SmPC_Omeprazole.pdf</x:v>
      </x:c>
      <x:c r="E734" s="39" t="str">
        <x:v>Open</x:v>
      </x:c>
    </x:row>
    <x:row r="735">
      <x:c r="A735" s="31" t="str">
        <x:v>propofol</x:v>
      </x:c>
      <x:c r="B735" s="31" t="str">
        <x:v>interaction_severity_unclassified</x:v>
      </x:c>
      <x:c r="C735" s="37" t="str">
        <x:v>Possible named interaction with rifampicin requires clinical severity review.</x:v>
      </x:c>
      <x:c r="D735" s="37" t="str">
        <x:v>https://drug.fda.moph.go.th/media.php?id=904966130077147136&amp;name=4. Ref SmPC_PROPOFOL.pdf</x:v>
      </x:c>
      <x:c r="E735" s="39" t="str">
        <x:v>Open</x:v>
      </x:c>
    </x:row>
    <x:row r="736">
      <x:c r="A736" s="31" t="str">
        <x:v>lidocaine</x:v>
      </x:c>
      <x:c r="B736" s="31" t="str">
        <x:v>interaction_severity_unclassified</x:v>
      </x:c>
      <x:c r="C736" s="37" t="str">
        <x:v>Possible named interaction with propofol requires clinical severity review.</x:v>
      </x:c>
      <x:c r="D736" s="37" t="str">
        <x:v>https://drug.fda.moph.go.th/media.php?id=904966130077147136&amp;name=4. Ref SmPC_PROPOFOL.pdf</x:v>
      </x:c>
      <x:c r="E736" s="39" t="str">
        <x:v>Open</x:v>
      </x:c>
    </x:row>
    <x:row r="737">
      <x:c r="A737" s="31" t="str">
        <x:v>teicoplanin</x:v>
      </x:c>
      <x:c r="B737" s="31" t="str">
        <x:v>interaction_severity_unclassified</x:v>
      </x:c>
      <x:c r="C737" s="37" t="str">
        <x:v>Possible named interaction with vancomycin requires clinical severity review.</x:v>
      </x:c>
      <x:c r="D737" s="37" t="str">
        <x:v>https://drug.fda.moph.go.th/media.php?id=904966130962145280&amp;name=5. Ref SmPC_Vancomycin.pdf</x:v>
      </x:c>
      <x:c r="E737" s="39" t="str">
        <x:v>Open</x:v>
      </x:c>
    </x:row>
    <x:row r="738">
      <x:c r="A738" s="31" t="str">
        <x:v>ibuprofen</x:v>
      </x:c>
      <x:c r="B738" s="31" t="str">
        <x:v>interaction_severity_unclassified</x:v>
      </x:c>
      <x:c r="C738" s="37" t="str">
        <x:v>Possible named interaction with vancomycin requires clinical severity review.</x:v>
      </x:c>
      <x:c r="D738" s="37" t="str">
        <x:v>https://drug.fda.moph.go.th/media.php?id=904966130962145280&amp;name=5. Ref SmPC_Vancomycin.pdf</x:v>
      </x:c>
      <x:c r="E738" s="39" t="str">
        <x:v>Open</x:v>
      </x:c>
    </x:row>
    <x:row r="739">
      <x:c r="A739" s="31" t="str">
        <x:v>bisoprolol</x:v>
      </x:c>
      <x:c r="B739" s="31" t="str">
        <x:v>interaction_severity_unclassified</x:v>
      </x:c>
      <x:c r="C739" s="37" t="str">
        <x:v>Possible named interaction with diltiazem requires clinical severity review.</x:v>
      </x:c>
      <x:c r="D739" s="37" t="str">
        <x:v>https://drug.fda.moph.go.th/media.php?id=904966131876503552&amp;name=6. Ref SmPC_Bisoprolol.pdf</x:v>
      </x:c>
      <x:c r="E739" s="39" t="str">
        <x:v>Open</x:v>
      </x:c>
    </x:row>
    <x:row r="740">
      <x:c r="A740" s="31" t="str">
        <x:v>bisoprolol</x:v>
      </x:c>
      <x:c r="B740" s="31" t="str">
        <x:v>interaction_severity_unclassified</x:v>
      </x:c>
      <x:c r="C740" s="37" t="str">
        <x:v>Possible named interaction with verapamil requires clinical severity review.</x:v>
      </x:c>
      <x:c r="D740" s="37" t="str">
        <x:v>https://drug.fda.moph.go.th/media.php?id=904966131876503552&amp;name=6. Ref SmPC_Bisoprolol.pdf</x:v>
      </x:c>
      <x:c r="E740" s="39" t="str">
        <x:v>Open</x:v>
      </x:c>
    </x:row>
    <x:row r="741">
      <x:c r="A741" s="31" t="str">
        <x:v>bisoprolol</x:v>
      </x:c>
      <x:c r="B741" s="31" t="str">
        <x:v>interaction_severity_unclassified</x:v>
      </x:c>
      <x:c r="C741" s="37" t="str">
        <x:v>Possible named interaction with clonidine requires clinical severity review.</x:v>
      </x:c>
      <x:c r="D741" s="37" t="str">
        <x:v>https://drug.fda.moph.go.th/media.php?id=904966131876503552&amp;name=6. Ref SmPC_Bisoprolol.pdf</x:v>
      </x:c>
      <x:c r="E741" s="39" t="str">
        <x:v>Open</x:v>
      </x:c>
    </x:row>
    <x:row r="742">
      <x:c r="A742" s="31" t="str">
        <x:v>bisoprolol</x:v>
      </x:c>
      <x:c r="B742" s="31" t="str">
        <x:v>interaction_severity_unclassified</x:v>
      </x:c>
      <x:c r="C742" s="37" t="str">
        <x:v>Possible named interaction with methyldopa requires clinical severity review.</x:v>
      </x:c>
      <x:c r="D742" s="37" t="str">
        <x:v>https://drug.fda.moph.go.th/media.php?id=904966131876503552&amp;name=6. Ref SmPC_Bisoprolol.pdf</x:v>
      </x:c>
      <x:c r="E742" s="39" t="str">
        <x:v>Open</x:v>
      </x:c>
    </x:row>
    <x:row r="743">
      <x:c r="A743" s="31" t="str">
        <x:v>bisoprolol</x:v>
      </x:c>
      <x:c r="B743" s="31" t="str">
        <x:v>interaction_severity_unclassified</x:v>
      </x:c>
      <x:c r="C743" s="37" t="str">
        <x:v>Possible named interaction with felodipine requires clinical severity review.</x:v>
      </x:c>
      <x:c r="D743" s="37" t="str">
        <x:v>https://drug.fda.moph.go.th/media.php?id=904966131876503552&amp;name=6. Ref SmPC_Bisoprolol.pdf</x:v>
      </x:c>
      <x:c r="E743" s="39" t="str">
        <x:v>Open</x:v>
      </x:c>
    </x:row>
    <x:row r="744">
      <x:c r="A744" s="31" t="str">
        <x:v>bisoprolol</x:v>
      </x:c>
      <x:c r="B744" s="31" t="str">
        <x:v>interaction_severity_unclassified</x:v>
      </x:c>
      <x:c r="C744" s="37" t="str">
        <x:v>Possible named interaction with insulin requires clinical severity review.</x:v>
      </x:c>
      <x:c r="D744" s="37" t="str">
        <x:v>https://drug.fda.moph.go.th/media.php?id=904966131876503552&amp;name=6. Ref SmPC_Bisoprolol.pdf</x:v>
      </x:c>
      <x:c r="E744" s="39" t="str">
        <x:v>Open</x:v>
      </x:c>
    </x:row>
    <x:row r="745">
      <x:c r="A745" s="31" t="str">
        <x:v>bisoprolol</x:v>
      </x:c>
      <x:c r="B745" s="31" t="str">
        <x:v>interaction_severity_unclassified</x:v>
      </x:c>
      <x:c r="C745" s="37" t="str">
        <x:v>Possible named interaction with rifampicin requires clinical severity review.</x:v>
      </x:c>
      <x:c r="D745" s="37" t="str">
        <x:v>https://drug.fda.moph.go.th/media.php?id=904966131876503552&amp;name=6. Ref SmPC_Bisoprolol.pdf</x:v>
      </x:c>
      <x:c r="E745" s="39" t="str">
        <x:v>Open</x:v>
      </x:c>
    </x:row>
    <x:row r="746">
      <x:c r="A746" s="31" t="str">
        <x:v>carbidopa_levodopa</x:v>
      </x:c>
      <x:c r="B746" s="31" t="str">
        <x:v>interaction_severity_unclassified</x:v>
      </x:c>
      <x:c r="C746" s="37" t="str">
        <x:v>Possible named interaction with ferrous requires clinical severity review.</x:v>
      </x:c>
      <x:c r="D746" s="37" t="str">
        <x:v>https://drug.fda.moph.go.th/media.php?id=904601733693579264&amp;name=8. Ref SmPC_Carbidopa+Levodopa.pdf</x:v>
      </x:c>
      <x:c r="E746" s="39" t="str">
        <x:v>Open</x:v>
      </x:c>
    </x:row>
    <x:row r="747">
      <x:c r="A747" s="31" t="str">
        <x:v>carbidopa_levodopa</x:v>
      </x:c>
      <x:c r="B747" s="31" t="str">
        <x:v>interaction_severity_unclassified</x:v>
      </x:c>
      <x:c r="C747" s="37" t="str">
        <x:v>Possible named interaction with isoniazid requires clinical severity review.</x:v>
      </x:c>
      <x:c r="D747" s="37" t="str">
        <x:v>https://drug.fda.moph.go.th/media.php?id=904601733693579264&amp;name=8. Ref SmPC_Carbidopa+Levodopa.pdf</x:v>
      </x:c>
      <x:c r="E747" s="39" t="str">
        <x:v>Open</x:v>
      </x:c>
    </x:row>
    <x:row r="748">
      <x:c r="A748" s="31" t="str">
        <x:v>acetylcysteine</x:v>
      </x:c>
      <x:c r="B748" s="31" t="str">
        <x:v>category_requires_review</x:v>
      </x:c>
      <x:c r="C748" s="37" t="str">
        <x:v>Therapeutic category is not explicitly provided by the source index.</x:v>
      </x:c>
      <x:c r="D748" s="37" t="str">
        <x:v>https://drug.fda.moph.go.th/media.php?id=805122388374200320&amp;name=Acetylcysteine granules PIL 190325.pdf</x:v>
      </x:c>
      <x:c r="E748" s="39" t="str">
        <x:v>Open</x:v>
      </x:c>
    </x:row>
    <x:row r="749">
      <x:c r="A749" s="31" t="str">
        <x:v>activated_charcoal</x:v>
      </x:c>
      <x:c r="B749" s="31" t="str">
        <x:v>category_requires_review</x:v>
      </x:c>
      <x:c r="C749" s="37" t="str">
        <x:v>Therapeutic category is not explicitly provided by the source index.</x:v>
      </x:c>
      <x:c r="D749" s="37" t="str">
        <x:v>https://drug.fda.moph.go.th/media.php?id=809597713694990336&amp;name=SMPC_Activated charcoal powder.pdf</x:v>
      </x:c>
      <x:c r="E749" s="39" t="str">
        <x:v>Open</x:v>
      </x:c>
    </x:row>
    <x:row r="750">
      <x:c r="A750" s="31" t="str">
        <x:v>aciclovir</x:v>
      </x:c>
      <x:c r="B750" s="31" t="str">
        <x:v>category_requires_review</x:v>
      </x:c>
      <x:c r="C750" s="37" t="str">
        <x:v>Therapeutic category is not explicitly provided by the source index.</x:v>
      </x:c>
      <x:c r="D750" s="37" t="str">
        <x:v>https://drug.fda.moph.go.th/media.php?id=805389800621350912&amp;name=46 Aciclovir_compressedtablet_PIL.pdf</x:v>
      </x:c>
      <x:c r="E750" s="39" t="str">
        <x:v>Open</x:v>
      </x:c>
    </x:row>
    <x:row r="751">
      <x:c r="A751" s="31" t="str">
        <x:v>albendazole</x:v>
      </x:c>
      <x:c r="B751" s="31" t="str">
        <x:v>category_requires_review</x:v>
      </x:c>
      <x:c r="C751" s="37" t="str">
        <x:v>Therapeutic category is not explicitly provided by the source index.</x:v>
      </x:c>
      <x:c r="D751" s="37" t="str">
        <x:v>https://drug.fda.moph.go.th/media.php?id=808216494428266496&amp;name=Albendazole_filmcotedtablet_PIL.pdf</x:v>
      </x:c>
      <x:c r="E751" s="39" t="str">
        <x:v>Open</x:v>
      </x:c>
    </x:row>
    <x:row r="752">
      <x:c r="A752" s="31" t="str">
        <x:v>albumin</x:v>
      </x:c>
      <x:c r="B752" s="31" t="str">
        <x:v>missing_name_th</x:v>
      </x:c>
      <x:c r="C752" s="37" t="str">
        <x:v>Thai drug name was not reliably extractable from the reference documents.</x:v>
      </x:c>
      <x:c r="D752" s="37" t="str">
        <x:v>https://drug.fda.moph.go.th/media.php?id=809608080450002944&amp;name=SMPC_Albumin_Solution for Infusion.pdf</x:v>
      </x:c>
      <x:c r="E752" s="39" t="str">
        <x:v>Open</x:v>
      </x:c>
    </x:row>
    <x:row r="753">
      <x:c r="A753" s="31" t="str">
        <x:v>albumin</x:v>
      </x:c>
      <x:c r="B753" s="31" t="str">
        <x:v>category_requires_review</x:v>
      </x:c>
      <x:c r="C753" s="37" t="str">
        <x:v>Therapeutic category is not explicitly provided by the source index.</x:v>
      </x:c>
      <x:c r="D753" s="37" t="str">
        <x:v>https://drug.fda.moph.go.th/media.php?id=809608080450002944&amp;name=SMPC_Albumin_Solution for Infusion.pdf</x:v>
      </x:c>
      <x:c r="E753" s="39" t="str">
        <x:v>Open</x:v>
      </x:c>
    </x:row>
    <x:row r="754">
      <x:c r="A754" s="31" t="str">
        <x:v>alteplase</x:v>
      </x:c>
      <x:c r="B754" s="31" t="str">
        <x:v>missing_name_th</x:v>
      </x:c>
      <x:c r="C754" s="37" t="str">
        <x:v>Thai drug name was not reliably extractable from the reference documents.</x:v>
      </x:c>
      <x:c r="D754" s="37" t="str">
        <x:v>https://drug.fda.moph.go.th/media.php?id=809611851246739456&amp;name=SMPC_Alteplase_Powder and Solvent for Solution for Injection and Infusion.pdf</x:v>
      </x:c>
      <x:c r="E754" s="39" t="str">
        <x:v>Open</x:v>
      </x:c>
    </x:row>
    <x:row r="755">
      <x:c r="A755" s="31" t="str">
        <x:v>alteplase</x:v>
      </x:c>
      <x:c r="B755" s="31" t="str">
        <x:v>category_requires_review</x:v>
      </x:c>
      <x:c r="C755" s="37" t="str">
        <x:v>Therapeutic category is not explicitly provided by the source index.</x:v>
      </x:c>
      <x:c r="D755" s="37" t="str">
        <x:v>https://drug.fda.moph.go.th/media.php?id=809611851246739456&amp;name=SMPC_Alteplase_Powder and Solvent for Solution for Injection and Infusion.pdf</x:v>
      </x:c>
      <x:c r="E755" s="39" t="str">
        <x:v>Open</x:v>
      </x:c>
    </x:row>
    <x:row r="756">
      <x:c r="A756" s="31" t="str">
        <x:v>aluminium_hydroxide</x:v>
      </x:c>
      <x:c r="B756" s="31" t="str">
        <x:v>category_requires_review</x:v>
      </x:c>
      <x:c r="C756" s="37" t="str">
        <x:v>Therapeutic category is not explicitly provided by the source index.</x:v>
      </x:c>
      <x:c r="D756" s="37" t="str">
        <x:v>https://drug.fda.moph.go.th/media.php?id=725941518057218048&amp;name=pil_Aluminium hydroxide (TABLET).pdf</x:v>
      </x:c>
      <x:c r="E756" s="39" t="str">
        <x:v>Open</x:v>
      </x:c>
    </x:row>
    <x:row r="757">
      <x:c r="A757" s="31" t="str">
        <x:v>aluminium_hydroxide_magnesium_hydroxide</x:v>
      </x:c>
      <x:c r="B757" s="31" t="str">
        <x:v>category_requires_review</x:v>
      </x:c>
      <x:c r="C757" s="37" t="str">
        <x:v>Therapeutic category is not explicitly provided by the source index.</x:v>
      </x:c>
      <x:c r="D757" s="37" t="str">
        <x:v>https://drug.fda.moph.go.th/media.php?id=733956273732722688&amp;name=PIL ยาลดกรด Aluminium hydroxide + Magnesium hydroxide(15032024).pdf</x:v>
      </x:c>
      <x:c r="E757" s="39" t="str">
        <x:v>Open</x:v>
      </x:c>
    </x:row>
    <x:row r="758">
      <x:c r="A758" s="31" t="str">
        <x:v>aluminium_hydroxide_magnesium_hydroxide_simethicone</x:v>
      </x:c>
      <x:c r="B758" s="31" t="str">
        <x:v>category_requires_review</x:v>
      </x:c>
      <x:c r="C758" s="37" t="str">
        <x:v>Therapeutic category is not explicitly provided by the source index.</x:v>
      </x:c>
      <x:c r="D758" s="37" t="str">
        <x:v>https://drug.fda.moph.go.th/media.php?id=733956003812483072&amp;name=PIL ยาลดกรด Aluminium hydroxide + Magnesium hydroxide + Simethicone (1503202.pdf</x:v>
      </x:c>
      <x:c r="E758" s="39" t="str">
        <x:v>Open</x:v>
      </x:c>
    </x:row>
    <x:row r="759">
      <x:c r="A759" s="31" t="str">
        <x:v>ambroxol</x:v>
      </x:c>
      <x:c r="B759" s="31" t="str">
        <x:v>category_requires_review</x:v>
      </x:c>
      <x:c r="C759" s="37" t="str">
        <x:v>Therapeutic category is not explicitly provided by the source index.</x:v>
      </x:c>
      <x:c r="D759" s="37" t="str">
        <x:v>https://drug.fda.moph.go.th/media.php?id=808234855765778432&amp;name=Ambroxol_syrup_PIL.pdf</x:v>
      </x:c>
      <x:c r="E759" s="39" t="str">
        <x:v>Open</x:v>
      </x:c>
    </x:row>
    <x:row r="760">
      <x:c r="A760" s="31" t="str">
        <x:v>amitriptyline</x:v>
      </x:c>
      <x:c r="B760" s="31" t="str">
        <x:v>category_requires_review</x:v>
      </x:c>
      <x:c r="C760" s="37" t="str">
        <x:v>Therapeutic category is not explicitly provided by the source index.</x:v>
      </x:c>
      <x:c r="D760" s="37" t="str">
        <x:v>https://drug.fda.moph.go.th/media.php?id=809652580375470080&amp;name=SMPC_Amitriptyline_Tablets.pdf</x:v>
      </x:c>
      <x:c r="E760" s="39" t="str">
        <x:v>Open</x:v>
      </x:c>
    </x:row>
    <x:row r="761">
      <x:c r="A761" s="31" t="str">
        <x:v>amoxicillin</x:v>
      </x:c>
      <x:c r="B761" s="31" t="str">
        <x:v>category_requires_review</x:v>
      </x:c>
      <x:c r="C761" s="37" t="str">
        <x:v>Therapeutic category is not explicitly provided by the source index.</x:v>
      </x:c>
      <x:c r="D761" s="37" t="str">
        <x:v>https://drug.fda.moph.go.th/media.php?id=725942083768164352&amp;name=pil_Amoxicillin (CAPSULE, HARD).pdf</x:v>
      </x:c>
      <x:c r="E761" s="39" t="str">
        <x:v>Open</x:v>
      </x:c>
    </x:row>
    <x:row r="762">
      <x:c r="A762" s="31" t="str">
        <x:v>ampicillin</x:v>
      </x:c>
      <x:c r="B762" s="31" t="str">
        <x:v>category_requires_review</x:v>
      </x:c>
      <x:c r="C762" s="37" t="str">
        <x:v>Therapeutic category is not explicitly provided by the source index.</x:v>
      </x:c>
      <x:c r="D762" s="37" t="str">
        <x:v>https://drug.fda.moph.go.th/media.php?id=808235943126507520&amp;name=Ampicillin_capsulehardFilmcoatedtablet_PIL.pdf</x:v>
      </x:c>
      <x:c r="E762" s="39" t="str">
        <x:v>Open</x:v>
      </x:c>
    </x:row>
    <x:row r="763">
      <x:c r="A763" s="31" t="str">
        <x:v>asafoetida_tincture</x:v>
      </x:c>
      <x:c r="B763" s="31" t="str">
        <x:v>category_requires_review</x:v>
      </x:c>
      <x:c r="C763" s="37" t="str">
        <x:v>Therapeutic category is not explicitly provided by the source index.</x:v>
      </x:c>
      <x:c r="D763" s="37" t="str">
        <x:v>https://drug.fda.moph.go.th/media.php?id=733928051582312448&amp;name=PIL asafetida tincture_ทิงเจอร์มหาหิงคุ์ (15032024).pdf</x:v>
      </x:c>
      <x:c r="E763" s="39" t="str">
        <x:v>Open</x:v>
      </x:c>
    </x:row>
    <x:row r="764">
      <x:c r="A764" s="31" t="str">
        <x:v>ascorbic_acid</x:v>
      </x:c>
      <x:c r="B764" s="31" t="str">
        <x:v>missing_name_th</x:v>
      </x:c>
      <x:c r="C764" s="37" t="str">
        <x:v>Thai drug name was not reliably extractable from the reference documents.</x:v>
      </x:c>
      <x:c r="D764" s="37" t="str">
        <x:v>https://drug.fda.moph.go.th/media.php?id=809654213054439424&amp;name=SMPC_Ascorbic acid_solution for injection.pdf</x:v>
      </x:c>
      <x:c r="E764" s="39" t="str">
        <x:v>Open</x:v>
      </x:c>
    </x:row>
    <x:row r="765">
      <x:c r="A765" s="31" t="str">
        <x:v>ascorbic_acid</x:v>
      </x:c>
      <x:c r="B765" s="31" t="str">
        <x:v>category_requires_review</x:v>
      </x:c>
      <x:c r="C765" s="37" t="str">
        <x:v>Therapeutic category is not explicitly provided by the source index.</x:v>
      </x:c>
      <x:c r="D765" s="37" t="str">
        <x:v>https://drug.fda.moph.go.th/media.php?id=809654213054439424&amp;name=SMPC_Ascorbic acid_solution for injection.pdf</x:v>
      </x:c>
      <x:c r="E765" s="39" t="str">
        <x:v>Open</x:v>
      </x:c>
    </x:row>
    <x:row r="766">
      <x:c r="A766" s="31" t="str">
        <x:v>atenolol</x:v>
      </x:c>
      <x:c r="B766" s="31" t="str">
        <x:v>category_requires_review</x:v>
      </x:c>
      <x:c r="C766" s="37" t="str">
        <x:v>Therapeutic category is not explicitly provided by the source index.</x:v>
      </x:c>
      <x:c r="D766" s="37" t="str">
        <x:v>https://drug.fda.moph.go.th/media.php?id=725640787408330752&amp;name=pil_Atenolol (tablet 50 mg, 100 mg).pdf</x:v>
      </x:c>
      <x:c r="E766" s="39" t="str">
        <x:v>Open</x:v>
      </x:c>
    </x:row>
    <x:row r="767">
      <x:c r="A767" s="31" t="str">
        <x:v>atropine</x:v>
      </x:c>
      <x:c r="B767" s="31" t="str">
        <x:v>missing_name_th</x:v>
      </x:c>
      <x:c r="C767" s="37" t="str">
        <x:v>Thai drug name was not reliably extractable from the reference documents.</x:v>
      </x:c>
      <x:c r="D767" s="37" t="str">
        <x:v>https://drug.fda.moph.go.th/media.php?id=809657437689880576&amp;name=SMPC_Atropine_Tablets.pdf</x:v>
      </x:c>
      <x:c r="E767" s="39" t="str">
        <x:v>Open</x:v>
      </x:c>
    </x:row>
    <x:row r="768">
      <x:c r="A768" s="31" t="str">
        <x:v>atropine</x:v>
      </x:c>
      <x:c r="B768" s="31" t="str">
        <x:v>category_requires_review</x:v>
      </x:c>
      <x:c r="C768" s="37" t="str">
        <x:v>Therapeutic category is not explicitly provided by the source index.</x:v>
      </x:c>
      <x:c r="D768" s="37" t="str">
        <x:v>https://drug.fda.moph.go.th/media.php?id=809657437689880576&amp;name=SMPC_Atropine_Tablets.pdf</x:v>
      </x:c>
      <x:c r="E768" s="39" t="str">
        <x:v>Open</x:v>
      </x:c>
    </x:row>
    <x:row r="769">
      <x:c r="A769" s="31" t="str">
        <x:v>benzoic_acid_salicylic_acid</x:v>
      </x:c>
      <x:c r="B769" s="31" t="str">
        <x:v>missing_name_th</x:v>
      </x:c>
      <x:c r="C769" s="37" t="str">
        <x:v>Thai drug name was not reliably extractable from the reference documents.</x:v>
      </x:c>
      <x:c r="D769" s="37" t="str">
        <x:v>https://drug.fda.moph.go.th/media.php?id=733955509325012992&amp;name=PIL ยารักษากลากเกลื้อนน้ำกัดเท้า Benzoic acid + Salicylic acid ชนิดขี้ผึ้ง.pdf</x:v>
      </x:c>
      <x:c r="E769" s="39" t="str">
        <x:v>Open</x:v>
      </x:c>
    </x:row>
    <x:row r="770">
      <x:c r="A770" s="31" t="str">
        <x:v>benzoic_acid_salicylic_acid</x:v>
      </x:c>
      <x:c r="B770" s="31" t="str">
        <x:v>category_requires_review</x:v>
      </x:c>
      <x:c r="C770" s="37" t="str">
        <x:v>Therapeutic category is not explicitly provided by the source index.</x:v>
      </x:c>
      <x:c r="D770" s="37" t="str">
        <x:v>https://drug.fda.moph.go.th/media.php?id=733955509325012992&amp;name=PIL ยารักษากลากเกลื้อนน้ำกัดเท้า Benzoic acid + Salicylic acid ชนิดขี้ผึ้ง.pdf</x:v>
      </x:c>
      <x:c r="E770" s="39" t="str">
        <x:v>Open</x:v>
      </x:c>
    </x:row>
    <x:row r="771">
      <x:c r="A771" s="31" t="str">
        <x:v>benzoyl_peroxide</x:v>
      </x:c>
      <x:c r="B771" s="31" t="str">
        <x:v>missing_name_th</x:v>
      </x:c>
      <x:c r="C771" s="37" t="str">
        <x:v>Thai drug name was not reliably extractable from the reference documents.</x:v>
      </x:c>
      <x:c r="D771" s="37" t="str">
        <x:v>https://drug.fda.moph.go.th/media.php?id=809657948493193216&amp;name=SMPC_Benzoyl peroxide_cream.pdf</x:v>
      </x:c>
      <x:c r="E771" s="39" t="str">
        <x:v>Open</x:v>
      </x:c>
    </x:row>
    <x:row r="772">
      <x:c r="A772" s="31" t="str">
        <x:v>benzoyl_peroxide</x:v>
      </x:c>
      <x:c r="B772" s="31" t="str">
        <x:v>category_requires_review</x:v>
      </x:c>
      <x:c r="C772" s="37" t="str">
        <x:v>Therapeutic category is not explicitly provided by the source index.</x:v>
      </x:c>
      <x:c r="D772" s="37" t="str">
        <x:v>https://drug.fda.moph.go.th/media.php?id=809657948493193216&amp;name=SMPC_Benzoyl peroxide_cream.pdf</x:v>
      </x:c>
      <x:c r="E772" s="39" t="str">
        <x:v>Open</x:v>
      </x:c>
    </x:row>
    <x:row r="773">
      <x:c r="A773" s="31" t="str">
        <x:v>benzyl_benzoate</x:v>
      </x:c>
      <x:c r="B773" s="31" t="str">
        <x:v>category_requires_review</x:v>
      </x:c>
      <x:c r="C773" s="37" t="str">
        <x:v>Therapeutic category is not explicitly provided by the source index.</x:v>
      </x:c>
      <x:c r="D773" s="37" t="str">
        <x:v>https://drug.fda.moph.go.th/media.php?id=733955238301671424&amp;name=PIL ยารักษาหิดเหา Benzyl benzoate (15032024).pdf</x:v>
      </x:c>
      <x:c r="E773" s="39" t="str">
        <x:v>Open</x:v>
      </x:c>
    </x:row>
    <x:row r="774">
      <x:c r="A774" s="31" t="str">
        <x:v>benzylpenicillin_penicillin_g</x:v>
      </x:c>
      <x:c r="B774" s="31" t="str">
        <x:v>missing_name_th</x:v>
      </x:c>
      <x:c r="C774" s="37" t="str">
        <x:v>Thai drug name was not reliably extractable from the reference documents.</x:v>
      </x:c>
      <x:c r="D774" s="37" t="str">
        <x:v>https://drug.fda.moph.go.th/media.php?id=809658888994562048&amp;name=SMPC_Benzylpenicillin Sodium_Powders for solutions for injections or infusions.pdf</x:v>
      </x:c>
      <x:c r="E774" s="39" t="str">
        <x:v>Open</x:v>
      </x:c>
    </x:row>
    <x:row r="775">
      <x:c r="A775" s="31" t="str">
        <x:v>benzylpenicillin_penicillin_g</x:v>
      </x:c>
      <x:c r="B775" s="31" t="str">
        <x:v>category_requires_review</x:v>
      </x:c>
      <x:c r="C775" s="37" t="str">
        <x:v>Therapeutic category is not explicitly provided by the source index.</x:v>
      </x:c>
      <x:c r="D775" s="37" t="str">
        <x:v>https://drug.fda.moph.go.th/media.php?id=809658888994562048&amp;name=SMPC_Benzylpenicillin Sodium_Powders for solutions for injections or infusions.pdf</x:v>
      </x:c>
      <x:c r="E775" s="39" t="str">
        <x:v>Open</x:v>
      </x:c>
    </x:row>
    <x:row r="776">
      <x:c r="A776" s="31" t="str">
        <x:v>betahistine</x:v>
      </x:c>
      <x:c r="B776" s="31" t="str">
        <x:v>category_requires_review</x:v>
      </x:c>
      <x:c r="C776" s="37" t="str">
        <x:v>Therapeutic category is not explicitly provided by the source index.</x:v>
      </x:c>
      <x:c r="D776" s="37" t="str">
        <x:v>https://drug.fda.moph.go.th/media.php?id=808238767218499584&amp;name=Betahistine_tablet, film coated tablet_PIL.pdf</x:v>
      </x:c>
      <x:c r="E776" s="39" t="str">
        <x:v>Open</x:v>
      </x:c>
    </x:row>
    <x:row r="777">
      <x:c r="A777" s="31" t="str">
        <x:v>bethamethasone_dipropionate</x:v>
      </x:c>
      <x:c r="B777" s="31" t="str">
        <x:v>missing_name_th</x:v>
      </x:c>
      <x:c r="C777" s="37" t="str">
        <x:v>Thai drug name was not reliably extractable from the reference documents.</x:v>
      </x:c>
      <x:c r="D777" s="37" t="str">
        <x:v>https://drug.fda.moph.go.th/media.php?id=809659445213798400&amp;name=SMPC_Bethamethasone dipropionate_cream.pdf</x:v>
      </x:c>
      <x:c r="E777" s="39" t="str">
        <x:v>Open</x:v>
      </x:c>
    </x:row>
    <x:row r="778">
      <x:c r="A778" s="31" t="str">
        <x:v>bethamethasone_dipropionate</x:v>
      </x:c>
      <x:c r="B778" s="31" t="str">
        <x:v>category_requires_review</x:v>
      </x:c>
      <x:c r="C778" s="37" t="str">
        <x:v>Therapeutic category is not explicitly provided by the source index.</x:v>
      </x:c>
      <x:c r="D778" s="37" t="str">
        <x:v>https://drug.fda.moph.go.th/media.php?id=809659445213798400&amp;name=SMPC_Bethamethasone dipropionate_cream.pdf</x:v>
      </x:c>
      <x:c r="E778" s="39" t="str">
        <x:v>Open</x:v>
      </x:c>
    </x:row>
    <x:row r="779">
      <x:c r="A779" s="31" t="str">
        <x:v>bisacodyl</x:v>
      </x:c>
      <x:c r="B779" s="31" t="str">
        <x:v>missing_name_th</x:v>
      </x:c>
      <x:c r="C779" s="37" t="str">
        <x:v>Thai drug name was not reliably extractable from the reference documents.</x:v>
      </x:c>
      <x:c r="D779" s="37" t="str">
        <x:v>https://drug.fda.moph.go.th/media.php?id=809660019980247040&amp;name=SMPC_Bisacodyl_Gastro-resistant tablets.pdf</x:v>
      </x:c>
      <x:c r="E779" s="39" t="str">
        <x:v>Open</x:v>
      </x:c>
    </x:row>
    <x:row r="780">
      <x:c r="A780" s="31" t="str">
        <x:v>bisacodyl</x:v>
      </x:c>
      <x:c r="B780" s="31" t="str">
        <x:v>category_requires_review</x:v>
      </x:c>
      <x:c r="C780" s="37" t="str">
        <x:v>Therapeutic category is not explicitly provided by the source index.</x:v>
      </x:c>
      <x:c r="D780" s="37" t="str">
        <x:v>https://drug.fda.moph.go.th/media.php?id=809660019980247040&amp;name=SMPC_Bisacodyl_Gastro-resistant tablets.pdf</x:v>
      </x:c>
      <x:c r="E780" s="39" t="str">
        <x:v>Open</x:v>
      </x:c>
    </x:row>
    <x:row r="781">
      <x:c r="A781" s="31" t="str">
        <x:v>bromhexine</x:v>
      </x:c>
      <x:c r="B781" s="31" t="str">
        <x:v>category_requires_review</x:v>
      </x:c>
      <x:c r="C781" s="37" t="str">
        <x:v>Therapeutic category is not explicitly provided by the source index.</x:v>
      </x:c>
      <x:c r="D781" s="37" t="str">
        <x:v>https://drug.fda.moph.go.th/media.php?id=808239034420830208&amp;name=Bromhexine_compressedTablet_PIL.pdf</x:v>
      </x:c>
      <x:c r="E781" s="39" t="str">
        <x:v>Open</x:v>
      </x:c>
    </x:row>
    <x:row r="782">
      <x:c r="A782" s="31" t="str">
        <x:v>calamine_zinc_oxide</x:v>
      </x:c>
      <x:c r="B782" s="31" t="str">
        <x:v>missing_name_th</x:v>
      </x:c>
      <x:c r="C782" s="37" t="str">
        <x:v>Thai drug name was not reliably extractable from the reference documents.</x:v>
      </x:c>
      <x:c r="D782" s="37" t="str">
        <x:v>https://drug.fda.moph.go.th/media.php?id=733954896075825152&amp;name=PIL_ยาทาแก้ผื่นคัน Calamine + Zinc oxide (15032024).pdf</x:v>
      </x:c>
      <x:c r="E782" s="39" t="str">
        <x:v>Open</x:v>
      </x:c>
    </x:row>
    <x:row r="783">
      <x:c r="A783" s="31" t="str">
        <x:v>calamine_zinc_oxide</x:v>
      </x:c>
      <x:c r="B783" s="31" t="str">
        <x:v>category_requires_review</x:v>
      </x:c>
      <x:c r="C783" s="37" t="str">
        <x:v>Therapeutic category is not explicitly provided by the source index.</x:v>
      </x:c>
      <x:c r="D783" s="37" t="str">
        <x:v>https://drug.fda.moph.go.th/media.php?id=733954896075825152&amp;name=PIL_ยาทาแก้ผื่นคัน Calamine + Zinc oxide (15032024).pdf</x:v>
      </x:c>
      <x:c r="E783" s="39" t="str">
        <x:v>Open</x:v>
      </x:c>
    </x:row>
    <x:row r="784">
      <x:c r="A784" s="31" t="str">
        <x:v>calcium</x:v>
      </x:c>
      <x:c r="B784" s="31" t="str">
        <x:v>missing_name_th</x:v>
      </x:c>
      <x:c r="C784" s="37" t="str">
        <x:v>Thai drug name was not reliably extractable from the reference documents.</x:v>
      </x:c>
      <x:c r="D784" s="37" t="str">
        <x:v>https://drug.fda.moph.go.th/media.php?id=809662943624044544&amp;name=SMPC_Calcium carbonate_chewable tablets.pdf</x:v>
      </x:c>
      <x:c r="E784" s="39" t="str">
        <x:v>Open</x:v>
      </x:c>
    </x:row>
    <x:row r="785">
      <x:c r="A785" s="31" t="str">
        <x:v>calcium</x:v>
      </x:c>
      <x:c r="B785" s="31" t="str">
        <x:v>category_requires_review</x:v>
      </x:c>
      <x:c r="C785" s="37" t="str">
        <x:v>Therapeutic category is not explicitly provided by the source index.</x:v>
      </x:c>
      <x:c r="D785" s="37" t="str">
        <x:v>https://drug.fda.moph.go.th/media.php?id=809662943624044544&amp;name=SMPC_Calcium carbonate_chewable tablets.pdf</x:v>
      </x:c>
      <x:c r="E785" s="39" t="str">
        <x:v>Open</x:v>
      </x:c>
    </x:row>
    <x:row r="786">
      <x:c r="A786" s="31" t="str">
        <x:v>calcium_folinate</x:v>
      </x:c>
      <x:c r="B786" s="31" t="str">
        <x:v>category_requires_review</x:v>
      </x:c>
      <x:c r="C786" s="37" t="str">
        <x:v>Therapeutic category is not explicitly provided by the source index.</x:v>
      </x:c>
      <x:c r="D786" s="37" t="str">
        <x:v>https://drug.fda.moph.go.th/media.php?id=809663362920226816&amp;name=SMPC_Calcium Folinate_Solutions for injections or infusions.pdf</x:v>
      </x:c>
      <x:c r="E786" s="39" t="str">
        <x:v>Open</x:v>
      </x:c>
    </x:row>
    <x:row r="787">
      <x:c r="A787" s="31" t="str">
        <x:v>calcium_lactate</x:v>
      </x:c>
      <x:c r="B787" s="31" t="str">
        <x:v>missing_name_th</x:v>
      </x:c>
      <x:c r="C787" s="37" t="str">
        <x:v>Thai drug name was not reliably extractable from the reference documents.</x:v>
      </x:c>
      <x:c r="D787" s="37" t="str">
        <x:v>https://drug.fda.moph.go.th/media.php?id=809663856816300032&amp;name=SMPC_Calcium lactate_tablets.pdf</x:v>
      </x:c>
      <x:c r="E787" s="39" t="str">
        <x:v>Open</x:v>
      </x:c>
    </x:row>
    <x:row r="788">
      <x:c r="A788" s="31" t="str">
        <x:v>calcium_lactate</x:v>
      </x:c>
      <x:c r="B788" s="31" t="str">
        <x:v>category_requires_review</x:v>
      </x:c>
      <x:c r="C788" s="37" t="str">
        <x:v>Therapeutic category is not explicitly provided by the source index.</x:v>
      </x:c>
      <x:c r="D788" s="37" t="str">
        <x:v>https://drug.fda.moph.go.th/media.php?id=809663856816300032&amp;name=SMPC_Calcium lactate_tablets.pdf</x:v>
      </x:c>
      <x:c r="E788" s="39" t="str">
        <x:v>Open</x:v>
      </x:c>
    </x:row>
    <x:row r="789">
      <x:c r="A789" s="31" t="str">
        <x:v>captopril</x:v>
      </x:c>
      <x:c r="B789" s="31" t="str">
        <x:v>category_requires_review</x:v>
      </x:c>
      <x:c r="C789" s="37" t="str">
        <x:v>Therapeutic category is not explicitly provided by the source index.</x:v>
      </x:c>
      <x:c r="D789" s="37" t="str">
        <x:v>https://drug.fda.moph.go.th/media.php?id=725640852025778176&amp;name=pil_Captopril (tablet 12.5 mg, 25 mg 50 mg).pdf</x:v>
      </x:c>
      <x:c r="E789" s="39" t="str">
        <x:v>Open</x:v>
      </x:c>
    </x:row>
    <x:row r="790">
      <x:c r="A790" s="31" t="str">
        <x:v>carbamazepine</x:v>
      </x:c>
      <x:c r="B790" s="31" t="str">
        <x:v>missing_name_th</x:v>
      </x:c>
      <x:c r="C790" s="37" t="str">
        <x:v>Thai drug name was not reliably extractable from the reference documents.</x:v>
      </x:c>
      <x:c r="D790" s="37" t="str">
        <x:v>https://drug.fda.moph.go.th/media.php?id=809665211119312896&amp;name=SMPC_Carbamazepine_Tablets.pdf</x:v>
      </x:c>
      <x:c r="E790" s="39" t="str">
        <x:v>Open</x:v>
      </x:c>
    </x:row>
    <x:row r="791">
      <x:c r="A791" s="31" t="str">
        <x:v>carbamazepine</x:v>
      </x:c>
      <x:c r="B791" s="31" t="str">
        <x:v>category_requires_review</x:v>
      </x:c>
      <x:c r="C791" s="37" t="str">
        <x:v>Therapeutic category is not explicitly provided by the source index.</x:v>
      </x:c>
      <x:c r="D791" s="37" t="str">
        <x:v>https://drug.fda.moph.go.th/media.php?id=809665211119312896&amp;name=SMPC_Carbamazepine_Tablets.pdf</x:v>
      </x:c>
      <x:c r="E791" s="39" t="str">
        <x:v>Open</x:v>
      </x:c>
    </x:row>
    <x:row r="792">
      <x:c r="A792" s="31" t="str">
        <x:v>carbocisteine</x:v>
      </x:c>
      <x:c r="B792" s="31" t="str">
        <x:v>category_requires_review</x:v>
      </x:c>
      <x:c r="C792" s="37" t="str">
        <x:v>Therapeutic category is not explicitly provided by the source index.</x:v>
      </x:c>
      <x:c r="D792" s="37" t="str">
        <x:v>https://drug.fda.moph.go.th/media.php?id=808239875336839168&amp;name=Carbocisteine_hardcapsules_tablets_PIL.pdf</x:v>
      </x:c>
      <x:c r="E792" s="39" t="str">
        <x:v>Open</x:v>
      </x:c>
    </x:row>
    <x:row r="793">
      <x:c r="A793" s="31" t="str">
        <x:v>cefalexin</x:v>
      </x:c>
      <x:c r="B793" s="31" t="str">
        <x:v>category_requires_review</x:v>
      </x:c>
      <x:c r="C793" s="37" t="str">
        <x:v>Therapeutic category is not explicitly provided by the source index.</x:v>
      </x:c>
      <x:c r="D793" s="37" t="str">
        <x:v>https://drug.fda.moph.go.th/media.php?id=809667813055799296&amp;name=SMPC_Cefalexin_Dry syrup.pdf</x:v>
      </x:c>
      <x:c r="E793" s="39" t="str">
        <x:v>Open</x:v>
      </x:c>
    </x:row>
    <x:row r="794">
      <x:c r="A794" s="31" t="str">
        <x:v>cefazolin</x:v>
      </x:c>
      <x:c r="B794" s="31" t="str">
        <x:v>missing_name_th</x:v>
      </x:c>
      <x:c r="C794" s="37" t="str">
        <x:v>Thai drug name was not reliably extractable from the reference documents.</x:v>
      </x:c>
      <x:c r="D794" s="37" t="str">
        <x:v>https://drug.fda.moph.go.th/media.php?id=809668324005912576&amp;name=SMPC_Cefazolin_Powders for solutions for injections or infusions.pdf</x:v>
      </x:c>
      <x:c r="E794" s="39" t="str">
        <x:v>Open</x:v>
      </x:c>
    </x:row>
    <x:row r="795">
      <x:c r="A795" s="31" t="str">
        <x:v>cefazolin</x:v>
      </x:c>
      <x:c r="B795" s="31" t="str">
        <x:v>category_requires_review</x:v>
      </x:c>
      <x:c r="C795" s="37" t="str">
        <x:v>Therapeutic category is not explicitly provided by the source index.</x:v>
      </x:c>
      <x:c r="D795" s="37" t="str">
        <x:v>https://drug.fda.moph.go.th/media.php?id=809668324005912576&amp;name=SMPC_Cefazolin_Powders for solutions for injections or infusions.pdf</x:v>
      </x:c>
      <x:c r="E795" s="39" t="str">
        <x:v>Open</x:v>
      </x:c>
    </x:row>
    <x:row r="796">
      <x:c r="A796" s="31" t="str">
        <x:v>cefuroxime</x:v>
      </x:c>
      <x:c r="B796" s="31" t="str">
        <x:v>category_requires_review</x:v>
      </x:c>
      <x:c r="C796" s="37" t="str">
        <x:v>Therapeutic category is not explicitly provided by the source index.</x:v>
      </x:c>
      <x:c r="D796" s="37" t="str">
        <x:v>https://drug.fda.moph.go.th/media.php?id=809668929264951296&amp;name=SMPC_Cefuroxime_Tablets.pdf</x:v>
      </x:c>
      <x:c r="E796" s="39" t="str">
        <x:v>Open</x:v>
      </x:c>
    </x:row>
    <x:row r="797">
      <x:c r="A797" s="31" t="str">
        <x:v>chloramphenicol</x:v>
      </x:c>
      <x:c r="B797" s="31" t="str">
        <x:v>category_requires_review</x:v>
      </x:c>
      <x:c r="C797" s="37" t="str">
        <x:v>Therapeutic category is not explicitly provided by the source index.</x:v>
      </x:c>
      <x:c r="D797" s="37" t="str">
        <x:v>https://drug.fda.moph.go.th/media.php?id=808240370726084608&amp;name=Chloramphenicol_ointmentOphthalmic_PIL.pdf</x:v>
      </x:c>
      <x:c r="E797" s="39" t="str">
        <x:v>Open</x:v>
      </x:c>
    </x:row>
    <x:row r="798">
      <x:c r="A798" s="31" t="str">
        <x:v>chlorhexidine_cetrimide</x:v>
      </x:c>
      <x:c r="B798" s="31" t="str">
        <x:v>missing_name_th</x:v>
      </x:c>
      <x:c r="C798" s="37" t="str">
        <x:v>Thai drug name was not reliably extractable from the reference documents.</x:v>
      </x:c>
      <x:c r="D798" s="37" t="str">
        <x:v>https://drug.fda.moph.go.th/media.php?id=809671385814278144&amp;name=SMPC_Chlorhexidine Acetate+Cetrimide_Irrigation Solution.pdf</x:v>
      </x:c>
      <x:c r="E798" s="39" t="str">
        <x:v>Open</x:v>
      </x:c>
    </x:row>
    <x:row r="799">
      <x:c r="A799" s="31" t="str">
        <x:v>chlorhexidine_cetrimide</x:v>
      </x:c>
      <x:c r="B799" s="31" t="str">
        <x:v>category_requires_review</x:v>
      </x:c>
      <x:c r="C799" s="37" t="str">
        <x:v>Therapeutic category is not explicitly provided by the source index.</x:v>
      </x:c>
      <x:c r="D799" s="37" t="str">
        <x:v>https://drug.fda.moph.go.th/media.php?id=809671385814278144&amp;name=SMPC_Chlorhexidine Acetate+Cetrimide_Irrigation Solution.pdf</x:v>
      </x:c>
      <x:c r="E799" s="39" t="str">
        <x:v>Open</x:v>
      </x:c>
    </x:row>
    <x:row r="800">
      <x:c r="A800" s="31" t="str">
        <x:v>chlorhexidine</x:v>
      </x:c>
      <x:c r="B800" s="31" t="str">
        <x:v>missing_name_th</x:v>
      </x:c>
      <x:c r="C800" s="37" t="str">
        <x:v>Thai drug name was not reliably extractable from the reference documents.</x:v>
      </x:c>
      <x:c r="D800" s="37" t="str">
        <x:v>https://drug.fda.moph.go.th/media.php?id=809671981124427776&amp;name=SMPC_Chlorhexidine gluconate_cutaneous solution.pdf</x:v>
      </x:c>
      <x:c r="E800" s="39" t="str">
        <x:v>Open</x:v>
      </x:c>
    </x:row>
    <x:row r="801">
      <x:c r="A801" s="31" t="str">
        <x:v>chlorhexidine</x:v>
      </x:c>
      <x:c r="B801" s="31" t="str">
        <x:v>category_requires_review</x:v>
      </x:c>
      <x:c r="C801" s="37" t="str">
        <x:v>Therapeutic category is not explicitly provided by the source index.</x:v>
      </x:c>
      <x:c r="D801" s="37" t="str">
        <x:v>https://drug.fda.moph.go.th/media.php?id=809671981124427776&amp;name=SMPC_Chlorhexidine gluconate_cutaneous solution.pdf</x:v>
      </x:c>
      <x:c r="E801" s="39" t="str">
        <x:v>Open</x:v>
      </x:c>
    </x:row>
    <x:row r="802">
      <x:c r="A802" s="31" t="str">
        <x:v>chlorobutanol_clove_oil</x:v>
      </x:c>
      <x:c r="B802" s="31" t="str">
        <x:v>missing_name_th</x:v>
      </x:c>
      <x:c r="C802" s="37" t="str">
        <x:v>Thai drug name was not reliably extractable from the reference documents.</x:v>
      </x:c>
      <x:c r="D802" s="37" t="str">
        <x:v>https://drug.fda.moph.go.th/media.php?id=733954553325690880&amp;name=PIL ยาแก้ปวดฟัน Chlorobutanol + Clove oil (15032024).pdf</x:v>
      </x:c>
      <x:c r="E802" s="39" t="str">
        <x:v>Open</x:v>
      </x:c>
    </x:row>
    <x:row r="803">
      <x:c r="A803" s="31" t="str">
        <x:v>chlorobutanol_clove_oil</x:v>
      </x:c>
      <x:c r="B803" s="31" t="str">
        <x:v>category_requires_review</x:v>
      </x:c>
      <x:c r="C803" s="37" t="str">
        <x:v>Therapeutic category is not explicitly provided by the source index.</x:v>
      </x:c>
      <x:c r="D803" s="37" t="str">
        <x:v>https://drug.fda.moph.go.th/media.php?id=733954553325690880&amp;name=PIL ยาแก้ปวดฟัน Chlorobutanol + Clove oil (15032024).pdf</x:v>
      </x:c>
      <x:c r="E803" s="39" t="str">
        <x:v>Open</x:v>
      </x:c>
    </x:row>
    <x:row r="804">
      <x:c r="A804" s="31" t="str">
        <x:v>chloroxylenol</x:v>
      </x:c>
      <x:c r="B804" s="31" t="str">
        <x:v>category_requires_review</x:v>
      </x:c>
      <x:c r="C804" s="37" t="str">
        <x:v>Therapeutic category is not explicitly provided by the source index.</x:v>
      </x:c>
      <x:c r="D804" s="37" t="str">
        <x:v>https://drug.fda.moph.go.th/media.php?id=809673654496534528&amp;name=SMPC_Chloroxylenol_Concentrate for Cutaneous Solution.pdf</x:v>
      </x:c>
      <x:c r="E804" s="39" t="str">
        <x:v>Open</x:v>
      </x:c>
    </x:row>
    <x:row r="805">
      <x:c r="A805" s="31" t="str">
        <x:v>chlorpheniramine</x:v>
      </x:c>
      <x:c r="B805" s="31" t="str">
        <x:v>category_requires_review</x:v>
      </x:c>
      <x:c r="C805" s="37" t="str">
        <x:v>Therapeutic category is not explicitly provided by the source index.</x:v>
      </x:c>
      <x:c r="D805" s="37" t="str">
        <x:v>https://drug.fda.moph.go.th/media.php?id=808242334797012992&amp;name=Chlorpheniramine_capsuleHardSugarCoatedTablelt_PIL.pdf</x:v>
      </x:c>
      <x:c r="E805" s="39" t="str">
        <x:v>Open</x:v>
      </x:c>
    </x:row>
    <x:row r="806">
      <x:c r="A806" s="31" t="str">
        <x:v>chlorpromazine</x:v>
      </x:c>
      <x:c r="B806" s="31" t="str">
        <x:v>category_requires_review</x:v>
      </x:c>
      <x:c r="C806" s="37" t="str">
        <x:v>Therapeutic category is not explicitly provided by the source index.</x:v>
      </x:c>
      <x:c r="D806" s="37" t="str">
        <x:v>https://drug.fda.moph.go.th/media.php?id=809674435173949440&amp;name=SMPC_Chlorpromazine_Capsules.pdf</x:v>
      </x:c>
      <x:c r="E806" s="39" t="str">
        <x:v>Open</x:v>
      </x:c>
    </x:row>
    <x:row r="807">
      <x:c r="A807" s="31" t="str">
        <x:v>cholestyramine</x:v>
      </x:c>
      <x:c r="B807" s="31" t="str">
        <x:v>category_requires_review</x:v>
      </x:c>
      <x:c r="C807" s="37" t="str">
        <x:v>Therapeutic category is not explicitly provided by the source index.</x:v>
      </x:c>
      <x:c r="D807" s="37" t="str">
        <x:v>https://drug.fda.moph.go.th/media.php?id=808244876427796480&amp;name=Cholestyramine_dry suspension_PIL.pdf</x:v>
      </x:c>
      <x:c r="E807" s="39" t="str">
        <x:v>Open</x:v>
      </x:c>
    </x:row>
    <x:row r="808">
      <x:c r="A808" s="31" t="str">
        <x:v>cimetidine</x:v>
      </x:c>
      <x:c r="B808" s="31" t="str">
        <x:v>category_requires_review</x:v>
      </x:c>
      <x:c r="C808" s="37" t="str">
        <x:v>Therapeutic category is not explicitly provided by the source index.</x:v>
      </x:c>
      <x:c r="D808" s="37" t="str">
        <x:v>https://drug.fda.moph.go.th/media.php?id=808245090517655552&amp;name=Cimetidine_compressedTabletFilmCoatedTabletCapsuleHard_PIL.pdf</x:v>
      </x:c>
      <x:c r="E808" s="39" t="str">
        <x:v>Open</x:v>
      </x:c>
    </x:row>
    <x:row r="809">
      <x:c r="A809" s="31" t="str">
        <x:v>ciprofloxacin</x:v>
      </x:c>
      <x:c r="B809" s="31" t="str">
        <x:v>missing_name_th</x:v>
      </x:c>
      <x:c r="C809" s="37" t="str">
        <x:v>Thai drug name was not reliably extractable from the reference documents.</x:v>
      </x:c>
      <x:c r="D809" s="37" t="str">
        <x:v>https://drug.fda.moph.go.th/media.php?id=842359238230679552&amp;name=SmPC Ciprofloxacin film-coated tablets.pdf</x:v>
      </x:c>
      <x:c r="E809" s="39" t="str">
        <x:v>Open</x:v>
      </x:c>
    </x:row>
    <x:row r="810">
      <x:c r="A810" s="31" t="str">
        <x:v>ciprofloxacin</x:v>
      </x:c>
      <x:c r="B810" s="31" t="str">
        <x:v>category_requires_review</x:v>
      </x:c>
      <x:c r="C810" s="37" t="str">
        <x:v>Therapeutic category is not explicitly provided by the source index.</x:v>
      </x:c>
      <x:c r="D810" s="37" t="str">
        <x:v>https://drug.fda.moph.go.th/media.php?id=842359238230679552&amp;name=SmPC Ciprofloxacin film-coated tablets.pdf</x:v>
      </x:c>
      <x:c r="E810" s="39" t="str">
        <x:v>Open</x:v>
      </x:c>
    </x:row>
    <x:row r="811">
      <x:c r="A811" s="31" t="str">
        <x:v>citric_acid_sodium_bicarbonate_sodium_carbonate</x:v>
      </x:c>
      <x:c r="B811" s="31" t="str">
        <x:v>missing_name_th</x:v>
      </x:c>
      <x:c r="C811" s="37" t="str">
        <x:v>Thai drug name was not reliably extractable from the reference documents.</x:v>
      </x:c>
      <x:c r="D811" s="37" t="str">
        <x:v>https://drug.fda.moph.go.th/media.php?id=733953466694770688&amp;name=PIL_Citric acid + Sodium bicarbonate + Sodium carbonate(15032024).pdf</x:v>
      </x:c>
      <x:c r="E811" s="39" t="str">
        <x:v>Open</x:v>
      </x:c>
    </x:row>
    <x:row r="812">
      <x:c r="A812" s="31" t="str">
        <x:v>citric_acid_sodium_bicarbonate_sodium_carbonate</x:v>
      </x:c>
      <x:c r="B812" s="31" t="str">
        <x:v>category_requires_review</x:v>
      </x:c>
      <x:c r="C812" s="37" t="str">
        <x:v>Therapeutic category is not explicitly provided by the source index.</x:v>
      </x:c>
      <x:c r="D812" s="37" t="str">
        <x:v>https://drug.fda.moph.go.th/media.php?id=733953466694770688&amp;name=PIL_Citric acid + Sodium bicarbonate + Sodium carbonate(15032024).pdf</x:v>
      </x:c>
      <x:c r="E812" s="39" t="str">
        <x:v>Open</x:v>
      </x:c>
    </x:row>
    <x:row r="813">
      <x:c r="A813" s="31" t="str">
        <x:v>clarithromycin</x:v>
      </x:c>
      <x:c r="B813" s="31" t="str">
        <x:v>category_requires_review</x:v>
      </x:c>
      <x:c r="C813" s="37" t="str">
        <x:v>Therapeutic category is not explicitly provided by the source index.</x:v>
      </x:c>
      <x:c r="D813" s="37" t="str">
        <x:v>https://drug.fda.moph.go.th/media.php?id=809678715939332096&amp;name=SMPC_Clarithromycin_Film-coated tablets.pdf</x:v>
      </x:c>
      <x:c r="E813" s="39" t="str">
        <x:v>Open</x:v>
      </x:c>
    </x:row>
    <x:row r="814">
      <x:c r="A814" s="31" t="str">
        <x:v>clindamycin</x:v>
      </x:c>
      <x:c r="B814" s="31" t="str">
        <x:v>missing_name_th</x:v>
      </x:c>
      <x:c r="C814" s="37" t="str">
        <x:v>Thai drug name was not reliably extractable from the reference documents.</x:v>
      </x:c>
      <x:c r="D814" s="37" t="str">
        <x:v>https://drug.fda.moph.go.th/media.php?id=809679498764230656&amp;name=SMPC_clindamycin phosphate_solution for injection and infusion.pdf</x:v>
      </x:c>
      <x:c r="E814" s="39" t="str">
        <x:v>Open</x:v>
      </x:c>
    </x:row>
    <x:row r="815">
      <x:c r="A815" s="31" t="str">
        <x:v>clindamycin</x:v>
      </x:c>
      <x:c r="B815" s="31" t="str">
        <x:v>category_requires_review</x:v>
      </x:c>
      <x:c r="C815" s="37" t="str">
        <x:v>Therapeutic category is not explicitly provided by the source index.</x:v>
      </x:c>
      <x:c r="D815" s="37" t="str">
        <x:v>https://drug.fda.moph.go.th/media.php?id=809679498764230656&amp;name=SMPC_clindamycin phosphate_solution for injection and infusion.pdf</x:v>
      </x:c>
      <x:c r="E815" s="39" t="str">
        <x:v>Open</x:v>
      </x:c>
    </x:row>
    <x:row r="816">
      <x:c r="A816" s="31" t="str">
        <x:v>clobetasol_propionate</x:v>
      </x:c>
      <x:c r="B816" s="31" t="str">
        <x:v>category_requires_review</x:v>
      </x:c>
      <x:c r="C816" s="37" t="str">
        <x:v>Therapeutic category is not explicitly provided by the source index.</x:v>
      </x:c>
      <x:c r="D816" s="37" t="str">
        <x:v>https://drug.fda.moph.go.th/media.php?id=725942308205371392&amp;name=pil_Clobetasol propionate (CREAM).pdf</x:v>
      </x:c>
      <x:c r="E816" s="39" t="str">
        <x:v>Open</x:v>
      </x:c>
    </x:row>
    <x:row r="817">
      <x:c r="A817" s="31" t="str">
        <x:v>clonidine</x:v>
      </x:c>
      <x:c r="B817" s="31" t="str">
        <x:v>category_requires_review</x:v>
      </x:c>
      <x:c r="C817" s="37" t="str">
        <x:v>Therapeutic category is not explicitly provided by the source index.</x:v>
      </x:c>
      <x:c r="D817" s="37" t="str">
        <x:v>https://drug.fda.moph.go.th/media.php?id=725640886955941888&amp;name=pil_Clonidine hydrochloride (tab;et 0.15 mg).pdf</x:v>
      </x:c>
      <x:c r="E817" s="39" t="str">
        <x:v>Open</x:v>
      </x:c>
    </x:row>
    <x:row r="818">
      <x:c r="A818" s="31" t="str">
        <x:v>clotrimazole</x:v>
      </x:c>
      <x:c r="B818" s="31" t="str">
        <x:v>category_requires_review</x:v>
      </x:c>
      <x:c r="C818" s="37" t="str">
        <x:v>Therapeutic category is not explicitly provided by the source index.</x:v>
      </x:c>
      <x:c r="D818" s="37" t="str">
        <x:v>https://drug.fda.moph.go.th/media.php?id=725942369777754112&amp;name=pil_Clotrimazole (LOZENGE).pdf</x:v>
      </x:c>
      <x:c r="E818" s="39" t="str">
        <x:v>Open</x:v>
      </x:c>
    </x:row>
    <x:row r="819">
      <x:c r="A819" s="31" t="str">
        <x:v>cloxacillin</x:v>
      </x:c>
      <x:c r="B819" s="31" t="str">
        <x:v>category_requires_review</x:v>
      </x:c>
      <x:c r="C819" s="37" t="str">
        <x:v>Therapeutic category is not explicitly provided by the source index.</x:v>
      </x:c>
      <x:c r="D819" s="37" t="str">
        <x:v>https://drug.fda.moph.go.th/media.php?id=808517407260942336&amp;name=Cloxacillin_drysyrup_PIL.pdf</x:v>
      </x:c>
      <x:c r="E819" s="39" t="str">
        <x:v>Open</x:v>
      </x:c>
    </x:row>
    <x:row r="820">
      <x:c r="A820" s="31" t="str">
        <x:v>coal_tar</x:v>
      </x:c>
      <x:c r="B820" s="31" t="str">
        <x:v>category_requires_review</x:v>
      </x:c>
      <x:c r="C820" s="37" t="str">
        <x:v>Therapeutic category is not explicitly provided by the source index.</x:v>
      </x:c>
      <x:c r="D820" s="37" t="str">
        <x:v>https://drug.fda.moph.go.th/media.php?id=733953082332946432&amp;name=PIL ยารักษาโรคผิวหนังเรื้อรัง Coal tar (15032024).pdf</x:v>
      </x:c>
      <x:c r="E820" s="39" t="str">
        <x:v>Open</x:v>
      </x:c>
    </x:row>
    <x:row r="821">
      <x:c r="A821" s="31" t="str">
        <x:v>colchicine</x:v>
      </x:c>
      <x:c r="B821" s="31" t="str">
        <x:v>category_requires_review</x:v>
      </x:c>
      <x:c r="C821" s="37" t="str">
        <x:v>Therapeutic category is not explicitly provided by the source index.</x:v>
      </x:c>
      <x:c r="D821" s="37" t="str">
        <x:v>https://drug.fda.moph.go.th/media.php?id=809692129914920960&amp;name=SMPC_Colchicine_Tablets.pdf</x:v>
      </x:c>
      <x:c r="E821" s="39" t="str">
        <x:v>Open</x:v>
      </x:c>
    </x:row>
    <x:row r="822">
      <x:c r="A822" s="31" t="str">
        <x:v>co_trimoxazole_trimethoprim_sulfamethoxazole</x:v>
      </x:c>
      <x:c r="B822" s="31" t="str">
        <x:v>missing_name_th</x:v>
      </x:c>
      <x:c r="C822" s="37" t="str">
        <x:v>Thai drug name was not reliably extractable from the reference documents.</x:v>
      </x:c>
      <x:c r="D822" s="37" t="str">
        <x:v>https://drug.fda.moph.go.th/media.php?id=808517949823524864&amp;name=SulfamethoxazoleAndTrimethoprim_capsule_tablet_PIL.pdf</x:v>
      </x:c>
      <x:c r="E822" s="39" t="str">
        <x:v>Open</x:v>
      </x:c>
    </x:row>
    <x:row r="823">
      <x:c r="A823" s="31" t="str">
        <x:v>co_trimoxazole_trimethoprim_sulfamethoxazole</x:v>
      </x:c>
      <x:c r="B823" s="31" t="str">
        <x:v>category_requires_review</x:v>
      </x:c>
      <x:c r="C823" s="37" t="str">
        <x:v>Therapeutic category is not explicitly provided by the source index.</x:v>
      </x:c>
      <x:c r="D823" s="37" t="str">
        <x:v>https://drug.fda.moph.go.th/media.php?id=808517949823524864&amp;name=SulfamethoxazoleAndTrimethoprim_capsule_tablet_PIL.pdf</x:v>
      </x:c>
      <x:c r="E823" s="39" t="str">
        <x:v>Open</x:v>
      </x:c>
    </x:row>
    <x:row r="824">
      <x:c r="A824" s="31" t="str">
        <x:v>cyanocobalamin</x:v>
      </x:c>
      <x:c r="B824" s="31" t="str">
        <x:v>category_requires_review</x:v>
      </x:c>
      <x:c r="C824" s="37" t="str">
        <x:v>Therapeutic category is not explicitly provided by the source index.</x:v>
      </x:c>
      <x:c r="D824" s="37" t="str">
        <x:v>https://drug.fda.moph.go.th/media.php?id=725942611436773376&amp;name=pil_Cyanocobalamin (TABLET).pdf</x:v>
      </x:c>
      <x:c r="E824" s="39" t="str">
        <x:v>Open</x:v>
      </x:c>
    </x:row>
    <x:row r="825">
      <x:c r="A825" s="31" t="str">
        <x:v>cyclophosphamide</x:v>
      </x:c>
      <x:c r="B825" s="31" t="str">
        <x:v>category_requires_review</x:v>
      </x:c>
      <x:c r="C825" s="37" t="str">
        <x:v>Therapeutic category is not explicitly provided by the source index.</x:v>
      </x:c>
      <x:c r="D825" s="37" t="str">
        <x:v>https://drug.fda.moph.go.th/media.php?id=809693226402455552&amp;name=SMPC_Cyclophosphamide_Powders for solutions for injections or infusions.pdf</x:v>
      </x:c>
      <x:c r="E825" s="39" t="str">
        <x:v>Open</x:v>
      </x:c>
    </x:row>
    <x:row r="826">
      <x:c r="A826" s="31" t="str">
        <x:v>cyproheptadine</x:v>
      </x:c>
      <x:c r="B826" s="31" t="str">
        <x:v>category_requires_review</x:v>
      </x:c>
      <x:c r="C826" s="37" t="str">
        <x:v>Therapeutic category is not explicitly provided by the source index.</x:v>
      </x:c>
      <x:c r="D826" s="37" t="str">
        <x:v>https://drug.fda.moph.go.th/media.php?id=808520288135421952&amp;name=Cyproheptadine_sugarCoatedTablet_PIL.pdf</x:v>
      </x:c>
      <x:c r="E826" s="39" t="str">
        <x:v>Open</x:v>
      </x:c>
    </x:row>
    <x:row r="827">
      <x:c r="A827" s="31" t="str">
        <x:v>dequalinium</x:v>
      </x:c>
      <x:c r="B827" s="31" t="str">
        <x:v>category_requires_review</x:v>
      </x:c>
      <x:c r="C827" s="37" t="str">
        <x:v>Therapeutic category is not explicitly provided by the source index.</x:v>
      </x:c>
      <x:c r="D827" s="37" t="str">
        <x:v>https://drug.fda.moph.go.th/media.php?id=808522434977341440&amp;name=Dequalinium_vaginal tablet_PIL.pdf</x:v>
      </x:c>
      <x:c r="E827" s="39" t="str">
        <x:v>Open</x:v>
      </x:c>
    </x:row>
    <x:row r="828">
      <x:c r="A828" s="31" t="str">
        <x:v>dexamethasone</x:v>
      </x:c>
      <x:c r="B828" s="31" t="str">
        <x:v>category_requires_review</x:v>
      </x:c>
      <x:c r="C828" s="37" t="str">
        <x:v>Therapeutic category is not explicitly provided by the source index.</x:v>
      </x:c>
      <x:c r="D828" s="37" t="str">
        <x:v>https://drug.fda.moph.go.th/media.php?id=730340041339052032&amp;name=pil_Dexamethasone (TABLET)0.25, 0.5, 4 mg.pdf</x:v>
      </x:c>
      <x:c r="E828" s="39" t="str">
        <x:v>Open</x:v>
      </x:c>
    </x:row>
    <x:row r="829">
      <x:c r="A829" s="31" t="str">
        <x:v>dextran</x:v>
      </x:c>
      <x:c r="B829" s="31" t="str">
        <x:v>missing_name_th</x:v>
      </x:c>
      <x:c r="C829" s="37" t="str">
        <x:v>Thai drug name was not reliably extractable from the reference documents.</x:v>
      </x:c>
      <x:c r="D829" s="37" t="str">
        <x:v>https://drug.fda.moph.go.th/media.php?id=810066913823694848&amp;name=SMPC_Dextran_solution for infusion.pdf</x:v>
      </x:c>
      <x:c r="E829" s="39" t="str">
        <x:v>Open</x:v>
      </x:c>
    </x:row>
    <x:row r="830">
      <x:c r="A830" s="31" t="str">
        <x:v>dextran</x:v>
      </x:c>
      <x:c r="B830" s="31" t="str">
        <x:v>category_requires_review</x:v>
      </x:c>
      <x:c r="C830" s="37" t="str">
        <x:v>Therapeutic category is not explicitly provided by the source index.</x:v>
      </x:c>
      <x:c r="D830" s="37" t="str">
        <x:v>https://drug.fda.moph.go.th/media.php?id=810066913823694848&amp;name=SMPC_Dextran_solution for infusion.pdf</x:v>
      </x:c>
      <x:c r="E830" s="39" t="str">
        <x:v>Open</x:v>
      </x:c>
    </x:row>
    <x:row r="831">
      <x:c r="A831" s="31" t="str">
        <x:v>dextromethorphan_hydrobromide</x:v>
      </x:c>
      <x:c r="B831" s="31" t="str">
        <x:v>missing_name_th</x:v>
      </x:c>
      <x:c r="C831" s="37" t="str">
        <x:v>Thai drug name was not reliably extractable from the reference documents.</x:v>
      </x:c>
      <x:c r="D831" s="37" t="str">
        <x:v>https://drug.fda.moph.go.th/media.php?id=810067905235525632&amp;name=SMPC_Dextromethorphan_Lozenge.pdf</x:v>
      </x:c>
      <x:c r="E831" s="39" t="str">
        <x:v>Open</x:v>
      </x:c>
    </x:row>
    <x:row r="832">
      <x:c r="A832" s="31" t="str">
        <x:v>dextromethorphan_hydrobromide</x:v>
      </x:c>
      <x:c r="B832" s="31" t="str">
        <x:v>category_requires_review</x:v>
      </x:c>
      <x:c r="C832" s="37" t="str">
        <x:v>Therapeutic category is not explicitly provided by the source index.</x:v>
      </x:c>
      <x:c r="D832" s="37" t="str">
        <x:v>https://drug.fda.moph.go.th/media.php?id=810067905235525632&amp;name=SMPC_Dextromethorphan_Lozenge.pdf</x:v>
      </x:c>
      <x:c r="E832" s="39" t="str">
        <x:v>Open</x:v>
      </x:c>
    </x:row>
    <x:row r="833">
      <x:c r="A833" s="31" t="str">
        <x:v>diclofenac</x:v>
      </x:c>
      <x:c r="B833" s="31" t="str">
        <x:v>category_requires_review</x:v>
      </x:c>
      <x:c r="C833" s="37" t="str">
        <x:v>Therapeutic category is not explicitly provided by the source index.</x:v>
      </x:c>
      <x:c r="D833" s="37" t="str">
        <x:v>https://drug.fda.moph.go.th/media.php?id=808522809746792448&amp;name=Diclofenac_Gel_PIL.pdf</x:v>
      </x:c>
      <x:c r="E833" s="39" t="str">
        <x:v>Open</x:v>
      </x:c>
    </x:row>
    <x:row r="834">
      <x:c r="A834" s="31" t="str">
        <x:v>dicloxacillin</x:v>
      </x:c>
      <x:c r="B834" s="31" t="str">
        <x:v>category_requires_review</x:v>
      </x:c>
      <x:c r="C834" s="37" t="str">
        <x:v>Therapeutic category is not explicitly provided by the source index.</x:v>
      </x:c>
      <x:c r="D834" s="37" t="str">
        <x:v>https://drug.fda.moph.go.th/media.php?id=808523777259479040&amp;name=Dicloxacillin_capsulehard_PIL.pdf</x:v>
      </x:c>
      <x:c r="E834" s="39" t="str">
        <x:v>Open</x:v>
      </x:c>
    </x:row>
    <x:row r="835">
      <x:c r="A835" s="31" t="str">
        <x:v>dicycloverine</x:v>
      </x:c>
      <x:c r="B835" s="31" t="str">
        <x:v>category_requires_review</x:v>
      </x:c>
      <x:c r="C835" s="37" t="str">
        <x:v>Therapeutic category is not explicitly provided by the source index.</x:v>
      </x:c>
      <x:c r="D835" s="37" t="str">
        <x:v>https://drug.fda.moph.go.th/media.php?id=730341737037438976&amp;name=pil_Dicycloverine hydrochloride (TABLET)10 mg, 20 mg.pdf</x:v>
      </x:c>
      <x:c r="E835" s="39" t="str">
        <x:v>Open</x:v>
      </x:c>
    </x:row>
    <x:row r="836">
      <x:c r="A836" s="31" t="str">
        <x:v>digoxin</x:v>
      </x:c>
      <x:c r="B836" s="31" t="str">
        <x:v>category_requires_review</x:v>
      </x:c>
      <x:c r="C836" s="37" t="str">
        <x:v>Therapeutic category is not explicitly provided by the source index.</x:v>
      </x:c>
      <x:c r="D836" s="37" t="str">
        <x:v>https://drug.fda.moph.go.th/media.php?id=730342077547814912&amp;name=pil_Digoxin (TABLET 0.125 mg).pdf</x:v>
      </x:c>
      <x:c r="E836" s="39" t="str">
        <x:v>Open</x:v>
      </x:c>
    </x:row>
    <x:row r="837">
      <x:c r="A837" s="31" t="str">
        <x:v>diltiazem</x:v>
      </x:c>
      <x:c r="B837" s="31" t="str">
        <x:v>category_requires_review</x:v>
      </x:c>
      <x:c r="C837" s="37" t="str">
        <x:v>Therapeutic category is not explicitly provided by the source index.</x:v>
      </x:c>
      <x:c r="D837" s="37" t="str">
        <x:v>https://drug.fda.moph.go.th/media.php?id=730342282607337472&amp;name=pil_Diltiazem hydrochloride (tablet 30 mg, 60 mg).pdf</x:v>
      </x:c>
      <x:c r="E837" s="39" t="str">
        <x:v>Open</x:v>
      </x:c>
    </x:row>
    <x:row r="838">
      <x:c r="A838" s="31" t="str">
        <x:v>dimenhydrinate</x:v>
      </x:c>
      <x:c r="B838" s="31" t="str">
        <x:v>category_requires_review</x:v>
      </x:c>
      <x:c r="C838" s="37" t="str">
        <x:v>Therapeutic category is not explicitly provided by the source index.</x:v>
      </x:c>
      <x:c r="D838" s="37" t="str">
        <x:v>https://drug.fda.moph.go.th/media.php?id=810072093092880384&amp;name=SMPC_Dimenhydrinate_Tablets.pdf</x:v>
      </x:c>
      <x:c r="E838" s="39" t="str">
        <x:v>Open</x:v>
      </x:c>
    </x:row>
    <x:row r="839">
      <x:c r="A839" s="31" t="str">
        <x:v>dipotassium</x:v>
      </x:c>
      <x:c r="B839" s="31" t="str">
        <x:v>missing_name_th</x:v>
      </x:c>
      <x:c r="C839" s="37" t="str">
        <x:v>Thai drug name was not reliably extractable from the reference documents.</x:v>
      </x:c>
      <x:c r="D839" s="37" t="str">
        <x:v>https://drug.fda.moph.go.th/media.php?id=810072479354724352&amp;name=SMPC_Dipotassium phosphate_concentrate for solution for infusion.pdf</x:v>
      </x:c>
      <x:c r="E839" s="39" t="str">
        <x:v>Open</x:v>
      </x:c>
    </x:row>
    <x:row r="840">
      <x:c r="A840" s="31" t="str">
        <x:v>dipotassium</x:v>
      </x:c>
      <x:c r="B840" s="31" t="str">
        <x:v>category_requires_review</x:v>
      </x:c>
      <x:c r="C840" s="37" t="str">
        <x:v>Therapeutic category is not explicitly provided by the source index.</x:v>
      </x:c>
      <x:c r="D840" s="37" t="str">
        <x:v>https://drug.fda.moph.go.th/media.php?id=810072479354724352&amp;name=SMPC_Dipotassium phosphate_concentrate for solution for infusion.pdf</x:v>
      </x:c>
      <x:c r="E840" s="39" t="str">
        <x:v>Open</x:v>
      </x:c>
    </x:row>
    <x:row r="841">
      <x:c r="A841" s="31" t="str">
        <x:v>disulfiram</x:v>
      </x:c>
      <x:c r="B841" s="31" t="str">
        <x:v>category_requires_review</x:v>
      </x:c>
      <x:c r="C841" s="37" t="str">
        <x:v>Therapeutic category is not explicitly provided by the source index.</x:v>
      </x:c>
      <x:c r="D841" s="37" t="str">
        <x:v>https://drug.fda.moph.go.th/media.php?id=810072772666597376&amp;name=SMPC_Disulfiram_Tablets.pdf</x:v>
      </x:c>
      <x:c r="E841" s="39" t="str">
        <x:v>Open</x:v>
      </x:c>
    </x:row>
    <x:row r="842">
      <x:c r="A842" s="31" t="str">
        <x:v>docusate</x:v>
      </x:c>
      <x:c r="B842" s="31" t="str">
        <x:v>missing_name_th</x:v>
      </x:c>
      <x:c r="C842" s="37" t="str">
        <x:v>Thai drug name was not reliably extractable from the reference documents.</x:v>
      </x:c>
      <x:c r="D842" s="37" t="str">
        <x:v>https://drug.fda.moph.go.th/media.php?id=810073111226621952&amp;name=SMPC_Docusate sodium_Oral solution.pdf</x:v>
      </x:c>
      <x:c r="E842" s="39" t="str">
        <x:v>Open</x:v>
      </x:c>
    </x:row>
    <x:row r="843">
      <x:c r="A843" s="31" t="str">
        <x:v>docusate</x:v>
      </x:c>
      <x:c r="B843" s="31" t="str">
        <x:v>category_requires_review</x:v>
      </x:c>
      <x:c r="C843" s="37" t="str">
        <x:v>Therapeutic category is not explicitly provided by the source index.</x:v>
      </x:c>
      <x:c r="D843" s="37" t="str">
        <x:v>https://drug.fda.moph.go.th/media.php?id=810073111226621952&amp;name=SMPC_Docusate sodium_Oral solution.pdf</x:v>
      </x:c>
      <x:c r="E843" s="39" t="str">
        <x:v>Open</x:v>
      </x:c>
    </x:row>
    <x:row r="844">
      <x:c r="A844" s="31" t="str">
        <x:v>domperidone</x:v>
      </x:c>
      <x:c r="B844" s="31" t="str">
        <x:v>category_requires_review</x:v>
      </x:c>
      <x:c r="C844" s="37" t="str">
        <x:v>Therapeutic category is not explicitly provided by the source index.</x:v>
      </x:c>
      <x:c r="D844" s="37" t="str">
        <x:v>https://drug.fda.moph.go.th/media.php?id=808539868891324416&amp;name=Domperidone_Suspension_PIL.pdf</x:v>
      </x:c>
      <x:c r="E844" s="39" t="str">
        <x:v>Open</x:v>
      </x:c>
    </x:row>
    <x:row r="845">
      <x:c r="A845" s="31" t="str">
        <x:v>doxycycline_hyclate</x:v>
      </x:c>
      <x:c r="B845" s="31" t="str">
        <x:v>category_requires_review</x:v>
      </x:c>
      <x:c r="C845" s="37" t="str">
        <x:v>Therapeutic category is not explicitly provided by the source index.</x:v>
      </x:c>
      <x:c r="D845" s="37" t="str">
        <x:v>https://drug.fda.moph.go.th/media.php?id=725943662810374144&amp;name=pil_Doxycycline hyclate (CAPSULE, HARD - TABLET - ENTERIC COATED TABLET).pdf</x:v>
      </x:c>
      <x:c r="E845" s="39" t="str">
        <x:v>Open</x:v>
      </x:c>
    </x:row>
    <x:row r="846">
      <x:c r="A846" s="31" t="str">
        <x:v>econazole</x:v>
      </x:c>
      <x:c r="B846" s="31" t="str">
        <x:v>missing_name_th</x:v>
      </x:c>
      <x:c r="C846" s="37" t="str">
        <x:v>Thai drug name was not reliably extractable from the reference documents.</x:v>
      </x:c>
      <x:c r="D846" s="37" t="str">
        <x:v>https://drug.fda.moph.go.th/media.php?id=810075199797075968&amp;name=SMPC_Econazole_Cream.pdf</x:v>
      </x:c>
      <x:c r="E846" s="39" t="str">
        <x:v>Open</x:v>
      </x:c>
    </x:row>
    <x:row r="847">
      <x:c r="A847" s="31" t="str">
        <x:v>econazole</x:v>
      </x:c>
      <x:c r="B847" s="31" t="str">
        <x:v>category_requires_review</x:v>
      </x:c>
      <x:c r="C847" s="37" t="str">
        <x:v>Therapeutic category is not explicitly provided by the source index.</x:v>
      </x:c>
      <x:c r="D847" s="37" t="str">
        <x:v>https://drug.fda.moph.go.th/media.php?id=810075199797075968&amp;name=SMPC_Econazole_Cream.pdf</x:v>
      </x:c>
      <x:c r="E847" s="39" t="str">
        <x:v>Open</x:v>
      </x:c>
    </x:row>
    <x:row r="848">
      <x:c r="A848" s="31" t="str">
        <x:v>enalapril</x:v>
      </x:c>
      <x:c r="B848" s="31" t="str">
        <x:v>missing_name_th</x:v>
      </x:c>
      <x:c r="C848" s="37" t="str">
        <x:v>Thai drug name was not reliably extractable from the reference documents.</x:v>
      </x:c>
      <x:c r="D848" s="37" t="str">
        <x:v>https://drug.fda.moph.go.th/media.php?id=810075899746721792&amp;name=SMPC_Enalapril_Tablets.pdf</x:v>
      </x:c>
      <x:c r="E848" s="39" t="str">
        <x:v>Open</x:v>
      </x:c>
    </x:row>
    <x:row r="849">
      <x:c r="A849" s="31" t="str">
        <x:v>enalapril</x:v>
      </x:c>
      <x:c r="B849" s="31" t="str">
        <x:v>category_requires_review</x:v>
      </x:c>
      <x:c r="C849" s="37" t="str">
        <x:v>Therapeutic category is not explicitly provided by the source index.</x:v>
      </x:c>
      <x:c r="D849" s="37" t="str">
        <x:v>https://drug.fda.moph.go.th/media.php?id=810075899746721792&amp;name=SMPC_Enalapril_Tablets.pdf</x:v>
      </x:c>
      <x:c r="E849" s="39" t="str">
        <x:v>Open</x:v>
      </x:c>
    </x:row>
    <x:row r="850">
      <x:c r="A850" s="31" t="str">
        <x:v>ergocalciferol</x:v>
      </x:c>
      <x:c r="B850" s="31" t="str">
        <x:v>category_requires_review</x:v>
      </x:c>
      <x:c r="C850" s="37" t="str">
        <x:v>Therapeutic category is not explicitly provided by the source index.</x:v>
      </x:c>
      <x:c r="D850" s="37" t="str">
        <x:v>https://drug.fda.moph.go.th/media.php?id=725943692476686336&amp;name=pil_Ergocalciferol (CAPSULE, HARD).pdf</x:v>
      </x:c>
      <x:c r="E850" s="39" t="str">
        <x:v>Open</x:v>
      </x:c>
    </x:row>
    <x:row r="851">
      <x:c r="A851" s="31" t="str">
        <x:v>erythromycin</x:v>
      </x:c>
      <x:c r="B851" s="31" t="str">
        <x:v>category_requires_review</x:v>
      </x:c>
      <x:c r="C851" s="37" t="str">
        <x:v>Therapeutic category is not explicitly provided by the source index.</x:v>
      </x:c>
      <x:c r="D851" s="37" t="str">
        <x:v>https://drug.fda.moph.go.th/media.php?id=808540497957232640&amp;name=Erythromycin_capsulehard_PIL.pdf</x:v>
      </x:c>
      <x:c r="E851" s="39" t="str">
        <x:v>Open</x:v>
      </x:c>
    </x:row>
    <x:row r="852">
      <x:c r="A852" s="31" t="str">
        <x:v>estradiol</x:v>
      </x:c>
      <x:c r="B852" s="31" t="str">
        <x:v>missing_name_th</x:v>
      </x:c>
      <x:c r="C852" s="37" t="str">
        <x:v>Thai drug name was not reliably extractable from the reference documents.</x:v>
      </x:c>
      <x:c r="D852" s="37" t="str">
        <x:v>https://drug.fda.moph.go.th/media.php?id=810077151993929728&amp;name=SMPC_Estradiol_Tablets.pdf</x:v>
      </x:c>
      <x:c r="E852" s="39" t="str">
        <x:v>Open</x:v>
      </x:c>
    </x:row>
    <x:row r="853">
      <x:c r="A853" s="31" t="str">
        <x:v>estradiol</x:v>
      </x:c>
      <x:c r="B853" s="31" t="str">
        <x:v>category_requires_review</x:v>
      </x:c>
      <x:c r="C853" s="37" t="str">
        <x:v>Therapeutic category is not explicitly provided by the source index.</x:v>
      </x:c>
      <x:c r="D853" s="37" t="str">
        <x:v>https://drug.fda.moph.go.th/media.php?id=810077151993929728&amp;name=SMPC_Estradiol_Tablets.pdf</x:v>
      </x:c>
      <x:c r="E853" s="39" t="str">
        <x:v>Open</x:v>
      </x:c>
    </x:row>
    <x:row r="854">
      <x:c r="A854" s="31" t="str">
        <x:v>ethinylestradiol_chlormadinone</x:v>
      </x:c>
      <x:c r="B854" s="31" t="str">
        <x:v>missing_name_th</x:v>
      </x:c>
      <x:c r="C854" s="37" t="str">
        <x:v>Thai drug name was not reliably extractable from the reference documents.</x:v>
      </x:c>
      <x:c r="D854" s="37" t="str">
        <x:v>https://drug.fda.moph.go.th/media.php?id=725941136048398336&amp;name=pil_Ethinylestradiol + Chlormadinone (TABLET).pdf</x:v>
      </x:c>
      <x:c r="E854" s="39" t="str">
        <x:v>Open</x:v>
      </x:c>
    </x:row>
    <x:row r="855">
      <x:c r="A855" s="31" t="str">
        <x:v>ethinylestradiol_chlormadinone</x:v>
      </x:c>
      <x:c r="B855" s="31" t="str">
        <x:v>category_requires_review</x:v>
      </x:c>
      <x:c r="C855" s="37" t="str">
        <x:v>Therapeutic category is not explicitly provided by the source index.</x:v>
      </x:c>
      <x:c r="D855" s="37" t="str">
        <x:v>https://drug.fda.moph.go.th/media.php?id=725941136048398336&amp;name=pil_Ethinylestradiol + Chlormadinone (TABLET).pdf</x:v>
      </x:c>
      <x:c r="E855" s="39" t="str">
        <x:v>Open</x:v>
      </x:c>
    </x:row>
    <x:row r="856">
      <x:c r="A856" s="31" t="str">
        <x:v>ethinylestradiol_cyproterone</x:v>
      </x:c>
      <x:c r="B856" s="31" t="str">
        <x:v>missing_name_th</x:v>
      </x:c>
      <x:c r="C856" s="37" t="str">
        <x:v>Thai drug name was not reliably extractable from the reference documents.</x:v>
      </x:c>
      <x:c r="D856" s="37" t="str">
        <x:v>https://drug.fda.moph.go.th/media.php?id=725940717846929408&amp;name=pil_Ethinylestradiol + Cyproterone (TABLET).pdf</x:v>
      </x:c>
      <x:c r="E856" s="39" t="str">
        <x:v>Open</x:v>
      </x:c>
    </x:row>
    <x:row r="857">
      <x:c r="A857" s="31" t="str">
        <x:v>ethinylestradiol_cyproterone</x:v>
      </x:c>
      <x:c r="B857" s="31" t="str">
        <x:v>category_requires_review</x:v>
      </x:c>
      <x:c r="C857" s="37" t="str">
        <x:v>Therapeutic category is not explicitly provided by the source index.</x:v>
      </x:c>
      <x:c r="D857" s="37" t="str">
        <x:v>https://drug.fda.moph.go.th/media.php?id=725940717846929408&amp;name=pil_Ethinylestradiol + Cyproterone (TABLET).pdf</x:v>
      </x:c>
      <x:c r="E857" s="39" t="str">
        <x:v>Open</x:v>
      </x:c>
    </x:row>
    <x:row r="858">
      <x:c r="A858" s="31" t="str">
        <x:v>ethinylestradiol_desogestrel</x:v>
      </x:c>
      <x:c r="B858" s="31" t="str">
        <x:v>missing_name_th</x:v>
      </x:c>
      <x:c r="C858" s="37" t="str">
        <x:v>Thai drug name was not reliably extractable from the reference documents.</x:v>
      </x:c>
      <x:c r="D858" s="37" t="str">
        <x:v>https://drug.fda.moph.go.th/media.php?id=725941454819696640&amp;name=pil_Ethinylestradiol + Desogestrel (TABLET).pdf</x:v>
      </x:c>
      <x:c r="E858" s="39" t="str">
        <x:v>Open</x:v>
      </x:c>
    </x:row>
    <x:row r="859">
      <x:c r="A859" s="31" t="str">
        <x:v>ethinylestradiol_desogestrel</x:v>
      </x:c>
      <x:c r="B859" s="31" t="str">
        <x:v>category_requires_review</x:v>
      </x:c>
      <x:c r="C859" s="37" t="str">
        <x:v>Therapeutic category is not explicitly provided by the source index.</x:v>
      </x:c>
      <x:c r="D859" s="37" t="str">
        <x:v>https://drug.fda.moph.go.th/media.php?id=725941454819696640&amp;name=pil_Ethinylestradiol + Desogestrel (TABLET).pdf</x:v>
      </x:c>
      <x:c r="E859" s="39" t="str">
        <x:v>Open</x:v>
      </x:c>
    </x:row>
    <x:row r="860">
      <x:c r="A860" s="31" t="str">
        <x:v>ethinylestradiol_d_norgestrel</x:v>
      </x:c>
      <x:c r="B860" s="31" t="str">
        <x:v>missing_name_th</x:v>
      </x:c>
      <x:c r="C860" s="37" t="str">
        <x:v>Thai drug name was not reliably extractable from the reference documents.</x:v>
      </x:c>
      <x:c r="D860" s="37" t="str">
        <x:v>https://drug.fda.moph.go.th/media.php?id=725940972185329664&amp;name=pil_Ethinylestradiol + D-Norgestrel (TABLET).pdf</x:v>
      </x:c>
      <x:c r="E860" s="39" t="str">
        <x:v>Open</x:v>
      </x:c>
    </x:row>
    <x:row r="861">
      <x:c r="A861" s="31" t="str">
        <x:v>ethinylestradiol_d_norgestrel</x:v>
      </x:c>
      <x:c r="B861" s="31" t="str">
        <x:v>category_requires_review</x:v>
      </x:c>
      <x:c r="C861" s="37" t="str">
        <x:v>Therapeutic category is not explicitly provided by the source index.</x:v>
      </x:c>
      <x:c r="D861" s="37" t="str">
        <x:v>https://drug.fda.moph.go.th/media.php?id=725940972185329664&amp;name=pil_Ethinylestradiol + D-Norgestrel (TABLET).pdf</x:v>
      </x:c>
      <x:c r="E861" s="39" t="str">
        <x:v>Open</x:v>
      </x:c>
    </x:row>
    <x:row r="862">
      <x:c r="A862" s="31" t="str">
        <x:v>ethinylestradiol_drospirenone</x:v>
      </x:c>
      <x:c r="B862" s="31" t="str">
        <x:v>missing_name_th</x:v>
      </x:c>
      <x:c r="C862" s="37" t="str">
        <x:v>Thai drug name was not reliably extractable from the reference documents.</x:v>
      </x:c>
      <x:c r="D862" s="37" t="str">
        <x:v>https://drug.fda.moph.go.th/media.php?id=725941258706624512&amp;name=pil_Ethinylestradiol + Drospirenone (TABLET).pdf</x:v>
      </x:c>
      <x:c r="E862" s="39" t="str">
        <x:v>Open</x:v>
      </x:c>
    </x:row>
    <x:row r="863">
      <x:c r="A863" s="31" t="str">
        <x:v>ethinylestradiol_drospirenone</x:v>
      </x:c>
      <x:c r="B863" s="31" t="str">
        <x:v>category_requires_review</x:v>
      </x:c>
      <x:c r="C863" s="37" t="str">
        <x:v>Therapeutic category is not explicitly provided by the source index.</x:v>
      </x:c>
      <x:c r="D863" s="37" t="str">
        <x:v>https://drug.fda.moph.go.th/media.php?id=725941258706624512&amp;name=pil_Ethinylestradiol + Drospirenone (TABLET).pdf</x:v>
      </x:c>
      <x:c r="E863" s="39" t="str">
        <x:v>Open</x:v>
      </x:c>
    </x:row>
    <x:row r="864">
      <x:c r="A864" s="31" t="str">
        <x:v>ethinylestradiol_gestodene</x:v>
      </x:c>
      <x:c r="B864" s="31" t="str">
        <x:v>missing_name_th</x:v>
      </x:c>
      <x:c r="C864" s="37" t="str">
        <x:v>Thai drug name was not reliably extractable from the reference documents.</x:v>
      </x:c>
      <x:c r="D864" s="37" t="str">
        <x:v>https://drug.fda.moph.go.th/media.php?id=725940579837550592&amp;name=pil_Ethinylestradiol + Gestodene (TABLET).pdf</x:v>
      </x:c>
      <x:c r="E864" s="39" t="str">
        <x:v>Open</x:v>
      </x:c>
    </x:row>
    <x:row r="865">
      <x:c r="A865" s="31" t="str">
        <x:v>ethinylestradiol_gestodene</x:v>
      </x:c>
      <x:c r="B865" s="31" t="str">
        <x:v>category_requires_review</x:v>
      </x:c>
      <x:c r="C865" s="37" t="str">
        <x:v>Therapeutic category is not explicitly provided by the source index.</x:v>
      </x:c>
      <x:c r="D865" s="37" t="str">
        <x:v>https://drug.fda.moph.go.th/media.php?id=725940579837550592&amp;name=pil_Ethinylestradiol + Gestodene (TABLET).pdf</x:v>
      </x:c>
      <x:c r="E865" s="39" t="str">
        <x:v>Open</x:v>
      </x:c>
    </x:row>
    <x:row r="866">
      <x:c r="A866" s="31" t="str">
        <x:v>ethinylestradiol_levonorgestrel</x:v>
      </x:c>
      <x:c r="B866" s="31" t="str">
        <x:v>missing_name_th</x:v>
      </x:c>
      <x:c r="C866" s="37" t="str">
        <x:v>Thai drug name was not reliably extractable from the reference documents.</x:v>
      </x:c>
      <x:c r="D866" s="37" t="str">
        <x:v>https://drug.fda.moph.go.th/media.php?id=725940848201703424&amp;name=pil_Ethinylestradiol + Levonorgestrel (TABLET).pdf</x:v>
      </x:c>
      <x:c r="E866" s="39" t="str">
        <x:v>Open</x:v>
      </x:c>
    </x:row>
    <x:row r="867">
      <x:c r="A867" s="31" t="str">
        <x:v>ethinylestradiol_levonorgestrel</x:v>
      </x:c>
      <x:c r="B867" s="31" t="str">
        <x:v>category_requires_review</x:v>
      </x:c>
      <x:c r="C867" s="37" t="str">
        <x:v>Therapeutic category is not explicitly provided by the source index.</x:v>
      </x:c>
      <x:c r="D867" s="37" t="str">
        <x:v>https://drug.fda.moph.go.th/media.php?id=725940848201703424&amp;name=pil_Ethinylestradiol + Levonorgestrel (TABLET).pdf</x:v>
      </x:c>
      <x:c r="E867" s="39" t="str">
        <x:v>Open</x:v>
      </x:c>
    </x:row>
    <x:row r="868">
      <x:c r="A868" s="31" t="str">
        <x:v>ethyl_alcohol</x:v>
      </x:c>
      <x:c r="B868" s="31" t="str">
        <x:v>category_requires_review</x:v>
      </x:c>
      <x:c r="C868" s="37" t="str">
        <x:v>Therapeutic category is not explicitly provided by the source index.</x:v>
      </x:c>
      <x:c r="D868" s="37" t="str">
        <x:v>https://drug.fda.moph.go.th/media.php?id=733927459329810432&amp;name=PIL _ethyl alcohol_ยาเอทิล แอลกอฮอล์ (15032024).pdf</x:v>
      </x:c>
      <x:c r="E868" s="39" t="str">
        <x:v>Open</x:v>
      </x:c>
    </x:row>
    <x:row r="869">
      <x:c r="A869" s="31" t="str">
        <x:v>ethyl_ester_of_iodinated_fatty_acids_of_poppy_seed_oil</x:v>
      </x:c>
      <x:c r="B869" s="31" t="str">
        <x:v>missing_name_th</x:v>
      </x:c>
      <x:c r="C869" s="37" t="str">
        <x:v>Thai drug name was not reliably extractable from the reference documents.</x:v>
      </x:c>
      <x:c r="D869" s="37" t="str">
        <x:v>https://drug.fda.moph.go.th/media.php?id=810077645797728256&amp;name=SMPC_Ethyl Ester of Iodinated Fatty Acids of Poppy Seed Oil_Solution for Injection.pdf</x:v>
      </x:c>
      <x:c r="E869" s="39" t="str">
        <x:v>Open</x:v>
      </x:c>
    </x:row>
    <x:row r="870">
      <x:c r="A870" s="31" t="str">
        <x:v>ethyl_ester_of_iodinated_fatty_acids_of_poppy_seed_oil</x:v>
      </x:c>
      <x:c r="B870" s="31" t="str">
        <x:v>category_requires_review</x:v>
      </x:c>
      <x:c r="C870" s="37" t="str">
        <x:v>Therapeutic category is not explicitly provided by the source index.</x:v>
      </x:c>
      <x:c r="D870" s="37" t="str">
        <x:v>https://drug.fda.moph.go.th/media.php?id=810077645797728256&amp;name=SMPC_Ethyl Ester of Iodinated Fatty Acids of Poppy Seed Oil_Solution for Injection.pdf</x:v>
      </x:c>
      <x:c r="E870" s="39" t="str">
        <x:v>Open</x:v>
      </x:c>
    </x:row>
    <x:row r="871">
      <x:c r="A871" s="31" t="str">
        <x:v>etoricoxib</x:v>
      </x:c>
      <x:c r="B871" s="31" t="str">
        <x:v>category_requires_review</x:v>
      </x:c>
      <x:c r="C871" s="37" t="str">
        <x:v>Therapeutic category is not explicitly provided by the source index.</x:v>
      </x:c>
      <x:c r="D871" s="37" t="str">
        <x:v>https://drug.fda.moph.go.th/media.php?id=808541933805903872&amp;name=Etoricoxib_film-coated tablet_PIL.pdf</x:v>
      </x:c>
      <x:c r="E871" s="39" t="str">
        <x:v>Open</x:v>
      </x:c>
    </x:row>
    <x:row r="872">
      <x:c r="A872" s="31" t="str">
        <x:v>eucalyptus_oil</x:v>
      </x:c>
      <x:c r="B872" s="31" t="str">
        <x:v>missing_name_th</x:v>
      </x:c>
      <x:c r="C872" s="37" t="str">
        <x:v>Thai drug name was not reliably extractable from the reference documents.</x:v>
      </x:c>
      <x:c r="D872" s="37" t="str">
        <x:v>https://drug.fda.moph.go.th/media.php?id=810078101643075584&amp;name=SMPC_Eucalyptus oil_essential oil.pdf</x:v>
      </x:c>
      <x:c r="E872" s="39" t="str">
        <x:v>Open</x:v>
      </x:c>
    </x:row>
    <x:row r="873">
      <x:c r="A873" s="31" t="str">
        <x:v>eucalyptus_oil</x:v>
      </x:c>
      <x:c r="B873" s="31" t="str">
        <x:v>category_requires_review</x:v>
      </x:c>
      <x:c r="C873" s="37" t="str">
        <x:v>Therapeutic category is not explicitly provided by the source index.</x:v>
      </x:c>
      <x:c r="D873" s="37" t="str">
        <x:v>https://drug.fda.moph.go.th/media.php?id=810078101643075584&amp;name=SMPC_Eucalyptus oil_essential oil.pdf</x:v>
      </x:c>
      <x:c r="E873" s="39" t="str">
        <x:v>Open</x:v>
      </x:c>
    </x:row>
    <x:row r="874">
      <x:c r="A874" s="31" t="str">
        <x:v>famotidine</x:v>
      </x:c>
      <x:c r="B874" s="31" t="str">
        <x:v>category_requires_review</x:v>
      </x:c>
      <x:c r="C874" s="37" t="str">
        <x:v>Therapeutic category is not explicitly provided by the source index.</x:v>
      </x:c>
      <x:c r="D874" s="37" t="str">
        <x:v>https://drug.fda.moph.go.th/media.php?id=730344683175288832&amp;name=pil_Famotidine (Tablet 20 mg, 40 mg).pdf</x:v>
      </x:c>
      <x:c r="E874" s="39" t="str">
        <x:v>Open</x:v>
      </x:c>
    </x:row>
    <x:row r="875">
      <x:c r="A875" s="31" t="str">
        <x:v>felodipine</x:v>
      </x:c>
      <x:c r="B875" s="31" t="str">
        <x:v>missing_name_th</x:v>
      </x:c>
      <x:c r="C875" s="37" t="str">
        <x:v>Thai drug name was not reliably extractable from the reference documents.</x:v>
      </x:c>
      <x:c r="D875" s="37" t="str">
        <x:v>https://drug.fda.moph.go.th/media.php?id=810078823658954752&amp;name=SMPC_Felodipine_prolonged release tablets.pdf</x:v>
      </x:c>
      <x:c r="E875" s="39" t="str">
        <x:v>Open</x:v>
      </x:c>
    </x:row>
    <x:row r="876">
      <x:c r="A876" s="31" t="str">
        <x:v>felodipine</x:v>
      </x:c>
      <x:c r="B876" s="31" t="str">
        <x:v>category_requires_review</x:v>
      </x:c>
      <x:c r="C876" s="37" t="str">
        <x:v>Therapeutic category is not explicitly provided by the source index.</x:v>
      </x:c>
      <x:c r="D876" s="37" t="str">
        <x:v>https://drug.fda.moph.go.th/media.php?id=810078823658954752&amp;name=SMPC_Felodipine_prolonged release tablets.pdf</x:v>
      </x:c>
      <x:c r="E876" s="39" t="str">
        <x:v>Open</x:v>
      </x:c>
    </x:row>
    <x:row r="877">
      <x:c r="A877" s="31" t="str">
        <x:v>fenofibrate</x:v>
      </x:c>
      <x:c r="B877" s="31" t="str">
        <x:v>category_requires_review</x:v>
      </x:c>
      <x:c r="C877" s="37" t="str">
        <x:v>Therapeutic category is not explicitly provided by the source index.</x:v>
      </x:c>
      <x:c r="D877" s="37" t="str">
        <x:v>https://drug.fda.moph.go.th/media.php?id=808542706069544960&amp;name=Fenofibrate_capsule, tablet_PIL.pdf</x:v>
      </x:c>
      <x:c r="E877" s="39" t="str">
        <x:v>Open</x:v>
      </x:c>
    </x:row>
    <x:row r="878">
      <x:c r="A878" s="31" t="str">
        <x:v>ferrous</x:v>
      </x:c>
      <x:c r="B878" s="31" t="str">
        <x:v>missing_name_th</x:v>
      </x:c>
      <x:c r="C878" s="37" t="str">
        <x:v>Thai drug name was not reliably extractable from the reference documents.</x:v>
      </x:c>
      <x:c r="D878" s="37" t="str">
        <x:v>https://drug.fda.moph.go.th/media.php?id=810079316368039936&amp;name=SMPC_Ferrous fumarate_Tablets.pdf</x:v>
      </x:c>
      <x:c r="E878" s="39" t="str">
        <x:v>Open</x:v>
      </x:c>
    </x:row>
    <x:row r="879">
      <x:c r="A879" s="31" t="str">
        <x:v>ferrous</x:v>
      </x:c>
      <x:c r="B879" s="31" t="str">
        <x:v>category_requires_review</x:v>
      </x:c>
      <x:c r="C879" s="37" t="str">
        <x:v>Therapeutic category is not explicitly provided by the source index.</x:v>
      </x:c>
      <x:c r="D879" s="37" t="str">
        <x:v>https://drug.fda.moph.go.th/media.php?id=810079316368039936&amp;name=SMPC_Ferrous fumarate_Tablets.pdf</x:v>
      </x:c>
      <x:c r="E879" s="39" t="str">
        <x:v>Open</x:v>
      </x:c>
    </x:row>
    <x:row r="880">
      <x:c r="A880" s="31" t="str">
        <x:v>fluocinolone_acetonide</x:v>
      </x:c>
      <x:c r="B880" s="31" t="str">
        <x:v>missing_name_th</x:v>
      </x:c>
      <x:c r="C880" s="37" t="str">
        <x:v>Thai drug name was not reliably extractable from the reference documents.</x:v>
      </x:c>
      <x:c r="D880" s="37" t="str">
        <x:v>https://drug.fda.moph.go.th/media.php?id=810172555817263104&amp;name=SMPC_Fluocinolone acetonide_cream.pdf</x:v>
      </x:c>
      <x:c r="E880" s="39" t="str">
        <x:v>Open</x:v>
      </x:c>
    </x:row>
    <x:row r="881">
      <x:c r="A881" s="31" t="str">
        <x:v>fluocinolone_acetonide</x:v>
      </x:c>
      <x:c r="B881" s="31" t="str">
        <x:v>category_requires_review</x:v>
      </x:c>
      <x:c r="C881" s="37" t="str">
        <x:v>Therapeutic category is not explicitly provided by the source index.</x:v>
      </x:c>
      <x:c r="D881" s="37" t="str">
        <x:v>https://drug.fda.moph.go.th/media.php?id=810172555817263104&amp;name=SMPC_Fluocinolone acetonide_cream.pdf</x:v>
      </x:c>
      <x:c r="E881" s="39" t="str">
        <x:v>Open</x:v>
      </x:c>
    </x:row>
    <x:row r="882">
      <x:c r="A882" s="31" t="str">
        <x:v>fluorouracil</x:v>
      </x:c>
      <x:c r="B882" s="31" t="str">
        <x:v>category_requires_review</x:v>
      </x:c>
      <x:c r="C882" s="37" t="str">
        <x:v>Therapeutic category is not explicitly provided by the source index.</x:v>
      </x:c>
      <x:c r="D882" s="37" t="str">
        <x:v>https://drug.fda.moph.go.th/media.php?id=810172919505362944&amp;name=SMPC_Fluorouracil_Solution for Injection or Infusion.pdf</x:v>
      </x:c>
      <x:c r="E882" s="39" t="str">
        <x:v>Open</x:v>
      </x:c>
    </x:row>
    <x:row r="883">
      <x:c r="A883" s="31" t="str">
        <x:v>fluoxetine</x:v>
      </x:c>
      <x:c r="B883" s="31" t="str">
        <x:v>missing_name_th</x:v>
      </x:c>
      <x:c r="C883" s="37" t="str">
        <x:v>Thai drug name was not reliably extractable from the reference documents.</x:v>
      </x:c>
      <x:c r="D883" s="37" t="str">
        <x:v>https://drug.fda.moph.go.th/media.php?id=810173242932338688&amp;name=SMPC_Fluoxetine_Capsules.pdf</x:v>
      </x:c>
      <x:c r="E883" s="39" t="str">
        <x:v>Open</x:v>
      </x:c>
    </x:row>
    <x:row r="884">
      <x:c r="A884" s="31" t="str">
        <x:v>fluoxetine</x:v>
      </x:c>
      <x:c r="B884" s="31" t="str">
        <x:v>category_requires_review</x:v>
      </x:c>
      <x:c r="C884" s="37" t="str">
        <x:v>Therapeutic category is not explicitly provided by the source index.</x:v>
      </x:c>
      <x:c r="D884" s="37" t="str">
        <x:v>https://drug.fda.moph.go.th/media.php?id=810173242932338688&amp;name=SMPC_Fluoxetine_Capsules.pdf</x:v>
      </x:c>
      <x:c r="E884" s="39" t="str">
        <x:v>Open</x:v>
      </x:c>
    </x:row>
    <x:row r="885">
      <x:c r="A885" s="31" t="str">
        <x:v>folic_acid</x:v>
      </x:c>
      <x:c r="B885" s="31" t="str">
        <x:v>category_requires_review</x:v>
      </x:c>
      <x:c r="C885" s="37" t="str">
        <x:v>Therapeutic category is not explicitly provided by the source index.</x:v>
      </x:c>
      <x:c r="D885" s="37" t="str">
        <x:v>https://drug.fda.moph.go.th/media.php?id=730358561472913408&amp;name=pil_Folic acid (TABLET).pdf</x:v>
      </x:c>
      <x:c r="E885" s="39" t="str">
        <x:v>Open</x:v>
      </x:c>
    </x:row>
    <x:row r="886">
      <x:c r="A886" s="31" t="str">
        <x:v>follitropin_alfa</x:v>
      </x:c>
      <x:c r="B886" s="31" t="str">
        <x:v>missing_name_th</x:v>
      </x:c>
      <x:c r="C886" s="37" t="str">
        <x:v>Thai drug name was not reliably extractable from the reference documents.</x:v>
      </x:c>
      <x:c r="D886" s="37" t="str">
        <x:v>https://drug.fda.moph.go.th/media.php?id=810173725403127808&amp;name=SMPC_Follitropin alfa_solution for infusion.pdf</x:v>
      </x:c>
      <x:c r="E886" s="39" t="str">
        <x:v>Open</x:v>
      </x:c>
    </x:row>
    <x:row r="887">
      <x:c r="A887" s="31" t="str">
        <x:v>follitropin_alfa</x:v>
      </x:c>
      <x:c r="B887" s="31" t="str">
        <x:v>category_requires_review</x:v>
      </x:c>
      <x:c r="C887" s="37" t="str">
        <x:v>Therapeutic category is not explicitly provided by the source index.</x:v>
      </x:c>
      <x:c r="D887" s="37" t="str">
        <x:v>https://drug.fda.moph.go.th/media.php?id=810173725403127808&amp;name=SMPC_Follitropin alfa_solution for infusion.pdf</x:v>
      </x:c>
      <x:c r="E887" s="39" t="str">
        <x:v>Open</x:v>
      </x:c>
    </x:row>
    <x:row r="888">
      <x:c r="A888" s="31" t="str">
        <x:v>furosemide</x:v>
      </x:c>
      <x:c r="B888" s="31" t="str">
        <x:v>category_requires_review</x:v>
      </x:c>
      <x:c r="C888" s="37" t="str">
        <x:v>Therapeutic category is not explicitly provided by the source index.</x:v>
      </x:c>
      <x:c r="D888" s="37" t="str">
        <x:v>https://drug.fda.moph.go.th/media.php?id=730358697620021248&amp;name=pil_Furosemide (TABLET 40 mg, 500 mg).pdf</x:v>
      </x:c>
      <x:c r="E888" s="39" t="str">
        <x:v>Open</x:v>
      </x:c>
    </x:row>
    <x:row r="889">
      <x:c r="A889" s="31" t="str">
        <x:v>gemfibrozil</x:v>
      </x:c>
      <x:c r="B889" s="31" t="str">
        <x:v>category_requires_review</x:v>
      </x:c>
      <x:c r="C889" s="37" t="str">
        <x:v>Therapeutic category is not explicitly provided by the source index.</x:v>
      </x:c>
      <x:c r="D889" s="37" t="str">
        <x:v>https://drug.fda.moph.go.th/media.php?id=730359193718104064&amp;name=pil_Gemfibrozil (CAPSULE, HARD 300 mg, 600 mg).pdf</x:v>
      </x:c>
      <x:c r="E889" s="39" t="str">
        <x:v>Open</x:v>
      </x:c>
    </x:row>
    <x:row r="890">
      <x:c r="A890" s="31" t="str">
        <x:v>gentamicin</x:v>
      </x:c>
      <x:c r="B890" s="31" t="str">
        <x:v>category_requires_review</x:v>
      </x:c>
      <x:c r="C890" s="37" t="str">
        <x:v>Therapeutic category is not explicitly provided by the source index.</x:v>
      </x:c>
      <x:c r="D890" s="37" t="str">
        <x:v>https://drug.fda.moph.go.th/media.php?id=808544511717416960&amp;name=Gentamicin_cream_PIL.pdf</x:v>
      </x:c>
      <x:c r="E890" s="39" t="str">
        <x:v>Open</x:v>
      </x:c>
    </x:row>
    <x:row r="891">
      <x:c r="A891" s="31" t="str">
        <x:v>gentamicin_betamethasone_dipropionate</x:v>
      </x:c>
      <x:c r="B891" s="31" t="str">
        <x:v>missing_name_th</x:v>
      </x:c>
      <x:c r="C891" s="37" t="str">
        <x:v>Thai drug name was not reliably extractable from the reference documents.</x:v>
      </x:c>
      <x:c r="D891" s="37" t="str">
        <x:v>https://drug.fda.moph.go.th/media.php?id=810174762931331072&amp;name=SMPC_Gentamicin sulfate+betamethasone dipropionate_cream.pdf</x:v>
      </x:c>
      <x:c r="E891" s="39" t="str">
        <x:v>Open</x:v>
      </x:c>
    </x:row>
    <x:row r="892">
      <x:c r="A892" s="31" t="str">
        <x:v>gentamicin_betamethasone_dipropionate</x:v>
      </x:c>
      <x:c r="B892" s="31" t="str">
        <x:v>category_requires_review</x:v>
      </x:c>
      <x:c r="C892" s="37" t="str">
        <x:v>Therapeutic category is not explicitly provided by the source index.</x:v>
      </x:c>
      <x:c r="D892" s="37" t="str">
        <x:v>https://drug.fda.moph.go.th/media.php?id=810174762931331072&amp;name=SMPC_Gentamicin sulfate+betamethasone dipropionate_cream.pdf</x:v>
      </x:c>
      <x:c r="E892" s="39" t="str">
        <x:v>Open</x:v>
      </x:c>
    </x:row>
    <x:row r="893">
      <x:c r="A893" s="31" t="str">
        <x:v>gentian_violet</x:v>
      </x:c>
      <x:c r="B893" s="31" t="str">
        <x:v>category_requires_review</x:v>
      </x:c>
      <x:c r="C893" s="37" t="str">
        <x:v>Therapeutic category is not explicitly provided by the source index.</x:v>
      </x:c>
      <x:c r="D893" s="37" t="str">
        <x:v>https://drug.fda.moph.go.th/media.php?id=733947717088321536&amp;name=PIL_ยา Gentian violet เยนเชี่ยนไวโอเลต_update (15032024).pdf</x:v>
      </x:c>
      <x:c r="E893" s="39" t="str">
        <x:v>Open</x:v>
      </x:c>
    </x:row>
    <x:row r="894">
      <x:c r="A894" s="31" t="str">
        <x:v>gliclazide</x:v>
      </x:c>
      <x:c r="B894" s="31" t="str">
        <x:v>missing_name_th</x:v>
      </x:c>
      <x:c r="C894" s="37" t="str">
        <x:v>Thai drug name was not reliably extractable from the reference documents.</x:v>
      </x:c>
      <x:c r="D894" s="37" t="str">
        <x:v>https://drug.fda.moph.go.th/media.php?id=810175347420176384&amp;name=SMPC_Gliclazide_Modified-release Tablets.pdf</x:v>
      </x:c>
      <x:c r="E894" s="39" t="str">
        <x:v>Open</x:v>
      </x:c>
    </x:row>
    <x:row r="895">
      <x:c r="A895" s="31" t="str">
        <x:v>gliclazide</x:v>
      </x:c>
      <x:c r="B895" s="31" t="str">
        <x:v>category_requires_review</x:v>
      </x:c>
      <x:c r="C895" s="37" t="str">
        <x:v>Therapeutic category is not explicitly provided by the source index.</x:v>
      </x:c>
      <x:c r="D895" s="37" t="str">
        <x:v>https://drug.fda.moph.go.th/media.php?id=810175347420176384&amp;name=SMPC_Gliclazide_Modified-release Tablets.pdf</x:v>
      </x:c>
      <x:c r="E895" s="39" t="str">
        <x:v>Open</x:v>
      </x:c>
    </x:row>
    <x:row r="896">
      <x:c r="A896" s="31" t="str">
        <x:v>glipizide</x:v>
      </x:c>
      <x:c r="B896" s="31" t="str">
        <x:v>category_requires_review</x:v>
      </x:c>
      <x:c r="C896" s="37" t="str">
        <x:v>Therapeutic category is not explicitly provided by the source index.</x:v>
      </x:c>
      <x:c r="D896" s="37" t="str">
        <x:v>https://drug.fda.moph.go.th/media.php?id=730360834919899136&amp;name=pil_Glipizide (TABLET 5 mg).pdf</x:v>
      </x:c>
      <x:c r="E896" s="39" t="str">
        <x:v>Open</x:v>
      </x:c>
    </x:row>
    <x:row r="897">
      <x:c r="A897" s="31" t="str">
        <x:v>glucose</x:v>
      </x:c>
      <x:c r="B897" s="31" t="str">
        <x:v>missing_name_th</x:v>
      </x:c>
      <x:c r="C897" s="37" t="str">
        <x:v>Thai drug name was not reliably extractable from the reference documents.</x:v>
      </x:c>
      <x:c r="D897" s="37" t="str">
        <x:v>https://drug.fda.moph.go.th/media.php?id=810178026569605120&amp;name=SMPC_Glucose_5_Solution for Infusion.pdf</x:v>
      </x:c>
      <x:c r="E897" s="39" t="str">
        <x:v>Open</x:v>
      </x:c>
    </x:row>
    <x:row r="898">
      <x:c r="A898" s="31" t="str">
        <x:v>glucose</x:v>
      </x:c>
      <x:c r="B898" s="31" t="str">
        <x:v>category_requires_review</x:v>
      </x:c>
      <x:c r="C898" s="37" t="str">
        <x:v>Therapeutic category is not explicitly provided by the source index.</x:v>
      </x:c>
      <x:c r="D898" s="37" t="str">
        <x:v>https://drug.fda.moph.go.th/media.php?id=810178026569605120&amp;name=SMPC_Glucose_5_Solution for Infusion.pdf</x:v>
      </x:c>
      <x:c r="E898" s="39" t="str">
        <x:v>Open</x:v>
      </x:c>
    </x:row>
    <x:row r="899">
      <x:c r="A899" s="31" t="str">
        <x:v>glucose_monohydrate_and</x:v>
      </x:c>
      <x:c r="B899" s="31" t="str">
        <x:v>missing_name_th</x:v>
      </x:c>
      <x:c r="C899" s="37" t="str">
        <x:v>Thai drug name was not reliably extractable from the reference documents.</x:v>
      </x:c>
      <x:c r="D899" s="37" t="str">
        <x:v>https://drug.fda.moph.go.th/media.php?id=810179446651887616&amp;name=SMPC_Glucose monohydrate+Sodium chloride_Intravenous Fluid.pdf</x:v>
      </x:c>
      <x:c r="E899" s="39" t="str">
        <x:v>Open</x:v>
      </x:c>
    </x:row>
    <x:row r="900">
      <x:c r="A900" s="31" t="str">
        <x:v>glucose_monohydrate_and</x:v>
      </x:c>
      <x:c r="B900" s="31" t="str">
        <x:v>category_requires_review</x:v>
      </x:c>
      <x:c r="C900" s="37" t="str">
        <x:v>Therapeutic category is not explicitly provided by the source index.</x:v>
      </x:c>
      <x:c r="D900" s="37" t="str">
        <x:v>https://drug.fda.moph.go.th/media.php?id=810179446651887616&amp;name=SMPC_Glucose monohydrate+Sodium chloride_Intravenous Fluid.pdf</x:v>
      </x:c>
      <x:c r="E900" s="39" t="str">
        <x:v>Open</x:v>
      </x:c>
    </x:row>
    <x:row r="901">
      <x:c r="A901" s="31" t="str">
        <x:v>glycerin</x:v>
      </x:c>
      <x:c r="B901" s="31" t="str">
        <x:v>category_requires_review</x:v>
      </x:c>
      <x:c r="C901" s="37" t="str">
        <x:v>Therapeutic category is not explicitly provided by the source index.</x:v>
      </x:c>
      <x:c r="D901" s="37" t="str">
        <x:v>https://drug.fda.moph.go.th/media.php?id=733947237566128128&amp;name=PIL ยาระบาย Glycerin ชนิดเหน็บทวาร (15032024).pdf</x:v>
      </x:c>
      <x:c r="E901" s="39" t="str">
        <x:v>Open</x:v>
      </x:c>
    </x:row>
    <x:row r="902">
      <x:c r="A902" s="31" t="str">
        <x:v>glycerol</x:v>
      </x:c>
      <x:c r="B902" s="31" t="str">
        <x:v>missing_name_th</x:v>
      </x:c>
      <x:c r="C902" s="37" t="str">
        <x:v>Thai drug name was not reliably extractable from the reference documents.</x:v>
      </x:c>
      <x:c r="D902" s="37" t="str">
        <x:v>https://drug.fda.moph.go.th/media.php?id=810180307797024768&amp;name=SMPC_Glycerol_suppositories.pdf</x:v>
      </x:c>
      <x:c r="E902" s="39" t="str">
        <x:v>Open</x:v>
      </x:c>
    </x:row>
    <x:row r="903">
      <x:c r="A903" s="31" t="str">
        <x:v>glycerol</x:v>
      </x:c>
      <x:c r="B903" s="31" t="str">
        <x:v>category_requires_review</x:v>
      </x:c>
      <x:c r="C903" s="37" t="str">
        <x:v>Therapeutic category is not explicitly provided by the source index.</x:v>
      </x:c>
      <x:c r="D903" s="37" t="str">
        <x:v>https://drug.fda.moph.go.th/media.php?id=810180307797024768&amp;name=SMPC_Glycerol_suppositories.pdf</x:v>
      </x:c>
      <x:c r="E903" s="39" t="str">
        <x:v>Open</x:v>
      </x:c>
    </x:row>
    <x:row r="904">
      <x:c r="A904" s="31" t="str">
        <x:v>griseofulvin</x:v>
      </x:c>
      <x:c r="B904" s="31" t="str">
        <x:v>category_requires_review</x:v>
      </x:c>
      <x:c r="C904" s="37" t="str">
        <x:v>Therapeutic category is not explicitly provided by the source index.</x:v>
      </x:c>
      <x:c r="D904" s="37" t="str">
        <x:v>https://drug.fda.moph.go.th/media.php?id=730360993967906816&amp;name=pil_Griseofulvin (TABLETS).pdf</x:v>
      </x:c>
      <x:c r="E904" s="39" t="str">
        <x:v>Open</x:v>
      </x:c>
    </x:row>
    <x:row r="905">
      <x:c r="A905" s="31" t="str">
        <x:v>guaifenesin</x:v>
      </x:c>
      <x:c r="B905" s="31" t="str">
        <x:v>category_requires_review</x:v>
      </x:c>
      <x:c r="C905" s="37" t="str">
        <x:v>Therapeutic category is not explicitly provided by the source index.</x:v>
      </x:c>
      <x:c r="D905" s="37" t="str">
        <x:v>https://drug.fda.moph.go.th/media.php?id=810181310525087744&amp;name=SMPC_Guaifenesin_Syrup.pdf</x:v>
      </x:c>
      <x:c r="E905" s="39" t="str">
        <x:v>Open</x:v>
      </x:c>
    </x:row>
    <x:row r="906">
      <x:c r="A906" s="31" t="str">
        <x:v>haloperidol</x:v>
      </x:c>
      <x:c r="B906" s="31" t="str">
        <x:v>category_requires_review</x:v>
      </x:c>
      <x:c r="C906" s="37" t="str">
        <x:v>Therapeutic category is not explicitly provided by the source index.</x:v>
      </x:c>
      <x:c r="D906" s="37" t="str">
        <x:v>https://drug.fda.moph.go.th/media.php?id=808561551207440384&amp;name=Haloperidol_TABLET_PIL.pdf</x:v>
      </x:c>
      <x:c r="E906" s="39" t="str">
        <x:v>Open</x:v>
      </x:c>
    </x:row>
    <x:row r="907">
      <x:c r="A907" s="31" t="str">
        <x:v>hydrochlorothiazide_amiloride</x:v>
      </x:c>
      <x:c r="B907" s="31" t="str">
        <x:v>category_requires_review</x:v>
      </x:c>
      <x:c r="C907" s="37" t="str">
        <x:v>Therapeutic category is not explicitly provided by the source index.</x:v>
      </x:c>
      <x:c r="D907" s="37" t="str">
        <x:v>https://drug.fda.moph.go.th/media.php?id=730361608181784576&amp;name=pil_Hydrochlorothiazide + Amiloride (TABLET).pdf</x:v>
      </x:c>
      <x:c r="E907" s="39" t="str">
        <x:v>Open</x:v>
      </x:c>
    </x:row>
    <x:row r="908">
      <x:c r="A908" s="31" t="str">
        <x:v>hydrocortisone</x:v>
      </x:c>
      <x:c r="B908" s="31" t="str">
        <x:v>category_requires_review</x:v>
      </x:c>
      <x:c r="C908" s="37" t="str">
        <x:v>Therapeutic category is not explicitly provided by the source index.</x:v>
      </x:c>
      <x:c r="D908" s="37" t="str">
        <x:v>https://drug.fda.moph.go.th/media.php?id=730361797047099392&amp;name=pil_Hydrocortisone acetate(CREAM).pdf</x:v>
      </x:c>
      <x:c r="E908" s="39" t="str">
        <x:v>Open</x:v>
      </x:c>
    </x:row>
    <x:row r="909">
      <x:c r="A909" s="31" t="str">
        <x:v>hydrocortisone_benzocaine_zinc_oxide</x:v>
      </x:c>
      <x:c r="B909" s="31" t="str">
        <x:v>missing_name_th</x:v>
      </x:c>
      <x:c r="C909" s="37" t="str">
        <x:v>Thai drug name was not reliably extractable from the reference documents.</x:v>
      </x:c>
      <x:c r="D909" s="37" t="str">
        <x:v>https://drug.fda.moph.go.th/media.php?id=730361976139685888&amp;name=pil_Hydrocortisone acetate + Benzocaine + Zinc oxide(OINTMENT).pdf</x:v>
      </x:c>
      <x:c r="E909" s="39" t="str">
        <x:v>Open</x:v>
      </x:c>
    </x:row>
    <x:row r="910">
      <x:c r="A910" s="31" t="str">
        <x:v>hydrocortisone_benzocaine_zinc_oxide</x:v>
      </x:c>
      <x:c r="B910" s="31" t="str">
        <x:v>category_requires_review</x:v>
      </x:c>
      <x:c r="C910" s="37" t="str">
        <x:v>Therapeutic category is not explicitly provided by the source index.</x:v>
      </x:c>
      <x:c r="D910" s="37" t="str">
        <x:v>https://drug.fda.moph.go.th/media.php?id=730361976139685888&amp;name=pil_Hydrocortisone acetate + Benzocaine + Zinc oxide(OINTMENT).pdf</x:v>
      </x:c>
      <x:c r="E910" s="39" t="str">
        <x:v>Open</x:v>
      </x:c>
    </x:row>
    <x:row r="911">
      <x:c r="A911" s="31" t="str">
        <x:v>hydrogen_peroxide</x:v>
      </x:c>
      <x:c r="B911" s="31" t="str">
        <x:v>missing_name_th</x:v>
      </x:c>
      <x:c r="C911" s="37" t="str">
        <x:v>Thai drug name was not reliably extractable from the reference documents.</x:v>
      </x:c>
      <x:c r="D911" s="37" t="str">
        <x:v>https://drug.fda.moph.go.th/media.php?id=810381306692247552&amp;name=SMPC_Hydrogen peroxide_Solution.pdf</x:v>
      </x:c>
      <x:c r="E911" s="39" t="str">
        <x:v>Open</x:v>
      </x:c>
    </x:row>
    <x:row r="912">
      <x:c r="A912" s="31" t="str">
        <x:v>hydrogen_peroxide</x:v>
      </x:c>
      <x:c r="B912" s="31" t="str">
        <x:v>category_requires_review</x:v>
      </x:c>
      <x:c r="C912" s="37" t="str">
        <x:v>Therapeutic category is not explicitly provided by the source index.</x:v>
      </x:c>
      <x:c r="D912" s="37" t="str">
        <x:v>https://drug.fda.moph.go.th/media.php?id=810381306692247552&amp;name=SMPC_Hydrogen peroxide_Solution.pdf</x:v>
      </x:c>
      <x:c r="E912" s="39" t="str">
        <x:v>Open</x:v>
      </x:c>
    </x:row>
    <x:row r="913">
      <x:c r="A913" s="31" t="str">
        <x:v>hydroquinone</x:v>
      </x:c>
      <x:c r="B913" s="31" t="str">
        <x:v>missing_name_th</x:v>
      </x:c>
      <x:c r="C913" s="37" t="str">
        <x:v>Thai drug name was not reliably extractable from the reference documents.</x:v>
      </x:c>
      <x:c r="D913" s="37" t="str">
        <x:v>https://drug.fda.moph.go.th/media.php?id=810381749510086656&amp;name=SMPC_Hydroquinone_Cream.pdf</x:v>
      </x:c>
      <x:c r="E913" s="39" t="str">
        <x:v>Open</x:v>
      </x:c>
    </x:row>
    <x:row r="914">
      <x:c r="A914" s="31" t="str">
        <x:v>hydroquinone</x:v>
      </x:c>
      <x:c r="B914" s="31" t="str">
        <x:v>category_requires_review</x:v>
      </x:c>
      <x:c r="C914" s="37" t="str">
        <x:v>Therapeutic category is not explicitly provided by the source index.</x:v>
      </x:c>
      <x:c r="D914" s="37" t="str">
        <x:v>https://drug.fda.moph.go.th/media.php?id=810381749510086656&amp;name=SMPC_Hydroquinone_Cream.pdf</x:v>
      </x:c>
      <x:c r="E914" s="39" t="str">
        <x:v>Open</x:v>
      </x:c>
    </x:row>
    <x:row r="915">
      <x:c r="A915" s="31" t="str">
        <x:v>hydroxyzine</x:v>
      </x:c>
      <x:c r="B915" s="31" t="str">
        <x:v>category_requires_review</x:v>
      </x:c>
      <x:c r="C915" s="37" t="str">
        <x:v>Therapeutic category is not explicitly provided by the source index.</x:v>
      </x:c>
      <x:c r="D915" s="37" t="str">
        <x:v>https://drug.fda.moph.go.th/media.php?id=808579446234816512&amp;name=Hydroxyzine_compressedTabletFilmCoatedTablet_PIL.pdf</x:v>
      </x:c>
      <x:c r="E915" s="39" t="str">
        <x:v>Open</x:v>
      </x:c>
    </x:row>
    <x:row r="916">
      <x:c r="A916" s="31" t="str">
        <x:v>hyoscine_n_butylbromide</x:v>
      </x:c>
      <x:c r="B916" s="31" t="str">
        <x:v>category_requires_review</x:v>
      </x:c>
      <x:c r="C916" s="37" t="str">
        <x:v>Therapeutic category is not explicitly provided by the source index.</x:v>
      </x:c>
      <x:c r="D916" s="37" t="str">
        <x:v>https://drug.fda.moph.go.th/media.php?id=730362820071399424&amp;name=pil_Hyoscine-n-butylbromide (SYRUP 5 mg, 5 ml).pdf</x:v>
      </x:c>
      <x:c r="E916" s="39" t="str">
        <x:v>Open</x:v>
      </x:c>
    </x:row>
    <x:row r="917">
      <x:c r="A917" s="31" t="str">
        <x:v>ibuprofen</x:v>
      </x:c>
      <x:c r="B917" s="31" t="str">
        <x:v>category_requires_review</x:v>
      </x:c>
      <x:c r="C917" s="37" t="str">
        <x:v>Therapeutic category is not explicitly provided by the source index.</x:v>
      </x:c>
      <x:c r="D917" s="37" t="str">
        <x:v>https://drug.fda.moph.go.th/media.php?id=808580724096638976&amp;name=Ibuprofen_filmcotedtabletCapsulehard_PIL.pdf</x:v>
      </x:c>
      <x:c r="E917" s="39" t="str">
        <x:v>Open</x:v>
      </x:c>
    </x:row>
    <x:row r="918">
      <x:c r="A918" s="31" t="str">
        <x:v>indapamide</x:v>
      </x:c>
      <x:c r="B918" s="31" t="str">
        <x:v>missing_name_th</x:v>
      </x:c>
      <x:c r="C918" s="37" t="str">
        <x:v>Thai drug name was not reliably extractable from the reference documents.</x:v>
      </x:c>
      <x:c r="D918" s="37" t="str">
        <x:v>https://drug.fda.moph.go.th/media.php?id=810384338393899008&amp;name=SMPC_Indapamide_Tablets.pdf</x:v>
      </x:c>
      <x:c r="E918" s="39" t="str">
        <x:v>Open</x:v>
      </x:c>
    </x:row>
    <x:row r="919">
      <x:c r="A919" s="31" t="str">
        <x:v>indapamide</x:v>
      </x:c>
      <x:c r="B919" s="31" t="str">
        <x:v>category_requires_review</x:v>
      </x:c>
      <x:c r="C919" s="37" t="str">
        <x:v>Therapeutic category is not explicitly provided by the source index.</x:v>
      </x:c>
      <x:c r="D919" s="37" t="str">
        <x:v>https://drug.fda.moph.go.th/media.php?id=810384338393899008&amp;name=SMPC_Indapamide_Tablets.pdf</x:v>
      </x:c>
      <x:c r="E919" s="39" t="str">
        <x:v>Open</x:v>
      </x:c>
    </x:row>
    <x:row r="920">
      <x:c r="A920" s="31" t="str">
        <x:v>indomethacin</x:v>
      </x:c>
      <x:c r="B920" s="31" t="str">
        <x:v>category_requires_review</x:v>
      </x:c>
      <x:c r="C920" s="37" t="str">
        <x:v>Therapeutic category is not explicitly provided by the source index.</x:v>
      </x:c>
      <x:c r="D920" s="37" t="str">
        <x:v>https://drug.fda.moph.go.th/media.php?id=808581297256669184&amp;name=Indomethacin_capsuleCompressedTabletFilmCoatedTabletSugarCoatedTablet_PIL.pdf</x:v>
      </x:c>
      <x:c r="E920" s="39" t="str">
        <x:v>Open</x:v>
      </x:c>
    </x:row>
    <x:row r="921">
      <x:c r="A921" s="31" t="str">
        <x:v>insulin</x:v>
      </x:c>
      <x:c r="B921" s="31" t="str">
        <x:v>missing_name_th</x:v>
      </x:c>
      <x:c r="C921" s="37" t="str">
        <x:v>Thai drug name was not reliably extractable from the reference documents.</x:v>
      </x:c>
      <x:c r="D921" s="37" t="str">
        <x:v>https://drug.fda.moph.go.th/media.php?id=810385239439450112&amp;name=SMPC_Insulin_suspension for injection in vial.pdf</x:v>
      </x:c>
      <x:c r="E921" s="39" t="str">
        <x:v>Open</x:v>
      </x:c>
    </x:row>
    <x:row r="922">
      <x:c r="A922" s="31" t="str">
        <x:v>insulin</x:v>
      </x:c>
      <x:c r="B922" s="31" t="str">
        <x:v>category_requires_review</x:v>
      </x:c>
      <x:c r="C922" s="37" t="str">
        <x:v>Therapeutic category is not explicitly provided by the source index.</x:v>
      </x:c>
      <x:c r="D922" s="37" t="str">
        <x:v>https://drug.fda.moph.go.th/media.php?id=810385239439450112&amp;name=SMPC_Insulin_suspension for injection in vial.pdf</x:v>
      </x:c>
      <x:c r="E922" s="39" t="str">
        <x:v>Open</x:v>
      </x:c>
    </x:row>
    <x:row r="923">
      <x:c r="A923" s="31" t="str">
        <x:v>intermittent_peritoneal_dialysis</x:v>
      </x:c>
      <x:c r="B923" s="31" t="str">
        <x:v>missing_name_th</x:v>
      </x:c>
      <x:c r="C923" s="37" t="str">
        <x:v>Thai drug name was not reliably extractable from the reference documents.</x:v>
      </x:c>
      <x:c r="D923" s="37" t="str">
        <x:v>https://drug.fda.moph.go.th/media.php?id=810385732450525184&amp;name=SMPC_Intermittent peritoneal dialysis_solution for peritoneal dialysis.pdf</x:v>
      </x:c>
      <x:c r="E923" s="39" t="str">
        <x:v>Open</x:v>
      </x:c>
    </x:row>
    <x:row r="924">
      <x:c r="A924" s="31" t="str">
        <x:v>intermittent_peritoneal_dialysis</x:v>
      </x:c>
      <x:c r="B924" s="31" t="str">
        <x:v>category_requires_review</x:v>
      </x:c>
      <x:c r="C924" s="37" t="str">
        <x:v>Therapeutic category is not explicitly provided by the source index.</x:v>
      </x:c>
      <x:c r="D924" s="37" t="str">
        <x:v>https://drug.fda.moph.go.th/media.php?id=810385732450525184&amp;name=SMPC_Intermittent peritoneal dialysis_solution for peritoneal dialysis.pdf</x:v>
      </x:c>
      <x:c r="E924" s="39" t="str">
        <x:v>Open</x:v>
      </x:c>
    </x:row>
    <x:row r="925">
      <x:c r="A925" s="31" t="str">
        <x:v>iobitridol</x:v>
      </x:c>
      <x:c r="B925" s="31" t="str">
        <x:v>missing_name_th</x:v>
      </x:c>
      <x:c r="C925" s="37" t="str">
        <x:v>Thai drug name was not reliably extractable from the reference documents.</x:v>
      </x:c>
      <x:c r="D925" s="37" t="str">
        <x:v>https://drug.fda.moph.go.th/media.php?id=810386169421504512&amp;name=SMPC_Iobitridol_Solution for Injection.pdf</x:v>
      </x:c>
      <x:c r="E925" s="39" t="str">
        <x:v>Open</x:v>
      </x:c>
    </x:row>
    <x:row r="926">
      <x:c r="A926" s="31" t="str">
        <x:v>iobitridol</x:v>
      </x:c>
      <x:c r="B926" s="31" t="str">
        <x:v>category_requires_review</x:v>
      </x:c>
      <x:c r="C926" s="37" t="str">
        <x:v>Therapeutic category is not explicitly provided by the source index.</x:v>
      </x:c>
      <x:c r="D926" s="37" t="str">
        <x:v>https://drug.fda.moph.go.th/media.php?id=810386169421504512&amp;name=SMPC_Iobitridol_Solution for Injection.pdf</x:v>
      </x:c>
      <x:c r="E926" s="39" t="str">
        <x:v>Open</x:v>
      </x:c>
    </x:row>
    <x:row r="927">
      <x:c r="A927" s="31" t="str">
        <x:v>isoniazid</x:v>
      </x:c>
      <x:c r="B927" s="31" t="str">
        <x:v>category_requires_review</x:v>
      </x:c>
      <x:c r="C927" s="37" t="str">
        <x:v>Therapeutic category is not explicitly provided by the source index.</x:v>
      </x:c>
      <x:c r="D927" s="37" t="str">
        <x:v>https://drug.fda.moph.go.th/media.php?id=810387533576937472&amp;name=SMPC_Isoniazid_Solutions for injections or infusions.pdf</x:v>
      </x:c>
      <x:c r="E927" s="39" t="str">
        <x:v>Open</x:v>
      </x:c>
    </x:row>
    <x:row r="928">
      <x:c r="A928" s="31" t="str">
        <x:v>isopropyl_alcohol</x:v>
      </x:c>
      <x:c r="B928" s="31" t="str">
        <x:v>category_requires_review</x:v>
      </x:c>
      <x:c r="C928" s="37" t="str">
        <x:v>Therapeutic category is not explicitly provided by the source index.</x:v>
      </x:c>
      <x:c r="D928" s="37" t="str">
        <x:v>https://drug.fda.moph.go.th/media.php?id=733946047012937728&amp;name=PIL Isopropyl alcohol  (15032024).pdf</x:v>
      </x:c>
      <x:c r="E928" s="39" t="str">
        <x:v>Open</x:v>
      </x:c>
    </x:row>
    <x:row r="929">
      <x:c r="A929" s="31" t="str">
        <x:v>isosorbide_dinitrate</x:v>
      </x:c>
      <x:c r="B929" s="31" t="str">
        <x:v>category_requires_review</x:v>
      </x:c>
      <x:c r="C929" s="37" t="str">
        <x:v>Therapeutic category is not explicitly provided by the source index.</x:v>
      </x:c>
      <x:c r="D929" s="37" t="str">
        <x:v>https://drug.fda.moph.go.th/media.php?id=730434793078136832&amp;name=pil_Isosorbide dinitrate (TABLET 10 mg, 20 mg).pdf</x:v>
      </x:c>
      <x:c r="E929" s="39" t="str">
        <x:v>Open</x:v>
      </x:c>
    </x:row>
    <x:row r="930">
      <x:c r="A930" s="31" t="str">
        <x:v>isosorbide_mononitrate</x:v>
      </x:c>
      <x:c r="B930" s="31" t="str">
        <x:v>category_requires_review</x:v>
      </x:c>
      <x:c r="C930" s="37" t="str">
        <x:v>Therapeutic category is not explicitly provided by the source index.</x:v>
      </x:c>
      <x:c r="D930" s="37" t="str">
        <x:v>https://drug.fda.moph.go.th/media.php?id=730434938595319808&amp;name=pil_Isosorbide mononitrate (TAVLET 10 mg, 20 mg).pdf</x:v>
      </x:c>
      <x:c r="E930" s="39" t="str">
        <x:v>Open</x:v>
      </x:c>
    </x:row>
    <x:row r="931">
      <x:c r="A931" s="31" t="str">
        <x:v>ispaghula_husk</x:v>
      </x:c>
      <x:c r="B931" s="31" t="str">
        <x:v>category_requires_review</x:v>
      </x:c>
      <x:c r="C931" s="37" t="str">
        <x:v>Therapeutic category is not explicitly provided by the source index.</x:v>
      </x:c>
      <x:c r="D931" s="37" t="str">
        <x:v>https://drug.fda.moph.go.th/media.php?id=730435056207798272&amp;name=pil_Ispaghula husk (GRANULES 2.45 g, 3.5 g).pdf</x:v>
      </x:c>
      <x:c r="E931" s="39" t="str">
        <x:v>Open</x:v>
      </x:c>
    </x:row>
    <x:row r="932">
      <x:c r="A932" s="31" t="str">
        <x:v>itraconazole</x:v>
      </x:c>
      <x:c r="B932" s="31" t="str">
        <x:v>missing_name_th</x:v>
      </x:c>
      <x:c r="C932" s="37" t="str">
        <x:v>Thai drug name was not reliably extractable from the reference documents.</x:v>
      </x:c>
      <x:c r="D932" s="37" t="str">
        <x:v>https://drug.fda.moph.go.th/media.php?id=810398699489468416&amp;name=SMPC_Itraconazole_Hard capsules.pdf</x:v>
      </x:c>
      <x:c r="E932" s="39" t="str">
        <x:v>Open</x:v>
      </x:c>
    </x:row>
    <x:row r="933">
      <x:c r="A933" s="31" t="str">
        <x:v>itraconazole</x:v>
      </x:c>
      <x:c r="B933" s="31" t="str">
        <x:v>category_requires_review</x:v>
      </x:c>
      <x:c r="C933" s="37" t="str">
        <x:v>Therapeutic category is not explicitly provided by the source index.</x:v>
      </x:c>
      <x:c r="D933" s="37" t="str">
        <x:v>https://drug.fda.moph.go.th/media.php?id=810398699489468416&amp;name=SMPC_Itraconazole_Hard capsules.pdf</x:v>
      </x:c>
      <x:c r="E933" s="39" t="str">
        <x:v>Open</x:v>
      </x:c>
    </x:row>
    <x:row r="934">
      <x:c r="A934" s="31" t="str">
        <x:v>ketoconazole</x:v>
      </x:c>
      <x:c r="B934" s="31" t="str">
        <x:v>category_requires_review</x:v>
      </x:c>
      <x:c r="C934" s="37" t="str">
        <x:v>Therapeutic category is not explicitly provided by the source index.</x:v>
      </x:c>
      <x:c r="D934" s="37" t="str">
        <x:v>https://drug.fda.moph.go.th/media.php?id=808584936914296832&amp;name=Ketoconazole_shampoo_PIL.pdf</x:v>
      </x:c>
      <x:c r="E934" s="39" t="str">
        <x:v>Open</x:v>
      </x:c>
    </x:row>
    <x:row r="935">
      <x:c r="A935" s="31" t="str">
        <x:v>ketotifen</x:v>
      </x:c>
      <x:c r="B935" s="31" t="str">
        <x:v>category_requires_review</x:v>
      </x:c>
      <x:c r="C935" s="37" t="str">
        <x:v>Therapeutic category is not explicitly provided by the source index.</x:v>
      </x:c>
      <x:c r="D935" s="37" t="str">
        <x:v>https://drug.fda.moph.go.th/media.php?id=808589764562395136&amp;name=Ketotifen_compressedTablet_PIL.pdf</x:v>
      </x:c>
      <x:c r="E935" s="39" t="str">
        <x:v>Open</x:v>
      </x:c>
    </x:row>
    <x:row r="936">
      <x:c r="A936" s="31" t="str">
        <x:v>lansoprazole</x:v>
      </x:c>
      <x:c r="B936" s="31" t="str">
        <x:v>category_requires_review</x:v>
      </x:c>
      <x:c r="C936" s="37" t="str">
        <x:v>Therapeutic category is not explicitly provided by the source index.</x:v>
      </x:c>
      <x:c r="D936" s="37" t="str">
        <x:v>https://drug.fda.moph.go.th/media.php?id=808590240561373184&amp;name=Lansoprazole_orodisperse tablet_PIL.pdf</x:v>
      </x:c>
      <x:c r="E936" s="39" t="str">
        <x:v>Open</x:v>
      </x:c>
    </x:row>
    <x:row r="937">
      <x:c r="A937" s="31" t="str">
        <x:v>lavender_oil</x:v>
      </x:c>
      <x:c r="B937" s="31" t="str">
        <x:v>missing_name_th</x:v>
      </x:c>
      <x:c r="C937" s="37" t="str">
        <x:v>Thai drug name was not reliably extractable from the reference documents.</x:v>
      </x:c>
      <x:c r="D937" s="37" t="str">
        <x:v>https://drug.fda.moph.go.th/media.php?id=810400412350947328&amp;name=SMPC_Lavender oil_Capsules.pdf</x:v>
      </x:c>
      <x:c r="E937" s="39" t="str">
        <x:v>Open</x:v>
      </x:c>
    </x:row>
    <x:row r="938">
      <x:c r="A938" s="31" t="str">
        <x:v>lavender_oil</x:v>
      </x:c>
      <x:c r="B938" s="31" t="str">
        <x:v>category_requires_review</x:v>
      </x:c>
      <x:c r="C938" s="37" t="str">
        <x:v>Therapeutic category is not explicitly provided by the source index.</x:v>
      </x:c>
      <x:c r="D938" s="37" t="str">
        <x:v>https://drug.fda.moph.go.th/media.php?id=810400412350947328&amp;name=SMPC_Lavender oil_Capsules.pdf</x:v>
      </x:c>
      <x:c r="E938" s="39" t="str">
        <x:v>Open</x:v>
      </x:c>
    </x:row>
    <x:row r="939">
      <x:c r="A939" s="31" t="str">
        <x:v>lenograstim</x:v>
      </x:c>
      <x:c r="B939" s="31" t="str">
        <x:v>missing_name_th</x:v>
      </x:c>
      <x:c r="C939" s="37" t="str">
        <x:v>Thai drug name was not reliably extractable from the reference documents.</x:v>
      </x:c>
      <x:c r="D939" s="37" t="str">
        <x:v>https://drug.fda.moph.go.th/media.php?id=810403090216919040&amp;name=SMPC_Lenograstim_powder and solvent for solution for injection-infusion.pdf</x:v>
      </x:c>
      <x:c r="E939" s="39" t="str">
        <x:v>Open</x:v>
      </x:c>
    </x:row>
    <x:row r="940">
      <x:c r="A940" s="31" t="str">
        <x:v>lenograstim</x:v>
      </x:c>
      <x:c r="B940" s="31" t="str">
        <x:v>category_requires_review</x:v>
      </x:c>
      <x:c r="C940" s="37" t="str">
        <x:v>Therapeutic category is not explicitly provided by the source index.</x:v>
      </x:c>
      <x:c r="D940" s="37" t="str">
        <x:v>https://drug.fda.moph.go.th/media.php?id=810403090216919040&amp;name=SMPC_Lenograstim_powder and solvent for solution for injection-infusion.pdf</x:v>
      </x:c>
      <x:c r="E940" s="39" t="str">
        <x:v>Open</x:v>
      </x:c>
    </x:row>
    <x:row r="941">
      <x:c r="A941" s="31" t="str">
        <x:v>levodopa_benserazide</x:v>
      </x:c>
      <x:c r="B941" s="31" t="str">
        <x:v>missing_name_th</x:v>
      </x:c>
      <x:c r="C941" s="37" t="str">
        <x:v>Thai drug name was not reliably extractable from the reference documents.</x:v>
      </x:c>
      <x:c r="D941" s="37" t="str">
        <x:v>https://drug.fda.moph.go.th/media.php?id=808595702568591360&amp;name=Levodopa-Benseraside_orodispersible_PIL.pdf</x:v>
      </x:c>
      <x:c r="E941" s="39" t="str">
        <x:v>Open</x:v>
      </x:c>
    </x:row>
    <x:row r="942">
      <x:c r="A942" s="31" t="str">
        <x:v>levodopa_benserazide</x:v>
      </x:c>
      <x:c r="B942" s="31" t="str">
        <x:v>category_requires_review</x:v>
      </x:c>
      <x:c r="C942" s="37" t="str">
        <x:v>Therapeutic category is not explicitly provided by the source index.</x:v>
      </x:c>
      <x:c r="D942" s="37" t="str">
        <x:v>https://drug.fda.moph.go.th/media.php?id=808595702568591360&amp;name=Levodopa-Benseraside_orodispersible_PIL.pdf</x:v>
      </x:c>
      <x:c r="E942" s="39" t="str">
        <x:v>Open</x:v>
      </x:c>
    </x:row>
    <x:row r="943">
      <x:c r="A943" s="31" t="str">
        <x:v>levothyroxine</x:v>
      </x:c>
      <x:c r="B943" s="31" t="str">
        <x:v>category_requires_review</x:v>
      </x:c>
      <x:c r="C943" s="37" t="str">
        <x:v>Therapeutic category is not explicitly provided by the source index.</x:v>
      </x:c>
      <x:c r="D943" s="37" t="str">
        <x:v>https://drug.fda.moph.go.th/media.php?id=730438170746953728&amp;name=pil_Levothyroxine sodium (TABLET 50 mcg, 100 mcg).pdf</x:v>
      </x:c>
      <x:c r="E943" s="39" t="str">
        <x:v>Open</x:v>
      </x:c>
    </x:row>
    <x:row r="944">
      <x:c r="A944" s="31" t="str">
        <x:v>lidocaine</x:v>
      </x:c>
      <x:c r="B944" s="31" t="str">
        <x:v>missing_name_th</x:v>
      </x:c>
      <x:c r="C944" s="37" t="str">
        <x:v>Thai drug name was not reliably extractable from the reference documents.</x:v>
      </x:c>
      <x:c r="D944" s="37" t="str">
        <x:v>https://drug.fda.moph.go.th/media.php?id=810403816229969920&amp;name=SMPC_Lidocaine Hydrochloride_solutions for injections or infusions.pdf</x:v>
      </x:c>
      <x:c r="E944" s="39" t="str">
        <x:v>Open</x:v>
      </x:c>
    </x:row>
    <x:row r="945">
      <x:c r="A945" s="31" t="str">
        <x:v>lidocaine</x:v>
      </x:c>
      <x:c r="B945" s="31" t="str">
        <x:v>category_requires_review</x:v>
      </x:c>
      <x:c r="C945" s="37" t="str">
        <x:v>Therapeutic category is not explicitly provided by the source index.</x:v>
      </x:c>
      <x:c r="D945" s="37" t="str">
        <x:v>https://drug.fda.moph.go.th/media.php?id=810403816229969920&amp;name=SMPC_Lidocaine Hydrochloride_solutions for injections or infusions.pdf</x:v>
      </x:c>
      <x:c r="E945" s="39" t="str">
        <x:v>Open</x:v>
      </x:c>
    </x:row>
    <x:row r="946">
      <x:c r="A946" s="31" t="str">
        <x:v>liquid_paraffin</x:v>
      </x:c>
      <x:c r="B946" s="31" t="str">
        <x:v>missing_name_th</x:v>
      </x:c>
      <x:c r="C946" s="37" t="str">
        <x:v>Thai drug name was not reliably extractable from the reference documents.</x:v>
      </x:c>
      <x:c r="D946" s="37" t="str">
        <x:v>https://drug.fda.moph.go.th/media.php?id=810404231990353920&amp;name=SMPC_Liquid paraffin_Emulsion.pdf</x:v>
      </x:c>
      <x:c r="E946" s="39" t="str">
        <x:v>Open</x:v>
      </x:c>
    </x:row>
    <x:row r="947">
      <x:c r="A947" s="31" t="str">
        <x:v>liquid_paraffin</x:v>
      </x:c>
      <x:c r="B947" s="31" t="str">
        <x:v>category_requires_review</x:v>
      </x:c>
      <x:c r="C947" s="37" t="str">
        <x:v>Therapeutic category is not explicitly provided by the source index.</x:v>
      </x:c>
      <x:c r="D947" s="37" t="str">
        <x:v>https://drug.fda.moph.go.th/media.php?id=810404231990353920&amp;name=SMPC_Liquid paraffin_Emulsion.pdf</x:v>
      </x:c>
      <x:c r="E947" s="39" t="str">
        <x:v>Open</x:v>
      </x:c>
    </x:row>
    <x:row r="948">
      <x:c r="A948" s="31" t="str">
        <x:v>lisinopril</x:v>
      </x:c>
      <x:c r="B948" s="31" t="str">
        <x:v>category_requires_review</x:v>
      </x:c>
      <x:c r="C948" s="37" t="str">
        <x:v>Therapeutic category is not explicitly provided by the source index.</x:v>
      </x:c>
      <x:c r="D948" s="37" t="str">
        <x:v>https://drug.fda.moph.go.th/media.php?id=730438387122708480&amp;name=pil_Lisinopril (TABLET 5 mg, 10 mg, 20 mg).pdf</x:v>
      </x:c>
      <x:c r="E948" s="39" t="str">
        <x:v>Open</x:v>
      </x:c>
    </x:row>
    <x:row r="949">
      <x:c r="A949" s="31" t="str">
        <x:v>loperamide</x:v>
      </x:c>
      <x:c r="B949" s="31" t="str">
        <x:v>category_requires_review</x:v>
      </x:c>
      <x:c r="C949" s="37" t="str">
        <x:v>Therapeutic category is not explicitly provided by the source index.</x:v>
      </x:c>
      <x:c r="D949" s="37" t="str">
        <x:v>https://drug.fda.moph.go.th/media.php?id=730438529573855232&amp;name=pil_Loperamide (TABLET 2 mg).pdf</x:v>
      </x:c>
      <x:c r="E949" s="39" t="str">
        <x:v>Open</x:v>
      </x:c>
    </x:row>
    <x:row r="950">
      <x:c r="A950" s="31" t="str">
        <x:v>magnesium_hydroxide</x:v>
      </x:c>
      <x:c r="B950" s="31" t="str">
        <x:v>category_requires_review</x:v>
      </x:c>
      <x:c r="C950" s="37" t="str">
        <x:v>Therapeutic category is not explicitly provided by the source index.</x:v>
      </x:c>
      <x:c r="D950" s="37" t="str">
        <x:v>https://drug.fda.moph.go.th/media.php?id=733945016032043008&amp;name=PIL_Magnesium hydroxide ยาระบายแมกนีเซี (15032024).pdf</x:v>
      </x:c>
      <x:c r="E950" s="39" t="str">
        <x:v>Open</x:v>
      </x:c>
    </x:row>
    <x:row r="951">
      <x:c r="A951" s="31" t="str">
        <x:v>magnesium</x:v>
      </x:c>
      <x:c r="B951" s="31" t="str">
        <x:v>missing_name_th</x:v>
      </x:c>
      <x:c r="C951" s="37" t="str">
        <x:v>Thai drug name was not reliably extractable from the reference documents.</x:v>
      </x:c>
      <x:c r="D951" s="37" t="str">
        <x:v>https://drug.fda.moph.go.th/media.php?id=810407556395704320&amp;name=SMPC_Magnesium sulfate_Solution for Injection or Infusion.pdf</x:v>
      </x:c>
      <x:c r="E951" s="39" t="str">
        <x:v>Open</x:v>
      </x:c>
    </x:row>
    <x:row r="952">
      <x:c r="A952" s="31" t="str">
        <x:v>magnesium</x:v>
      </x:c>
      <x:c r="B952" s="31" t="str">
        <x:v>category_requires_review</x:v>
      </x:c>
      <x:c r="C952" s="37" t="str">
        <x:v>Therapeutic category is not explicitly provided by the source index.</x:v>
      </x:c>
      <x:c r="D952" s="37" t="str">
        <x:v>https://drug.fda.moph.go.th/media.php?id=810407556395704320&amp;name=SMPC_Magnesium sulfate_Solution for Injection or Infusion.pdf</x:v>
      </x:c>
      <x:c r="E952" s="39" t="str">
        <x:v>Open</x:v>
      </x:c>
    </x:row>
    <x:row r="953">
      <x:c r="A953" s="31" t="str">
        <x:v>magnesium_trisilicate</x:v>
      </x:c>
      <x:c r="B953" s="31" t="str">
        <x:v>missing_name_th</x:v>
      </x:c>
      <x:c r="C953" s="37" t="str">
        <x:v>Thai drug name was not reliably extractable from the reference documents.</x:v>
      </x:c>
      <x:c r="D953" s="37" t="str">
        <x:v>https://drug.fda.moph.go.th/media.php?id=810407998043332608&amp;name=SMPC_Magnesium trisilicate_Tablets.pdf</x:v>
      </x:c>
      <x:c r="E953" s="39" t="str">
        <x:v>Open</x:v>
      </x:c>
    </x:row>
    <x:row r="954">
      <x:c r="A954" s="31" t="str">
        <x:v>magnesium_trisilicate</x:v>
      </x:c>
      <x:c r="B954" s="31" t="str">
        <x:v>category_requires_review</x:v>
      </x:c>
      <x:c r="C954" s="37" t="str">
        <x:v>Therapeutic category is not explicitly provided by the source index.</x:v>
      </x:c>
      <x:c r="D954" s="37" t="str">
        <x:v>https://drug.fda.moph.go.th/media.php?id=810407998043332608&amp;name=SMPC_Magnesium trisilicate_Tablets.pdf</x:v>
      </x:c>
      <x:c r="E954" s="39" t="str">
        <x:v>Open</x:v>
      </x:c>
    </x:row>
    <x:row r="955">
      <x:c r="A955" s="31" t="str">
        <x:v>mannitol</x:v>
      </x:c>
      <x:c r="B955" s="31" t="str">
        <x:v>missing_name_th</x:v>
      </x:c>
      <x:c r="C955" s="37" t="str">
        <x:v>Thai drug name was not reliably extractable from the reference documents.</x:v>
      </x:c>
      <x:c r="D955" s="37" t="str">
        <x:v>https://drug.fda.moph.go.th/media.php?id=810409159391584256&amp;name=SMPC_Mannitol_Solution for Infusion.pdf</x:v>
      </x:c>
      <x:c r="E955" s="39" t="str">
        <x:v>Open</x:v>
      </x:c>
    </x:row>
    <x:row r="956">
      <x:c r="A956" s="31" t="str">
        <x:v>mannitol</x:v>
      </x:c>
      <x:c r="B956" s="31" t="str">
        <x:v>category_requires_review</x:v>
      </x:c>
      <x:c r="C956" s="37" t="str">
        <x:v>Therapeutic category is not explicitly provided by the source index.</x:v>
      </x:c>
      <x:c r="D956" s="37" t="str">
        <x:v>https://drug.fda.moph.go.th/media.php?id=810409159391584256&amp;name=SMPC_Mannitol_Solution for Infusion.pdf</x:v>
      </x:c>
      <x:c r="E956" s="39" t="str">
        <x:v>Open</x:v>
      </x:c>
    </x:row>
    <x:row r="957">
      <x:c r="A957" s="31" t="str">
        <x:v>mebendazole</x:v>
      </x:c>
      <x:c r="B957" s="31" t="str">
        <x:v>category_requires_review</x:v>
      </x:c>
      <x:c r="C957" s="37" t="str">
        <x:v>Therapeutic category is not explicitly provided by the source index.</x:v>
      </x:c>
      <x:c r="D957" s="37" t="str">
        <x:v>https://drug.fda.moph.go.th/media.php?id=810409612485468160&amp;name=SMPC_Mebendazole_oral suspension.pdf</x:v>
      </x:c>
      <x:c r="E957" s="39" t="str">
        <x:v>Open</x:v>
      </x:c>
    </x:row>
    <x:row r="958">
      <x:c r="A958" s="31" t="str">
        <x:v>mebeverine</x:v>
      </x:c>
      <x:c r="B958" s="31" t="str">
        <x:v>category_requires_review</x:v>
      </x:c>
      <x:c r="C958" s="37" t="str">
        <x:v>Therapeutic category is not explicitly provided by the source index.</x:v>
      </x:c>
      <x:c r="D958" s="37" t="str">
        <x:v>https://drug.fda.moph.go.th/media.php?id=730439513196863488&amp;name=pil_Mebeverine hydrochloride (FILM COATED TABLET 135 mg).pdf</x:v>
      </x:c>
      <x:c r="E958" s="39" t="str">
        <x:v>Open</x:v>
      </x:c>
    </x:row>
    <x:row r="959">
      <x:c r="A959" s="31" t="str">
        <x:v>mebhydrolin</x:v>
      </x:c>
      <x:c r="B959" s="31" t="str">
        <x:v>category_requires_review</x:v>
      </x:c>
      <x:c r="C959" s="37" t="str">
        <x:v>Therapeutic category is not explicitly provided by the source index.</x:v>
      </x:c>
      <x:c r="D959" s="37" t="str">
        <x:v>https://drug.fda.moph.go.th/media.php?id=808597501648183296&amp;name=Mebhydrolin_capsule_PIL.pdf</x:v>
      </x:c>
      <x:c r="E959" s="39" t="str">
        <x:v>Open</x:v>
      </x:c>
    </x:row>
    <x:row r="960">
      <x:c r="A960" s="31" t="str">
        <x:v>medroxyprogesterone</x:v>
      </x:c>
      <x:c r="B960" s="31" t="str">
        <x:v>category_requires_review</x:v>
      </x:c>
      <x:c r="C960" s="37" t="str">
        <x:v>Therapeutic category is not explicitly provided by the source index.</x:v>
      </x:c>
      <x:c r="D960" s="37" t="str">
        <x:v>https://drug.fda.moph.go.th/media.php?id=730440517598453760&amp;name=pil_Medroxyprogesterone acetate(SUSPENSION FOR INJECTION).pdf</x:v>
      </x:c>
      <x:c r="E960" s="39" t="str">
        <x:v>Open</x:v>
      </x:c>
    </x:row>
    <x:row r="961">
      <x:c r="A961" s="31" t="str">
        <x:v>mefenamic_acid</x:v>
      </x:c>
      <x:c r="B961" s="31" t="str">
        <x:v>missing_name_th</x:v>
      </x:c>
      <x:c r="C961" s="37" t="str">
        <x:v>Thai drug name was not reliably extractable from the reference documents.</x:v>
      </x:c>
      <x:c r="D961" s="37" t="str">
        <x:v>https://drug.fda.moph.go.th/media.php?id=810410734201741312&amp;name=SMPC_Mefenamic acid_Capsules.pdf</x:v>
      </x:c>
      <x:c r="E961" s="39" t="str">
        <x:v>Open</x:v>
      </x:c>
    </x:row>
    <x:row r="962">
      <x:c r="A962" s="31" t="str">
        <x:v>mefenamic_acid</x:v>
      </x:c>
      <x:c r="B962" s="31" t="str">
        <x:v>category_requires_review</x:v>
      </x:c>
      <x:c r="C962" s="37" t="str">
        <x:v>Therapeutic category is not explicitly provided by the source index.</x:v>
      </x:c>
      <x:c r="D962" s="37" t="str">
        <x:v>https://drug.fda.moph.go.th/media.php?id=810410734201741312&amp;name=SMPC_Mefenamic acid_Capsules.pdf</x:v>
      </x:c>
      <x:c r="E962" s="39" t="str">
        <x:v>Open</x:v>
      </x:c>
    </x:row>
    <x:row r="963">
      <x:c r="A963" s="31" t="str">
        <x:v>menthol_eucalyptus_oil</x:v>
      </x:c>
      <x:c r="B963" s="31" t="str">
        <x:v>missing_name_th</x:v>
      </x:c>
      <x:c r="C963" s="37" t="str">
        <x:v>Thai drug name was not reliably extractable from the reference documents.</x:v>
      </x:c>
      <x:c r="D963" s="37" t="str">
        <x:v>https://drug.fda.moph.go.th/media.php?id=810411159340589056&amp;name=SMPC_Menthol and Eucalyptus_Inhalation.pdf</x:v>
      </x:c>
      <x:c r="E963" s="39" t="str">
        <x:v>Open</x:v>
      </x:c>
    </x:row>
    <x:row r="964">
      <x:c r="A964" s="31" t="str">
        <x:v>menthol_eucalyptus_oil</x:v>
      </x:c>
      <x:c r="B964" s="31" t="str">
        <x:v>category_requires_review</x:v>
      </x:c>
      <x:c r="C964" s="37" t="str">
        <x:v>Therapeutic category is not explicitly provided by the source index.</x:v>
      </x:c>
      <x:c r="D964" s="37" t="str">
        <x:v>https://drug.fda.moph.go.th/media.php?id=810411159340589056&amp;name=SMPC_Menthol and Eucalyptus_Inhalation.pdf</x:v>
      </x:c>
      <x:c r="E964" s="39" t="str">
        <x:v>Open</x:v>
      </x:c>
    </x:row>
    <x:row r="965">
      <x:c r="A965" s="31" t="str">
        <x:v>metformin</x:v>
      </x:c>
      <x:c r="B965" s="31" t="str">
        <x:v>missing_name_th</x:v>
      </x:c>
      <x:c r="C965" s="37" t="str">
        <x:v>Thai drug name was not reliably extractable from the reference documents.</x:v>
      </x:c>
      <x:c r="D965" s="37" t="str">
        <x:v>https://drug.fda.moph.go.th/media.php?id=810411685197258752&amp;name=SMPC_Metformin_Film-coated Tablet.pdf</x:v>
      </x:c>
      <x:c r="E965" s="39" t="str">
        <x:v>Open</x:v>
      </x:c>
    </x:row>
    <x:row r="966">
      <x:c r="A966" s="31" t="str">
        <x:v>metformin</x:v>
      </x:c>
      <x:c r="B966" s="31" t="str">
        <x:v>category_requires_review</x:v>
      </x:c>
      <x:c r="C966" s="37" t="str">
        <x:v>Therapeutic category is not explicitly provided by the source index.</x:v>
      </x:c>
      <x:c r="D966" s="37" t="str">
        <x:v>https://drug.fda.moph.go.th/media.php?id=810411685197258752&amp;name=SMPC_Metformin_Film-coated Tablet.pdf</x:v>
      </x:c>
      <x:c r="E966" s="39" t="str">
        <x:v>Open</x:v>
      </x:c>
    </x:row>
    <x:row r="967">
      <x:c r="A967" s="31" t="str">
        <x:v>methimazole_thiamazole</x:v>
      </x:c>
      <x:c r="B967" s="31" t="str">
        <x:v>category_requires_review</x:v>
      </x:c>
      <x:c r="C967" s="37" t="str">
        <x:v>Therapeutic category is not explicitly provided by the source index.</x:v>
      </x:c>
      <x:c r="D967" s="37" t="str">
        <x:v>https://drug.fda.moph.go.th/media.php?id=730440659181379584&amp;name=pil_Methimazole (Thiamazole) (TABLET 5 mg).pdf</x:v>
      </x:c>
      <x:c r="E967" s="39" t="str">
        <x:v>Open</x:v>
      </x:c>
    </x:row>
    <x:row r="968">
      <x:c r="A968" s="31" t="str">
        <x:v>methocarbamol</x:v>
      </x:c>
      <x:c r="B968" s="31" t="str">
        <x:v>missing_name_th</x:v>
      </x:c>
      <x:c r="C968" s="37" t="str">
        <x:v>Thai drug name was not reliably extractable from the reference documents.</x:v>
      </x:c>
      <x:c r="D968" s="37" t="str">
        <x:v>https://drug.fda.moph.go.th/media.php?id=810412334496489472&amp;name=SMPC_Methocarbamol_Film-coated Tablet.pdf</x:v>
      </x:c>
      <x:c r="E968" s="39" t="str">
        <x:v>Open</x:v>
      </x:c>
    </x:row>
    <x:row r="969">
      <x:c r="A969" s="31" t="str">
        <x:v>methocarbamol</x:v>
      </x:c>
      <x:c r="B969" s="31" t="str">
        <x:v>category_requires_review</x:v>
      </x:c>
      <x:c r="C969" s="37" t="str">
        <x:v>Therapeutic category is not explicitly provided by the source index.</x:v>
      </x:c>
      <x:c r="D969" s="37" t="str">
        <x:v>https://drug.fda.moph.go.th/media.php?id=810412334496489472&amp;name=SMPC_Methocarbamol_Film-coated Tablet.pdf</x:v>
      </x:c>
      <x:c r="E969" s="39" t="str">
        <x:v>Open</x:v>
      </x:c>
    </x:row>
    <x:row r="970">
      <x:c r="A970" s="31" t="str">
        <x:v>methyldopa</x:v>
      </x:c>
      <x:c r="B970" s="31" t="str">
        <x:v>category_requires_review</x:v>
      </x:c>
      <x:c r="C970" s="37" t="str">
        <x:v>Therapeutic category is not explicitly provided by the source index.</x:v>
      </x:c>
      <x:c r="D970" s="37" t="str">
        <x:v>https://drug.fda.moph.go.th/media.php?id=730440782443585536&amp;name=pil_Methyldopa (TABLET 125 mg, 250 mg).pdf</x:v>
      </x:c>
      <x:c r="E970" s="39" t="str">
        <x:v>Open</x:v>
      </x:c>
    </x:row>
    <x:row r="971">
      <x:c r="A971" s="31" t="str">
        <x:v>methylergometrine</x:v>
      </x:c>
      <x:c r="B971" s="31" t="str">
        <x:v>category_requires_review</x:v>
      </x:c>
      <x:c r="C971" s="37" t="str">
        <x:v>Therapeutic category is not explicitly provided by the source index.</x:v>
      </x:c>
      <x:c r="D971" s="37" t="str">
        <x:v>https://drug.fda.moph.go.th/media.php?id=730440912047579136&amp;name=pil_Methylergometrine maleate (STERILE SOLUTION FOR INJECTION).pdf</x:v>
      </x:c>
      <x:c r="E971" s="39" t="str">
        <x:v>Open</x:v>
      </x:c>
    </x:row>
    <x:row r="972">
      <x:c r="A972" s="31" t="str">
        <x:v>methylprednisolone</x:v>
      </x:c>
      <x:c r="B972" s="31" t="str">
        <x:v>missing_name_th</x:v>
      </x:c>
      <x:c r="C972" s="37" t="str">
        <x:v>Thai drug name was not reliably extractable from the reference documents.</x:v>
      </x:c>
      <x:c r="D972" s="37" t="str">
        <x:v>https://drug.fda.moph.go.th/media.php?id=810412748335882240&amp;name=SMPC_Methylprednisolone_Powders for solutions for injections or infusions.pdf</x:v>
      </x:c>
      <x:c r="E972" s="39" t="str">
        <x:v>Open</x:v>
      </x:c>
    </x:row>
    <x:row r="973">
      <x:c r="A973" s="31" t="str">
        <x:v>methylprednisolone</x:v>
      </x:c>
      <x:c r="B973" s="31" t="str">
        <x:v>category_requires_review</x:v>
      </x:c>
      <x:c r="C973" s="37" t="str">
        <x:v>Therapeutic category is not explicitly provided by the source index.</x:v>
      </x:c>
      <x:c r="D973" s="37" t="str">
        <x:v>https://drug.fda.moph.go.th/media.php?id=810412748335882240&amp;name=SMPC_Methylprednisolone_Powders for solutions for injections or infusions.pdf</x:v>
      </x:c>
      <x:c r="E973" s="39" t="str">
        <x:v>Open</x:v>
      </x:c>
    </x:row>
    <x:row r="974">
      <x:c r="A974" s="31" t="str">
        <x:v>metoclopramide</x:v>
      </x:c>
      <x:c r="B974" s="31" t="str">
        <x:v>category_requires_review</x:v>
      </x:c>
      <x:c r="C974" s="37" t="str">
        <x:v>Therapeutic category is not explicitly provided by the source index.</x:v>
      </x:c>
      <x:c r="D974" s="37" t="str">
        <x:v>https://drug.fda.moph.go.th/media.php?id=808598096819920896&amp;name=MetoclopramideHydrochloride_compressedTablet_PIL.pdf</x:v>
      </x:c>
      <x:c r="E974" s="39" t="str">
        <x:v>Open</x:v>
      </x:c>
    </x:row>
    <x:row r="975">
      <x:c r="A975" s="31" t="str">
        <x:v>metronidazole</x:v>
      </x:c>
      <x:c r="B975" s="31" t="str">
        <x:v>category_requires_review</x:v>
      </x:c>
      <x:c r="C975" s="37" t="str">
        <x:v>Therapeutic category is not explicitly provided by the source index.</x:v>
      </x:c>
      <x:c r="D975" s="37" t="str">
        <x:v>https://drug.fda.moph.go.th/media.php?id=808598399409594368&amp;name=Metronidazole_compressedTabletFilmeCoatedTablet_PIL.pdf</x:v>
      </x:c>
      <x:c r="E975" s="39" t="str">
        <x:v>Open</x:v>
      </x:c>
    </x:row>
    <x:row r="976">
      <x:c r="A976" s="31" t="str">
        <x:v>mianserin</x:v>
      </x:c>
      <x:c r="B976" s="31" t="str">
        <x:v>category_requires_review</x:v>
      </x:c>
      <x:c r="C976" s="37" t="str">
        <x:v>Therapeutic category is not explicitly provided by the source index.</x:v>
      </x:c>
      <x:c r="D976" s="37" t="str">
        <x:v>https://drug.fda.moph.go.th/media.php?id=810417450431684608&amp;name=SMPC_Mianserin_Tablets.pdf</x:v>
      </x:c>
      <x:c r="E976" s="39" t="str">
        <x:v>Open</x:v>
      </x:c>
    </x:row>
    <x:row r="977">
      <x:c r="A977" s="31" t="str">
        <x:v>miconazole</x:v>
      </x:c>
      <x:c r="B977" s="31" t="str">
        <x:v>missing_name_th</x:v>
      </x:c>
      <x:c r="C977" s="37" t="str">
        <x:v>Thai drug name was not reliably extractable from the reference documents.</x:v>
      </x:c>
      <x:c r="D977" s="37" t="str">
        <x:v>https://drug.fda.moph.go.th/media.php?id=810417927433101312&amp;name=SMPC_Miconazole_Oral gel.pdf</x:v>
      </x:c>
      <x:c r="E977" s="39" t="str">
        <x:v>Open</x:v>
      </x:c>
    </x:row>
    <x:row r="978">
      <x:c r="A978" s="31" t="str">
        <x:v>miconazole</x:v>
      </x:c>
      <x:c r="B978" s="31" t="str">
        <x:v>category_requires_review</x:v>
      </x:c>
      <x:c r="C978" s="37" t="str">
        <x:v>Therapeutic category is not explicitly provided by the source index.</x:v>
      </x:c>
      <x:c r="D978" s="37" t="str">
        <x:v>https://drug.fda.moph.go.th/media.php?id=810417927433101312&amp;name=SMPC_Miconazole_Oral gel.pdf</x:v>
      </x:c>
      <x:c r="E978" s="39" t="str">
        <x:v>Open</x:v>
      </x:c>
    </x:row>
    <x:row r="979">
      <x:c r="A979" s="31" t="str">
        <x:v>miconazole_hydrocortisone</x:v>
      </x:c>
      <x:c r="B979" s="31" t="str">
        <x:v>missing_name_th</x:v>
      </x:c>
      <x:c r="C979" s="37" t="str">
        <x:v>Thai drug name was not reliably extractable from the reference documents.</x:v>
      </x:c>
      <x:c r="D979" s="37" t="str">
        <x:v>https://drug.fda.moph.go.th/media.php?id=810418770794389504&amp;name=SMPC_Miconazole+hydrocortisone_Cream.pdf</x:v>
      </x:c>
      <x:c r="E979" s="39" t="str">
        <x:v>Open</x:v>
      </x:c>
    </x:row>
    <x:row r="980">
      <x:c r="A980" s="31" t="str">
        <x:v>miconazole_hydrocortisone</x:v>
      </x:c>
      <x:c r="B980" s="31" t="str">
        <x:v>category_requires_review</x:v>
      </x:c>
      <x:c r="C980" s="37" t="str">
        <x:v>Therapeutic category is not explicitly provided by the source index.</x:v>
      </x:c>
      <x:c r="D980" s="37" t="str">
        <x:v>https://drug.fda.moph.go.th/media.php?id=810418770794389504&amp;name=SMPC_Miconazole+hydrocortisone_Cream.pdf</x:v>
      </x:c>
      <x:c r="E980" s="39" t="str">
        <x:v>Open</x:v>
      </x:c>
    </x:row>
    <x:row r="981">
      <x:c r="A981" s="31" t="str">
        <x:v>milk_of_magnesia</x:v>
      </x:c>
      <x:c r="B981" s="31" t="str">
        <x:v>category_requires_review</x:v>
      </x:c>
      <x:c r="C981" s="37" t="str">
        <x:v>Therapeutic category is not explicitly provided by the source index.</x:v>
      </x:c>
      <x:c r="D981" s="37" t="str">
        <x:v>https://drug.fda.moph.go.th/media.php?id=733942889922568192&amp;name=PIL_Milk of Magnesia_(15032024).pdf</x:v>
      </x:c>
      <x:c r="E981" s="39" t="str">
        <x:v>Open</x:v>
      </x:c>
    </x:row>
    <x:row r="982">
      <x:c r="A982" s="31" t="str">
        <x:v>minoxidil</x:v>
      </x:c>
      <x:c r="B982" s="31" t="str">
        <x:v>category_requires_review</x:v>
      </x:c>
      <x:c r="C982" s="37" t="str">
        <x:v>Therapeutic category is not explicitly provided by the source index.</x:v>
      </x:c>
      <x:c r="D982" s="37" t="str">
        <x:v>https://drug.fda.moph.go.th/media.php?id=808598734081499136&amp;name=Minoxidil_2_LotionAqueoussolution_PIL.pdf</x:v>
      </x:c>
      <x:c r="E982" s="39" t="str">
        <x:v>Open</x:v>
      </x:c>
    </x:row>
    <x:row r="983">
      <x:c r="A983" s="31" t="str">
        <x:v>mucopolysaccharide_polysulphate</x:v>
      </x:c>
      <x:c r="B983" s="31" t="str">
        <x:v>missing_name_th</x:v>
      </x:c>
      <x:c r="C983" s="37" t="str">
        <x:v>Thai drug name was not reliably extractable from the reference documents.</x:v>
      </x:c>
      <x:c r="D983" s="37" t="str">
        <x:v>https://drug.fda.moph.go.th/media.php?id=810420646990454784&amp;name=SMPC_Mucopolysaccharide _Cream.pdf</x:v>
      </x:c>
      <x:c r="E983" s="39" t="str">
        <x:v>Open</x:v>
      </x:c>
    </x:row>
    <x:row r="984">
      <x:c r="A984" s="31" t="str">
        <x:v>mucopolysaccharide_polysulphate</x:v>
      </x:c>
      <x:c r="B984" s="31" t="str">
        <x:v>category_requires_review</x:v>
      </x:c>
      <x:c r="C984" s="37" t="str">
        <x:v>Therapeutic category is not explicitly provided by the source index.</x:v>
      </x:c>
      <x:c r="D984" s="37" t="str">
        <x:v>https://drug.fda.moph.go.th/media.php?id=810420646990454784&amp;name=SMPC_Mucopolysaccharide _Cream.pdf</x:v>
      </x:c>
      <x:c r="E984" s="39" t="str">
        <x:v>Open</x:v>
      </x:c>
    </x:row>
    <x:row r="985">
      <x:c r="A985" s="31" t="str">
        <x:v>multivitamin</x:v>
      </x:c>
      <x:c r="B985" s="31" t="str">
        <x:v>category_requires_review</x:v>
      </x:c>
      <x:c r="C985" s="37" t="str">
        <x:v>Therapeutic category is not explicitly provided by the source index.</x:v>
      </x:c>
      <x:c r="D985" s="37" t="str">
        <x:v>https://drug.fda.moph.go.th/media.php?id=808599891721986048&amp;name=Multivitamin_drop_PIL.pdf</x:v>
      </x:c>
      <x:c r="E985" s="39" t="str">
        <x:v>Open</x:v>
      </x:c>
    </x:row>
    <x:row r="986">
      <x:c r="A986" s="31" t="str">
        <x:v>multivitamins</x:v>
      </x:c>
      <x:c r="B986" s="31" t="str">
        <x:v>category_requires_review</x:v>
      </x:c>
      <x:c r="C986" s="37" t="str">
        <x:v>Therapeutic category is not explicitly provided by the source index.</x:v>
      </x:c>
      <x:c r="D986" s="37" t="str">
        <x:v>https://drug.fda.moph.go.th/media.php?id=733942030962663424&amp;name=56 PIL_Multivitamins ชนิดเม็ดและแคปซูล_(11042024).pdf</x:v>
      </x:c>
      <x:c r="E986" s="39" t="str">
        <x:v>Open</x:v>
      </x:c>
    </x:row>
    <x:row r="987">
      <x:c r="A987" s="31" t="str">
        <x:v>naproxen</x:v>
      </x:c>
      <x:c r="B987" s="31" t="str">
        <x:v>missing_name_th</x:v>
      </x:c>
      <x:c r="C987" s="37" t="str">
        <x:v>Thai drug name was not reliably extractable from the reference documents.</x:v>
      </x:c>
      <x:c r="D987" s="37" t="str">
        <x:v>https://drug.fda.moph.go.th/media.php?id=810422587254513664&amp;name=SMPC_Naproxen_Tablets.pdf</x:v>
      </x:c>
      <x:c r="E987" s="39" t="str">
        <x:v>Open</x:v>
      </x:c>
    </x:row>
    <x:row r="988">
      <x:c r="A988" s="31" t="str">
        <x:v>naproxen</x:v>
      </x:c>
      <x:c r="B988" s="31" t="str">
        <x:v>category_requires_review</x:v>
      </x:c>
      <x:c r="C988" s="37" t="str">
        <x:v>Therapeutic category is not explicitly provided by the source index.</x:v>
      </x:c>
      <x:c r="D988" s="37" t="str">
        <x:v>https://drug.fda.moph.go.th/media.php?id=810422587254513664&amp;name=SMPC_Naproxen_Tablets.pdf</x:v>
      </x:c>
      <x:c r="E988" s="39" t="str">
        <x:v>Open</x:v>
      </x:c>
    </x:row>
    <x:row r="989">
      <x:c r="A989" s="31" t="str">
        <x:v>nicotinic_acid</x:v>
      </x:c>
      <x:c r="B989" s="31" t="str">
        <x:v>category_requires_review</x:v>
      </x:c>
      <x:c r="C989" s="37" t="str">
        <x:v>Therapeutic category is not explicitly provided by the source index.</x:v>
      </x:c>
      <x:c r="D989" s="37" t="str">
        <x:v>https://drug.fda.moph.go.th/media.php?id=730445941231984640&amp;name=pil_Nicotinic acid (TABLET).pdf</x:v>
      </x:c>
      <x:c r="E989" s="39" t="str">
        <x:v>Open</x:v>
      </x:c>
    </x:row>
    <x:row r="990">
      <x:c r="A990" s="31" t="str">
        <x:v>nimodipine</x:v>
      </x:c>
      <x:c r="B990" s="31" t="str">
        <x:v>missing_name_th</x:v>
      </x:c>
      <x:c r="C990" s="37" t="str">
        <x:v>Thai drug name was not reliably extractable from the reference documents.</x:v>
      </x:c>
      <x:c r="D990" s="37" t="str">
        <x:v>https://drug.fda.moph.go.th/media.php?id=810423093272125440&amp;name=SMPC_Nimodipine_Solution for Infusion.pdf</x:v>
      </x:c>
      <x:c r="E990" s="39" t="str">
        <x:v>Open</x:v>
      </x:c>
    </x:row>
    <x:row r="991">
      <x:c r="A991" s="31" t="str">
        <x:v>nimodipine</x:v>
      </x:c>
      <x:c r="B991" s="31" t="str">
        <x:v>category_requires_review</x:v>
      </x:c>
      <x:c r="C991" s="37" t="str">
        <x:v>Therapeutic category is not explicitly provided by the source index.</x:v>
      </x:c>
      <x:c r="D991" s="37" t="str">
        <x:v>https://drug.fda.moph.go.th/media.php?id=810423093272125440&amp;name=SMPC_Nimodipine_Solution for Infusion.pdf</x:v>
      </x:c>
      <x:c r="E991" s="39" t="str">
        <x:v>Open</x:v>
      </x:c>
    </x:row>
    <x:row r="992">
      <x:c r="A992" s="31" t="str">
        <x:v>norethisterone_ethinylestradiol</x:v>
      </x:c>
      <x:c r="B992" s="31" t="str">
        <x:v>missing_name_th</x:v>
      </x:c>
      <x:c r="C992" s="37" t="str">
        <x:v>Thai drug name was not reliably extractable from the reference documents.</x:v>
      </x:c>
      <x:c r="D992" s="37" t="str">
        <x:v>https://drug.fda.moph.go.th/media.php?id=810423555446677504&amp;name=SMPC_Norethisterone+ethinylestradiol_Tablets.pdf</x:v>
      </x:c>
      <x:c r="E992" s="39" t="str">
        <x:v>Open</x:v>
      </x:c>
    </x:row>
    <x:row r="993">
      <x:c r="A993" s="31" t="str">
        <x:v>norethisterone_ethinylestradiol</x:v>
      </x:c>
      <x:c r="B993" s="31" t="str">
        <x:v>category_requires_review</x:v>
      </x:c>
      <x:c r="C993" s="37" t="str">
        <x:v>Therapeutic category is not explicitly provided by the source index.</x:v>
      </x:c>
      <x:c r="D993" s="37" t="str">
        <x:v>https://drug.fda.moph.go.th/media.php?id=810423555446677504&amp;name=SMPC_Norethisterone+ethinylestradiol_Tablets.pdf</x:v>
      </x:c>
      <x:c r="E993" s="39" t="str">
        <x:v>Open</x:v>
      </x:c>
    </x:row>
    <x:row r="994">
      <x:c r="A994" s="31" t="str">
        <x:v>nortriptyline</x:v>
      </x:c>
      <x:c r="B994" s="31" t="str">
        <x:v>category_requires_review</x:v>
      </x:c>
      <x:c r="C994" s="37" t="str">
        <x:v>Therapeutic category is not explicitly provided by the source index.</x:v>
      </x:c>
      <x:c r="D994" s="37" t="str">
        <x:v>https://drug.fda.moph.go.th/media.php?id=810424052261986304&amp;name=SMPC_Nortriptyline_Film-coated Tablet.pdf</x:v>
      </x:c>
      <x:c r="E994" s="39" t="str">
        <x:v>Open</x:v>
      </x:c>
    </x:row>
    <x:row r="995">
      <x:c r="A995" s="31" t="str">
        <x:v>nystatin</x:v>
      </x:c>
      <x:c r="B995" s="31" t="str">
        <x:v>category_requires_review</x:v>
      </x:c>
      <x:c r="C995" s="37" t="str">
        <x:v>Therapeutic category is not explicitly provided by the source index.</x:v>
      </x:c>
      <x:c r="D995" s="37" t="str">
        <x:v>https://drug.fda.moph.go.th/media.php?id=730446059045789696&amp;name=pil_Nystatin(VAGINAL SUPPOSITORIES).pdf</x:v>
      </x:c>
      <x:c r="E995" s="39" t="str">
        <x:v>Open</x:v>
      </x:c>
    </x:row>
    <x:row r="996">
      <x:c r="A996" s="31" t="str">
        <x:v>ofloxacin</x:v>
      </x:c>
      <x:c r="B996" s="31" t="str">
        <x:v>category_requires_review</x:v>
      </x:c>
      <x:c r="C996" s="37" t="str">
        <x:v>Therapeutic category is not explicitly provided by the source index.</x:v>
      </x:c>
      <x:c r="D996" s="37" t="str">
        <x:v>https://drug.fda.moph.go.th/media.php?id=810425338315284480&amp;name=SMPC_Ofloxacin_Film-coated Tablet.pdf</x:v>
      </x:c>
      <x:c r="E996" s="39" t="str">
        <x:v>Open</x:v>
      </x:c>
    </x:row>
    <x:row r="997">
      <x:c r="A997" s="31" t="str">
        <x:v>omeprazole</x:v>
      </x:c>
      <x:c r="B997" s="31" t="str">
        <x:v>category_requires_review</x:v>
      </x:c>
      <x:c r="C997" s="37" t="str">
        <x:v>Therapeutic category is not explicitly provided by the source index.</x:v>
      </x:c>
      <x:c r="D997" s="37" t="str">
        <x:v>https://drug.fda.moph.go.th/media.php?id=810426319253938176&amp;name=SMPC_Omeprazole_Hard Gastro-resistant Capsule.pdf</x:v>
      </x:c>
      <x:c r="E997" s="39" t="str">
        <x:v>Open</x:v>
      </x:c>
    </x:row>
    <x:row r="998">
      <x:c r="A998" s="31" t="str">
        <x:v>oral_rehydration_salt</x:v>
      </x:c>
      <x:c r="B998" s="31" t="str">
        <x:v>category_requires_review</x:v>
      </x:c>
      <x:c r="C998" s="37" t="str">
        <x:v>Therapeutic category is not explicitly provided by the source index.</x:v>
      </x:c>
      <x:c r="D998" s="37" t="str">
        <x:v>https://drug.fda.moph.go.th/media.php?id=733941522013233152&amp;name=PIL_Oral rehydration salt_ผงน้ำตาลเกลือแร่ (15032024).pdf</x:v>
      </x:c>
      <x:c r="E998" s="39" t="str">
        <x:v>Open</x:v>
      </x:c>
    </x:row>
    <x:row r="999">
      <x:c r="A999" s="31" t="str">
        <x:v>oxytetracycline</x:v>
      </x:c>
      <x:c r="B999" s="31" t="str">
        <x:v>missing_name_th</x:v>
      </x:c>
      <x:c r="C999" s="37" t="str">
        <x:v>Thai drug name was not reliably extractable from the reference documents.</x:v>
      </x:c>
      <x:c r="D999" s="37" t="str">
        <x:v>https://drug.fda.moph.go.th/media.php?id=810426784758767616&amp;name=SMPC_Oxytetracycline_Capsules.pdf</x:v>
      </x:c>
      <x:c r="E999" s="39" t="str">
        <x:v>Open</x:v>
      </x:c>
    </x:row>
    <x:row r="1000">
      <x:c r="A1000" s="31" t="str">
        <x:v>oxytetracycline</x:v>
      </x:c>
      <x:c r="B1000" s="31" t="str">
        <x:v>category_requires_review</x:v>
      </x:c>
      <x:c r="C1000" s="37" t="str">
        <x:v>Therapeutic category is not explicitly provided by the source index.</x:v>
      </x:c>
      <x:c r="D1000" s="37" t="str">
        <x:v>https://drug.fda.moph.go.th/media.php?id=810426784758767616&amp;name=SMPC_Oxytetracycline_Capsules.pdf</x:v>
      </x:c>
      <x:c r="E1000" s="39" t="str">
        <x:v>Open</x:v>
      </x:c>
    </x:row>
    <x:row r="1001">
      <x:c r="A1001" s="31" t="str">
        <x:v>paracetamol</x:v>
      </x:c>
      <x:c r="B1001" s="31" t="str">
        <x:v>category_requires_review</x:v>
      </x:c>
      <x:c r="C1001" s="37" t="str">
        <x:v>Therapeutic category is not explicitly provided by the source index.</x:v>
      </x:c>
      <x:c r="D1001" s="37" t="str">
        <x:v>https://drug.fda.moph.go.th/media.php?id=808600728649211904&amp;name=Paracetamol_suspension_PIL.pdf</x:v>
      </x:c>
      <x:c r="E1001" s="39" t="str">
        <x:v>Open</x:v>
      </x:c>
    </x:row>
    <x:row r="1002">
      <x:c r="A1002" s="31" t="str">
        <x:v>peppermint_water</x:v>
      </x:c>
      <x:c r="B1002" s="31" t="str">
        <x:v>missing_name_th</x:v>
      </x:c>
      <x:c r="C1002" s="37" t="str">
        <x:v>Thai drug name was not reliably extractable from the reference documents.</x:v>
      </x:c>
      <x:c r="D1002" s="37" t="str">
        <x:v>https://drug.fda.moph.go.th/media.php?id=810431145572442112&amp;name=SMPC_Peppermint oil_solution.pdf</x:v>
      </x:c>
      <x:c r="E1002" s="39" t="str">
        <x:v>Open</x:v>
      </x:c>
    </x:row>
    <x:row r="1003">
      <x:c r="A1003" s="31" t="str">
        <x:v>peppermint_water</x:v>
      </x:c>
      <x:c r="B1003" s="31" t="str">
        <x:v>category_requires_review</x:v>
      </x:c>
      <x:c r="C1003" s="37" t="str">
        <x:v>Therapeutic category is not explicitly provided by the source index.</x:v>
      </x:c>
      <x:c r="D1003" s="37" t="str">
        <x:v>https://drug.fda.moph.go.th/media.php?id=810431145572442112&amp;name=SMPC_Peppermint oil_solution.pdf</x:v>
      </x:c>
      <x:c r="E1003" s="39" t="str">
        <x:v>Open</x:v>
      </x:c>
    </x:row>
    <x:row r="1004">
      <x:c r="A1004" s="31" t="str">
        <x:v>phenol</x:v>
      </x:c>
      <x:c r="B1004" s="31" t="str">
        <x:v>missing_name_th</x:v>
      </x:c>
      <x:c r="C1004" s="37" t="str">
        <x:v>Thai drug name was not reliably extractable from the reference documents.</x:v>
      </x:c>
      <x:c r="D1004" s="37" t="str">
        <x:v>https://drug.fda.moph.go.th/media.php?id=810431642043817984&amp;name=SMPC_Phenol_injection.pdf</x:v>
      </x:c>
      <x:c r="E1004" s="39" t="str">
        <x:v>Open</x:v>
      </x:c>
    </x:row>
    <x:row r="1005">
      <x:c r="A1005" s="31" t="str">
        <x:v>phenol</x:v>
      </x:c>
      <x:c r="B1005" s="31" t="str">
        <x:v>category_requires_review</x:v>
      </x:c>
      <x:c r="C1005" s="37" t="str">
        <x:v>Therapeutic category is not explicitly provided by the source index.</x:v>
      </x:c>
      <x:c r="D1005" s="37" t="str">
        <x:v>https://drug.fda.moph.go.th/media.php?id=810431642043817984&amp;name=SMPC_Phenol_injection.pdf</x:v>
      </x:c>
      <x:c r="E1005" s="39" t="str">
        <x:v>Open</x:v>
      </x:c>
    </x:row>
    <x:row r="1006">
      <x:c r="A1006" s="31" t="str">
        <x:v>phenoxymethylpenicillin_penicillin_v</x:v>
      </x:c>
      <x:c r="B1006" s="31" t="str">
        <x:v>missing_name_th</x:v>
      </x:c>
      <x:c r="C1006" s="37" t="str">
        <x:v>Thai drug name was not reliably extractable from the reference documents.</x:v>
      </x:c>
      <x:c r="D1006" s="37" t="str">
        <x:v>https://drug.fda.moph.go.th/media.php?id=810432142491394048&amp;name=SMPC_Phenoxymethylpenicillin potassium_Dry syrup.pdf</x:v>
      </x:c>
      <x:c r="E1006" s="39" t="str">
        <x:v>Open</x:v>
      </x:c>
    </x:row>
    <x:row r="1007">
      <x:c r="A1007" s="31" t="str">
        <x:v>phenoxymethylpenicillin_penicillin_v</x:v>
      </x:c>
      <x:c r="B1007" s="31" t="str">
        <x:v>category_requires_review</x:v>
      </x:c>
      <x:c r="C1007" s="37" t="str">
        <x:v>Therapeutic category is not explicitly provided by the source index.</x:v>
      </x:c>
      <x:c r="D1007" s="37" t="str">
        <x:v>https://drug.fda.moph.go.th/media.php?id=810432142491394048&amp;name=SMPC_Phenoxymethylpenicillin potassium_Dry syrup.pdf</x:v>
      </x:c>
      <x:c r="E1007" s="39" t="str">
        <x:v>Open</x:v>
      </x:c>
    </x:row>
    <x:row r="1008">
      <x:c r="A1008" s="31" t="str">
        <x:v>pimozide</x:v>
      </x:c>
      <x:c r="B1008" s="31" t="str">
        <x:v>category_requires_review</x:v>
      </x:c>
      <x:c r="C1008" s="37" t="str">
        <x:v>Therapeutic category is not explicitly provided by the source index.</x:v>
      </x:c>
      <x:c r="D1008" s="37" t="str">
        <x:v>https://drug.fda.moph.go.th/media.php?id=810432738745262080&amp;name=SMPC_Pimozide_Tablet.pdf</x:v>
      </x:c>
      <x:c r="E1008" s="39" t="str">
        <x:v>Open</x:v>
      </x:c>
    </x:row>
    <x:row r="1009">
      <x:c r="A1009" s="31" t="str">
        <x:v>piroxicam</x:v>
      </x:c>
      <x:c r="B1009" s="31" t="str">
        <x:v>category_requires_review</x:v>
      </x:c>
      <x:c r="C1009" s="37" t="str">
        <x:v>Therapeutic category is not explicitly provided by the source index.</x:v>
      </x:c>
      <x:c r="D1009" s="37" t="str">
        <x:v>https://drug.fda.moph.go.th/media.php?id=808601251695697920&amp;name=Piroxicam_capsuleCompressedTabletFilmCoatedTabletSugarCoatedTablet_PIL.pdf</x:v>
      </x:c>
      <x:c r="E1009" s="39" t="str">
        <x:v>Open</x:v>
      </x:c>
    </x:row>
    <x:row r="1010">
      <x:c r="A1010" s="31" t="str">
        <x:v>pizotifen_malate</x:v>
      </x:c>
      <x:c r="B1010" s="31" t="str">
        <x:v>category_requires_review</x:v>
      </x:c>
      <x:c r="C1010" s="37" t="str">
        <x:v>Therapeutic category is not explicitly provided by the source index.</x:v>
      </x:c>
      <x:c r="D1010" s="37" t="str">
        <x:v>https://drug.fda.moph.go.th/media.php?id=808604508509839360&amp;name=Pizotifen_sugarcoatedtablet-syrup_PIL.pdf</x:v>
      </x:c>
      <x:c r="E1010" s="39" t="str">
        <x:v>Open</x:v>
      </x:c>
    </x:row>
    <x:row r="1011">
      <x:c r="A1011" s="31" t="str">
        <x:v>potassium_chloride</x:v>
      </x:c>
      <x:c r="B1011" s="31" t="str">
        <x:v>category_requires_review</x:v>
      </x:c>
      <x:c r="C1011" s="37" t="str">
        <x:v>Therapeutic category is not explicitly provided by the source index.</x:v>
      </x:c>
      <x:c r="D1011" s="37" t="str">
        <x:v>https://drug.fda.moph.go.th/media.php?id=730446222506205184&amp;name=pil_Potassium chloride(TABLET - ENTERIC COATED TABLET).pdf</x:v>
      </x:c>
      <x:c r="E1011" s="39" t="str">
        <x:v>Open</x:v>
      </x:c>
    </x:row>
    <x:row r="1012">
      <x:c r="A1012" s="31" t="str">
        <x:v>povidone_iodine</x:v>
      </x:c>
      <x:c r="B1012" s="31" t="str">
        <x:v>category_requires_review</x:v>
      </x:c>
      <x:c r="C1012" s="37" t="str">
        <x:v>Therapeutic category is not explicitly provided by the source index.</x:v>
      </x:c>
      <x:c r="D1012" s="37" t="str">
        <x:v>https://drug.fda.moph.go.th/media.php?id=733926310765797376&amp;name=PIL ยาใส่แผลโพวิโดน-ไอโอดีน povidone-iodine (17102024).pdf</x:v>
      </x:c>
      <x:c r="E1012" s="39" t="str">
        <x:v>Open</x:v>
      </x:c>
    </x:row>
    <x:row r="1013">
      <x:c r="A1013" s="31" t="str">
        <x:v>prazosin</x:v>
      </x:c>
      <x:c r="B1013" s="31" t="str">
        <x:v>category_requires_review</x:v>
      </x:c>
      <x:c r="C1013" s="37" t="str">
        <x:v>Therapeutic category is not explicitly provided by the source index.</x:v>
      </x:c>
      <x:c r="D1013" s="37" t="str">
        <x:v>https://drug.fda.moph.go.th/media.php?id=730446325333762048&amp;name=pil_Prazosin hydrochloride (TABLET 1 mg, 2 mg).pdf</x:v>
      </x:c>
      <x:c r="E1013" s="39" t="str">
        <x:v>Open</x:v>
      </x:c>
    </x:row>
    <x:row r="1014">
      <x:c r="A1014" s="31" t="str">
        <x:v>prednisolone</x:v>
      </x:c>
      <x:c r="B1014" s="31" t="str">
        <x:v>category_requires_review</x:v>
      </x:c>
      <x:c r="C1014" s="37" t="str">
        <x:v>Therapeutic category is not explicitly provided by the source index.</x:v>
      </x:c>
      <x:c r="D1014" s="37" t="str">
        <x:v>https://drug.fda.moph.go.th/media.php?id=730446474630012928&amp;name=pil_Prednisolone (TABLET - CAPSULE, HARD).pdf</x:v>
      </x:c>
      <x:c r="E1014" s="39" t="str">
        <x:v>Open</x:v>
      </x:c>
    </x:row>
    <x:row r="1015">
      <x:c r="A1015" s="31" t="str">
        <x:v>progesterone</x:v>
      </x:c>
      <x:c r="B1015" s="31" t="str">
        <x:v>category_requires_review</x:v>
      </x:c>
      <x:c r="C1015" s="37" t="str">
        <x:v>Therapeutic category is not explicitly provided by the source index.</x:v>
      </x:c>
      <x:c r="D1015" s="37" t="str">
        <x:v>https://drug.fda.moph.go.th/media.php?id=733964826350592000&amp;name=pil_Progesterone CAPSULE SOFT 100mg.pdf</x:v>
      </x:c>
      <x:c r="E1015" s="39" t="str">
        <x:v>Open</x:v>
      </x:c>
    </x:row>
    <x:row r="1016">
      <x:c r="A1016" s="31" t="str">
        <x:v>progesterone_vaginal</x:v>
      </x:c>
      <x:c r="B1016" s="31" t="str">
        <x:v>category_requires_review</x:v>
      </x:c>
      <x:c r="C1016" s="37" t="str">
        <x:v>Therapeutic category is not explicitly provided by the source index.</x:v>
      </x:c>
      <x:c r="D1016" s="37" t="str">
        <x:v>https://drug.fda.moph.go.th/media.php?id=733966286706581504&amp;name=pil_Progesterone Vaginal CAPSULE SOFT 200mg.pdf</x:v>
      </x:c>
      <x:c r="E1016" s="39" t="str">
        <x:v>Open</x:v>
      </x:c>
    </x:row>
    <x:row r="1017">
      <x:c r="A1017" s="31" t="str">
        <x:v>propranolol</x:v>
      </x:c>
      <x:c r="B1017" s="31" t="str">
        <x:v>category_requires_review</x:v>
      </x:c>
      <x:c r="C1017" s="37" t="str">
        <x:v>Therapeutic category is not explicitly provided by the source index.</x:v>
      </x:c>
      <x:c r="D1017" s="37" t="str">
        <x:v>https://drug.fda.moph.go.th/media.php?id=730445010499149824&amp;name=pil_Propranolol (TABLET 10 mg, 40 mg).pdf</x:v>
      </x:c>
      <x:c r="E1017" s="39" t="str">
        <x:v>Open</x:v>
      </x:c>
    </x:row>
    <x:row r="1018">
      <x:c r="A1018" s="31" t="str">
        <x:v>propylthiouracil</x:v>
      </x:c>
      <x:c r="B1018" s="31" t="str">
        <x:v>category_requires_review</x:v>
      </x:c>
      <x:c r="C1018" s="37" t="str">
        <x:v>Therapeutic category is not explicitly provided by the source index.</x:v>
      </x:c>
      <x:c r="D1018" s="37" t="str">
        <x:v>https://drug.fda.moph.go.th/media.php?id=730444886557466624&amp;name=pil_Propylthiouracil (TABLET)50 mg.pdf</x:v>
      </x:c>
      <x:c r="E1018" s="39" t="str">
        <x:v>Open</x:v>
      </x:c>
    </x:row>
    <x:row r="1019">
      <x:c r="A1019" s="31" t="str">
        <x:v>pyridoxine</x:v>
      </x:c>
      <x:c r="B1019" s="31" t="str">
        <x:v>category_requires_review</x:v>
      </x:c>
      <x:c r="C1019" s="37" t="str">
        <x:v>Therapeutic category is not explicitly provided by the source index.</x:v>
      </x:c>
      <x:c r="D1019" s="37" t="str">
        <x:v>https://drug.fda.moph.go.th/media.php?id=730444571007393792&amp;name=pil_Pyridoxine (TABLET 50 mg).pdf</x:v>
      </x:c>
      <x:c r="E1019" s="39" t="str">
        <x:v>Open</x:v>
      </x:c>
    </x:row>
    <x:row r="1020">
      <x:c r="A1020" s="31" t="str">
        <x:v>quinine</x:v>
      </x:c>
      <x:c r="B1020" s="31" t="str">
        <x:v>category_requires_review</x:v>
      </x:c>
      <x:c r="C1020" s="37" t="str">
        <x:v>Therapeutic category is not explicitly provided by the source index.</x:v>
      </x:c>
      <x:c r="D1020" s="37" t="str">
        <x:v>https://drug.fda.moph.go.th/media.php?id=810445665753767936&amp;name=SMPC_Quinine dihydrochloride_solutions for injections or infusions.pdf</x:v>
      </x:c>
      <x:c r="E1020" s="39" t="str">
        <x:v>Open</x:v>
      </x:c>
    </x:row>
    <x:row r="1021">
      <x:c r="A1021" s="31" t="str">
        <x:v>ranitidine</x:v>
      </x:c>
      <x:c r="B1021" s="31" t="str">
        <x:v>missing_name_th</x:v>
      </x:c>
      <x:c r="C1021" s="37" t="str">
        <x:v>Thai drug name was not reliably extractable from the reference documents.</x:v>
      </x:c>
      <x:c r="D1021" s="37" t="str">
        <x:v>https://drug.fda.moph.go.th/media.php?id=810446254327865344&amp;name=SMPC_Ranitidine_Tablet.pdf</x:v>
      </x:c>
      <x:c r="E1021" s="39" t="str">
        <x:v>Open</x:v>
      </x:c>
    </x:row>
    <x:row r="1022">
      <x:c r="A1022" s="31" t="str">
        <x:v>ranitidine</x:v>
      </x:c>
      <x:c r="B1022" s="31" t="str">
        <x:v>category_requires_review</x:v>
      </x:c>
      <x:c r="C1022" s="37" t="str">
        <x:v>Therapeutic category is not explicitly provided by the source index.</x:v>
      </x:c>
      <x:c r="D1022" s="37" t="str">
        <x:v>https://drug.fda.moph.go.th/media.php?id=810446254327865344&amp;name=SMPC_Ranitidine_Tablet.pdf</x:v>
      </x:c>
      <x:c r="E1022" s="39" t="str">
        <x:v>Open</x:v>
      </x:c>
    </x:row>
    <x:row r="1023">
      <x:c r="A1023" s="31" t="str">
        <x:v>retinol</x:v>
      </x:c>
      <x:c r="B1023" s="31" t="str">
        <x:v>category_requires_review</x:v>
      </x:c>
      <x:c r="C1023" s="37" t="str">
        <x:v>Therapeutic category is not explicitly provided by the source index.</x:v>
      </x:c>
      <x:c r="D1023" s="37" t="str">
        <x:v>https://drug.fda.moph.go.th/media.php?id=730444441944465408&amp;name=pil_Retinol (CAPSULE SOFT).pdf</x:v>
      </x:c>
      <x:c r="E1023" s="39" t="str">
        <x:v>Open</x:v>
      </x:c>
    </x:row>
    <x:row r="1024">
      <x:c r="A1024" s="31" t="str">
        <x:v>riboflavin</x:v>
      </x:c>
      <x:c r="B1024" s="31" t="str">
        <x:v>category_requires_review</x:v>
      </x:c>
      <x:c r="C1024" s="37" t="str">
        <x:v>Therapeutic category is not explicitly provided by the source index.</x:v>
      </x:c>
      <x:c r="D1024" s="37" t="str">
        <x:v>https://drug.fda.moph.go.th/media.php?id=730444317851787264&amp;name=pil_Riboflavin (TABLET).pdf</x:v>
      </x:c>
      <x:c r="E1024" s="39" t="str">
        <x:v>Open</x:v>
      </x:c>
    </x:row>
    <x:row r="1025">
      <x:c r="A1025" s="31" t="str">
        <x:v>rifampicin</x:v>
      </x:c>
      <x:c r="B1025" s="31" t="str">
        <x:v>missing_name_th</x:v>
      </x:c>
      <x:c r="C1025" s="37" t="str">
        <x:v>Thai drug name was not reliably extractable from the reference documents.</x:v>
      </x:c>
      <x:c r="D1025" s="37" t="str">
        <x:v>https://drug.fda.moph.go.th/media.php?id=810448559467012096&amp;name=SMPC_Rifampicin_Tablets.pdf</x:v>
      </x:c>
      <x:c r="E1025" s="39" t="str">
        <x:v>Open</x:v>
      </x:c>
    </x:row>
    <x:row r="1026">
      <x:c r="A1026" s="31" t="str">
        <x:v>rifampicin</x:v>
      </x:c>
      <x:c r="B1026" s="31" t="str">
        <x:v>category_requires_review</x:v>
      </x:c>
      <x:c r="C1026" s="37" t="str">
        <x:v>Therapeutic category is not explicitly provided by the source index.</x:v>
      </x:c>
      <x:c r="D1026" s="37" t="str">
        <x:v>https://drug.fda.moph.go.th/media.php?id=810448559467012096&amp;name=SMPC_Rifampicin_Tablets.pdf</x:v>
      </x:c>
      <x:c r="E1026" s="39" t="str">
        <x:v>Open</x:v>
      </x:c>
    </x:row>
    <x:row r="1027">
      <x:c r="A1027" s="31" t="str">
        <x:v>salbutamol</x:v>
      </x:c>
      <x:c r="B1027" s="31" t="str">
        <x:v>category_requires_review</x:v>
      </x:c>
      <x:c r="C1027" s="37" t="str">
        <x:v>Therapeutic category is not explicitly provided by the source index.</x:v>
      </x:c>
      <x:c r="D1027" s="37" t="str">
        <x:v>https://drug.fda.moph.go.th/media.php?id=808610253401890816&amp;name=Salbutamol_compressedTablet_PIL.pdf</x:v>
      </x:c>
      <x:c r="E1027" s="39" t="str">
        <x:v>Open</x:v>
      </x:c>
    </x:row>
    <x:row r="1028">
      <x:c r="A1028" s="31" t="str">
        <x:v>simethicone</x:v>
      </x:c>
      <x:c r="B1028" s="31" t="str">
        <x:v>category_requires_review</x:v>
      </x:c>
      <x:c r="C1028" s="37" t="str">
        <x:v>Therapeutic category is not explicitly provided by the source index.</x:v>
      </x:c>
      <x:c r="D1028" s="37" t="str">
        <x:v>https://drug.fda.moph.go.th/media.php?id=733924770743197696&amp;name=PIL_Simethicone_ยาเม็ดแก้ท้องอืด ท้องเฟ้อ  ไซเมธิโคน(15032024).pdf</x:v>
      </x:c>
      <x:c r="E1028" s="39" t="str">
        <x:v>Open</x:v>
      </x:c>
    </x:row>
    <x:row r="1029">
      <x:c r="A1029" s="31" t="str">
        <x:v>simvastatin</x:v>
      </x:c>
      <x:c r="B1029" s="31" t="str">
        <x:v>category_requires_review</x:v>
      </x:c>
      <x:c r="C1029" s="37" t="str">
        <x:v>Therapeutic category is not explicitly provided by the source index.</x:v>
      </x:c>
      <x:c r="D1029" s="37" t="str">
        <x:v>https://drug.fda.moph.go.th/media.php?id=808610458117480448&amp;name=simvastatin_PIL.pdf</x:v>
      </x:c>
      <x:c r="E1029" s="39" t="str">
        <x:v>Open</x:v>
      </x:c>
    </x:row>
    <x:row r="1030">
      <x:c r="A1030" s="31" t="str">
        <x:v>sodium_alginate_sodium_bicarbonate_calcium_carbonate</x:v>
      </x:c>
      <x:c r="B1030" s="31" t="str">
        <x:v>category_requires_review</x:v>
      </x:c>
      <x:c r="C1030" s="37" t="str">
        <x:v>Therapeutic category is not explicitly provided by the source index.</x:v>
      </x:c>
      <x:c r="D1030" s="37" t="str">
        <x:v>https://drug.fda.moph.go.th/media.php?id=733940757777489920&amp;name=PIL_Sodium alginate + Sodium bicarbonate + Calcium carbonate ชนิดน้ำ.pdf</x:v>
      </x:c>
      <x:c r="E1030" s="39" t="str">
        <x:v>Open</x:v>
      </x:c>
    </x:row>
    <x:row r="1031">
      <x:c r="A1031" s="31" t="str">
        <x:v>sodium_bicarbonate</x:v>
      </x:c>
      <x:c r="B1031" s="31" t="str">
        <x:v>category_requires_review</x:v>
      </x:c>
      <x:c r="C1031" s="37" t="str">
        <x:v>Therapeutic category is not explicitly provided by the source index.</x:v>
      </x:c>
      <x:c r="D1031" s="37" t="str">
        <x:v>https://drug.fda.moph.go.th/media.php?id=810453894575562752&amp;name=SMPC_Sodium Bicarbonate_powder.pdf</x:v>
      </x:c>
      <x:c r="E1031" s="39" t="str">
        <x:v>Open</x:v>
      </x:c>
    </x:row>
    <x:row r="1032">
      <x:c r="A1032" s="31" t="str">
        <x:v>sodium_bicarbonate_peppermint_oil</x:v>
      </x:c>
      <x:c r="B1032" s="31" t="str">
        <x:v>missing_name_th</x:v>
      </x:c>
      <x:c r="C1032" s="37" t="str">
        <x:v>Thai drug name was not reliably extractable from the reference documents.</x:v>
      </x:c>
      <x:c r="D1032" s="37" t="str">
        <x:v>https://drug.fda.moph.go.th/media.php?id=733937916107169792&amp;name=PIL_Sodium bicarbonate + Peppermint oil (15032024).pdf</x:v>
      </x:c>
      <x:c r="E1032" s="39" t="str">
        <x:v>Open</x:v>
      </x:c>
    </x:row>
    <x:row r="1033">
      <x:c r="A1033" s="31" t="str">
        <x:v>sodium_bicarbonate_peppermint_oil</x:v>
      </x:c>
      <x:c r="B1033" s="31" t="str">
        <x:v>category_requires_review</x:v>
      </x:c>
      <x:c r="C1033" s="37" t="str">
        <x:v>Therapeutic category is not explicitly provided by the source index.</x:v>
      </x:c>
      <x:c r="D1033" s="37" t="str">
        <x:v>https://drug.fda.moph.go.th/media.php?id=733937916107169792&amp;name=PIL_Sodium bicarbonate + Peppermint oil (15032024).pdf</x:v>
      </x:c>
      <x:c r="E1033" s="39" t="str">
        <x:v>Open</x:v>
      </x:c>
    </x:row>
    <x:row r="1034">
      <x:c r="A1034" s="31" t="str">
        <x:v>sodium_chloride</x:v>
      </x:c>
      <x:c r="B1034" s="31" t="str">
        <x:v>category_requires_review</x:v>
      </x:c>
      <x:c r="C1034" s="37" t="str">
        <x:v>Therapeutic category is not explicitly provided by the source index.</x:v>
      </x:c>
      <x:c r="D1034" s="37" t="str">
        <x:v>https://drug.fda.moph.go.th/media.php?id=733937516763291648&amp;name=PIL_Sodium chloride_น้ำเกลือล้างแผล (150320204).pdf</x:v>
      </x:c>
      <x:c r="E1034" s="39" t="str">
        <x:v>Open</x:v>
      </x:c>
    </x:row>
    <x:row r="1035">
      <x:c r="A1035" s="31" t="str">
        <x:v>sodium_dihydrogen</x:v>
      </x:c>
      <x:c r="B1035" s="31" t="str">
        <x:v>missing_name_th</x:v>
      </x:c>
      <x:c r="C1035" s="37" t="str">
        <x:v>Thai drug name was not reliably extractable from the reference documents.</x:v>
      </x:c>
      <x:c r="D1035" s="37" t="str">
        <x:v>https://drug.fda.moph.go.th/media.php?id=810461583477186560&amp;name=SMPC_Sodium dihydrogen phosphate_enema.pdf</x:v>
      </x:c>
      <x:c r="E1035" s="39" t="str">
        <x:v>Open</x:v>
      </x:c>
    </x:row>
    <x:row r="1036">
      <x:c r="A1036" s="31" t="str">
        <x:v>sodium_dihydrogen</x:v>
      </x:c>
      <x:c r="B1036" s="31" t="str">
        <x:v>category_requires_review</x:v>
      </x:c>
      <x:c r="C1036" s="37" t="str">
        <x:v>Therapeutic category is not explicitly provided by the source index.</x:v>
      </x:c>
      <x:c r="D1036" s="37" t="str">
        <x:v>https://drug.fda.moph.go.th/media.php?id=810461583477186560&amp;name=SMPC_Sodium dihydrogen phosphate_enema.pdf</x:v>
      </x:c>
      <x:c r="E1036" s="39" t="str">
        <x:v>Open</x:v>
      </x:c>
    </x:row>
    <x:row r="1037">
      <x:c r="A1037" s="31" t="str">
        <x:v>sodium_phosphate</x:v>
      </x:c>
      <x:c r="B1037" s="31" t="str">
        <x:v>missing_name_th</x:v>
      </x:c>
      <x:c r="C1037" s="37" t="str">
        <x:v>Thai drug name was not reliably extractable from the reference documents.</x:v>
      </x:c>
      <x:c r="D1037" s="37" t="str">
        <x:v>https://drug.fda.moph.go.th/media.php?id=810462163935305728&amp;name=SMPC_Sodium phosphate_enema.pdf</x:v>
      </x:c>
      <x:c r="E1037" s="39" t="str">
        <x:v>Open</x:v>
      </x:c>
    </x:row>
    <x:row r="1038">
      <x:c r="A1038" s="31" t="str">
        <x:v>sodium_phosphate</x:v>
      </x:c>
      <x:c r="B1038" s="31" t="str">
        <x:v>category_requires_review</x:v>
      </x:c>
      <x:c r="C1038" s="37" t="str">
        <x:v>Therapeutic category is not explicitly provided by the source index.</x:v>
      </x:c>
      <x:c r="D1038" s="37" t="str">
        <x:v>https://drug.fda.moph.go.th/media.php?id=810462163935305728&amp;name=SMPC_Sodium phosphate_enema.pdf</x:v>
      </x:c>
      <x:c r="E1038" s="39" t="str">
        <x:v>Open</x:v>
      </x:c>
    </x:row>
    <x:row r="1039">
      <x:c r="A1039" s="31" t="str">
        <x:v>sodium_phosphate_sodium_biphosphate</x:v>
      </x:c>
      <x:c r="B1039" s="31" t="str">
        <x:v>missing_name_th</x:v>
      </x:c>
      <x:c r="C1039" s="37" t="str">
        <x:v>Thai drug name was not reliably extractable from the reference documents.</x:v>
      </x:c>
      <x:c r="D1039" s="37" t="str">
        <x:v>https://drug.fda.moph.go.th/media.php?id=733966685354205184&amp;name=pil_Sodium phosphate + Sodium biphosphate ENEMA.pdf</x:v>
      </x:c>
      <x:c r="E1039" s="39" t="str">
        <x:v>Open</x:v>
      </x:c>
    </x:row>
    <x:row r="1040">
      <x:c r="A1040" s="31" t="str">
        <x:v>sodium_phosphate_sodium_biphosphate</x:v>
      </x:c>
      <x:c r="B1040" s="31" t="str">
        <x:v>category_requires_review</x:v>
      </x:c>
      <x:c r="C1040" s="37" t="str">
        <x:v>Therapeutic category is not explicitly provided by the source index.</x:v>
      </x:c>
      <x:c r="D1040" s="37" t="str">
        <x:v>https://drug.fda.moph.go.th/media.php?id=733966685354205184&amp;name=pil_Sodium phosphate + Sodium biphosphate ENEMA.pdf</x:v>
      </x:c>
      <x:c r="E1040" s="39" t="str">
        <x:v>Open</x:v>
      </x:c>
    </x:row>
    <x:row r="1041">
      <x:c r="A1041" s="31" t="str">
        <x:v>sodium_thiosulfate</x:v>
      </x:c>
      <x:c r="B1041" s="31" t="str">
        <x:v>category_requires_review</x:v>
      </x:c>
      <x:c r="C1041" s="37" t="str">
        <x:v>Therapeutic category is not explicitly provided by the source index.</x:v>
      </x:c>
      <x:c r="D1041" s="37" t="str">
        <x:v>https://drug.fda.moph.go.th/media.php?id=733936327577444352&amp;name=PIL_ยารักษาเกลื้อน Sodium thiosulfate (15032024).pdf</x:v>
      </x:c>
      <x:c r="E1041" s="39" t="str">
        <x:v>Open</x:v>
      </x:c>
    </x:row>
    <x:row r="1042">
      <x:c r="A1042" s="31" t="str">
        <x:v>sodium_valproate</x:v>
      </x:c>
      <x:c r="B1042" s="31" t="str">
        <x:v>missing_name_th</x:v>
      </x:c>
      <x:c r="C1042" s="37" t="str">
        <x:v>Thai drug name was not reliably extractable from the reference documents.</x:v>
      </x:c>
      <x:c r="D1042" s="37" t="str">
        <x:v>https://drug.fda.moph.go.th/media.php?id=810462806720782336&amp;name=SMPC_Sodium Valproate_Enteric-coated tablet.pdf</x:v>
      </x:c>
      <x:c r="E1042" s="39" t="str">
        <x:v>Open</x:v>
      </x:c>
    </x:row>
    <x:row r="1043">
      <x:c r="A1043" s="31" t="str">
        <x:v>sodium_valproate</x:v>
      </x:c>
      <x:c r="B1043" s="31" t="str">
        <x:v>category_requires_review</x:v>
      </x:c>
      <x:c r="C1043" s="37" t="str">
        <x:v>Therapeutic category is not explicitly provided by the source index.</x:v>
      </x:c>
      <x:c r="D1043" s="37" t="str">
        <x:v>https://drug.fda.moph.go.th/media.php?id=810462806720782336&amp;name=SMPC_Sodium Valproate_Enteric-coated tablet.pdf</x:v>
      </x:c>
      <x:c r="E1043" s="39" t="str">
        <x:v>Open</x:v>
      </x:c>
    </x:row>
    <x:row r="1044">
      <x:c r="A1044" s="31" t="str">
        <x:v>sublimed_sulphur</x:v>
      </x:c>
      <x:c r="B1044" s="31" t="str">
        <x:v>missing_name_th</x:v>
      </x:c>
      <x:c r="C1044" s="37" t="str">
        <x:v>Thai drug name was not reliably extractable from the reference documents.</x:v>
      </x:c>
      <x:c r="D1044" s="37" t="str">
        <x:v>https://drug.fda.moph.go.th/media.php?id=733935842904645632&amp;name=PIL_Sublimed sulphur_ยารักษาหิด ขี้ผึ้งกำมะถัน (15032024).pdf</x:v>
      </x:c>
      <x:c r="E1044" s="39" t="str">
        <x:v>Open</x:v>
      </x:c>
    </x:row>
    <x:row r="1045">
      <x:c r="A1045" s="31" t="str">
        <x:v>sublimed_sulphur</x:v>
      </x:c>
      <x:c r="B1045" s="31" t="str">
        <x:v>category_requires_review</x:v>
      </x:c>
      <x:c r="C1045" s="37" t="str">
        <x:v>Therapeutic category is not explicitly provided by the source index.</x:v>
      </x:c>
      <x:c r="D1045" s="37" t="str">
        <x:v>https://drug.fda.moph.go.th/media.php?id=733935842904645632&amp;name=PIL_Sublimed sulphur_ยารักษาหิด ขี้ผึ้งกำมะถัน (15032024).pdf</x:v>
      </x:c>
      <x:c r="E1045" s="39" t="str">
        <x:v>Open</x:v>
      </x:c>
    </x:row>
    <x:row r="1046">
      <x:c r="A1046" s="31" t="str">
        <x:v>sucralfate</x:v>
      </x:c>
      <x:c r="B1046" s="31" t="str">
        <x:v>category_requires_review</x:v>
      </x:c>
      <x:c r="C1046" s="37" t="str">
        <x:v>Therapeutic category is not explicitly provided by the source index.</x:v>
      </x:c>
      <x:c r="D1046" s="37" t="str">
        <x:v>https://drug.fda.moph.go.th/media.php?id=730445749044781056&amp;name=pil_Sucralfate (ORAL SUSPENSION).pdf</x:v>
      </x:c>
      <x:c r="E1046" s="39" t="str">
        <x:v>Open</x:v>
      </x:c>
    </x:row>
    <x:row r="1047">
      <x:c r="A1047" s="31" t="str">
        <x:v>sulfasalazine</x:v>
      </x:c>
      <x:c r="B1047" s="31" t="str">
        <x:v>category_requires_review</x:v>
      </x:c>
      <x:c r="C1047" s="37" t="str">
        <x:v>Therapeutic category is not explicitly provided by the source index.</x:v>
      </x:c>
      <x:c r="D1047" s="37" t="str">
        <x:v>https://drug.fda.moph.go.th/media.php?id=730445434027384832&amp;name=pil_Sulfasalazine (ENTERIC COATED TABLET 500 mg).pdf</x:v>
      </x:c>
      <x:c r="E1047" s="39" t="str">
        <x:v>Open</x:v>
      </x:c>
    </x:row>
    <x:row r="1048">
      <x:c r="A1048" s="31" t="str">
        <x:v>tamoxifen</x:v>
      </x:c>
      <x:c r="B1048" s="31" t="str">
        <x:v>category_requires_review</x:v>
      </x:c>
      <x:c r="C1048" s="37" t="str">
        <x:v>Therapeutic category is not explicitly provided by the source index.</x:v>
      </x:c>
      <x:c r="D1048" s="37" t="str">
        <x:v>https://drug.fda.moph.go.th/media.php?id=810464618991460352&amp;name=SMPC_Tamoxifen_Tablets.pdf</x:v>
      </x:c>
      <x:c r="E1048" s="39" t="str">
        <x:v>Open</x:v>
      </x:c>
    </x:row>
    <x:row r="1049">
      <x:c r="A1049" s="31" t="str">
        <x:v>teicoplanin</x:v>
      </x:c>
      <x:c r="B1049" s="31" t="str">
        <x:v>missing_name_th</x:v>
      </x:c>
      <x:c r="C1049" s="37" t="str">
        <x:v>Thai drug name was not reliably extractable from the reference documents.</x:v>
      </x:c>
      <x:c r="D1049" s="37" t="str">
        <x:v>https://drug.fda.moph.go.th/media.php?id=810465319775772672&amp;name=SMPC_Teicoplanin_powder for solution for injection-infusion or oral solution.pdf</x:v>
      </x:c>
      <x:c r="E1049" s="39" t="str">
        <x:v>Open</x:v>
      </x:c>
    </x:row>
    <x:row r="1050">
      <x:c r="A1050" s="31" t="str">
        <x:v>teicoplanin</x:v>
      </x:c>
      <x:c r="B1050" s="31" t="str">
        <x:v>category_requires_review</x:v>
      </x:c>
      <x:c r="C1050" s="37" t="str">
        <x:v>Therapeutic category is not explicitly provided by the source index.</x:v>
      </x:c>
      <x:c r="D1050" s="37" t="str">
        <x:v>https://drug.fda.moph.go.th/media.php?id=810465319775772672&amp;name=SMPC_Teicoplanin_powder for solution for injection-infusion or oral solution.pdf</x:v>
      </x:c>
      <x:c r="E1050" s="39" t="str">
        <x:v>Open</x:v>
      </x:c>
    </x:row>
    <x:row r="1051">
      <x:c r="A1051" s="31" t="str">
        <x:v>tenoxicam</x:v>
      </x:c>
      <x:c r="B1051" s="31" t="str">
        <x:v>missing_name_th</x:v>
      </x:c>
      <x:c r="C1051" s="37" t="str">
        <x:v>Thai drug name was not reliably extractable from the reference documents.</x:v>
      </x:c>
      <x:c r="D1051" s="37" t="str">
        <x:v>https://drug.fda.moph.go.th/media.php?id=810466026549551104&amp;name=SMPC_Tenoxicam_Tablets.pdf</x:v>
      </x:c>
      <x:c r="E1051" s="39" t="str">
        <x:v>Open</x:v>
      </x:c>
    </x:row>
    <x:row r="1052">
      <x:c r="A1052" s="31" t="str">
        <x:v>tenoxicam</x:v>
      </x:c>
      <x:c r="B1052" s="31" t="str">
        <x:v>category_requires_review</x:v>
      </x:c>
      <x:c r="C1052" s="37" t="str">
        <x:v>Therapeutic category is not explicitly provided by the source index.</x:v>
      </x:c>
      <x:c r="D1052" s="37" t="str">
        <x:v>https://drug.fda.moph.go.th/media.php?id=810466026549551104&amp;name=SMPC_Tenoxicam_Tablets.pdf</x:v>
      </x:c>
      <x:c r="E1052" s="39" t="str">
        <x:v>Open</x:v>
      </x:c>
    </x:row>
    <x:row r="1053">
      <x:c r="A1053" s="31" t="str">
        <x:v>terbutaline</x:v>
      </x:c>
      <x:c r="B1053" s="31" t="str">
        <x:v>category_requires_review</x:v>
      </x:c>
      <x:c r="C1053" s="37" t="str">
        <x:v>Therapeutic category is not explicitly provided by the source index.</x:v>
      </x:c>
      <x:c r="D1053" s="37" t="str">
        <x:v>https://drug.fda.moph.go.th/media.php?id=808611557641691136&amp;name=Terbutaline_compressedTablet_PIL.pdf</x:v>
      </x:c>
      <x:c r="E1053" s="39" t="str">
        <x:v>Open</x:v>
      </x:c>
    </x:row>
    <x:row r="1054">
      <x:c r="A1054" s="31" t="str">
        <x:v>tetracycline</x:v>
      </x:c>
      <x:c r="B1054" s="31" t="str">
        <x:v>category_requires_review</x:v>
      </x:c>
      <x:c r="C1054" s="37" t="str">
        <x:v>Therapeutic category is not explicitly provided by the source index.</x:v>
      </x:c>
      <x:c r="D1054" s="37" t="str">
        <x:v>https://drug.fda.moph.go.th/media.php?id=730445324153397248&amp;name=pil_Tetracycline hydrochloride (CAPSULE, HARD).pdf</x:v>
      </x:c>
      <x:c r="E1054" s="39" t="str">
        <x:v>Open</x:v>
      </x:c>
    </x:row>
    <x:row r="1055">
      <x:c r="A1055" s="31" t="str">
        <x:v>theophylline</x:v>
      </x:c>
      <x:c r="B1055" s="31" t="str">
        <x:v>category_requires_review</x:v>
      </x:c>
      <x:c r="C1055" s="37" t="str">
        <x:v>Therapeutic category is not explicitly provided by the source index.</x:v>
      </x:c>
      <x:c r="D1055" s="37" t="str">
        <x:v>https://drug.fda.moph.go.th/media.php?id=808611857748336640&amp;name=Theophylline_compressedTablet_PIL.pdf</x:v>
      </x:c>
      <x:c r="E1055" s="39" t="str">
        <x:v>Open</x:v>
      </x:c>
    </x:row>
    <x:row r="1056">
      <x:c r="A1056" s="31" t="str">
        <x:v>thiamine</x:v>
      </x:c>
      <x:c r="B1056" s="31" t="str">
        <x:v>category_requires_review</x:v>
      </x:c>
      <x:c r="C1056" s="37" t="str">
        <x:v>Therapeutic category is not explicitly provided by the source index.</x:v>
      </x:c>
      <x:c r="D1056" s="37" t="str">
        <x:v>https://drug.fda.moph.go.th/media.php?id=730445219878805504&amp;name=pil_Thiamine hydrochloride (TABLET).pdf</x:v>
      </x:c>
      <x:c r="E1056" s="39" t="str">
        <x:v>Open</x:v>
      </x:c>
    </x:row>
    <x:row r="1057">
      <x:c r="A1057" s="31" t="str">
        <x:v>thimerosal</x:v>
      </x:c>
      <x:c r="B1057" s="31" t="str">
        <x:v>category_requires_review</x:v>
      </x:c>
      <x:c r="C1057" s="37" t="str">
        <x:v>Therapeutic category is not explicitly provided by the source index.</x:v>
      </x:c>
      <x:c r="D1057" s="37" t="str">
        <x:v>https://drug.fda.moph.go.th/media.php?id=733935364602994688&amp;name=PIL_Thimerosal ยาใส่แผลทิงเจอร์ (15032024).pdf</x:v>
      </x:c>
      <x:c r="E1057" s="39" t="str">
        <x:v>Open</x:v>
      </x:c>
    </x:row>
    <x:row r="1058">
      <x:c r="A1058" s="31" t="str">
        <x:v>thioridazine</x:v>
      </x:c>
      <x:c r="B1058" s="31" t="str">
        <x:v>category_requires_review</x:v>
      </x:c>
      <x:c r="C1058" s="37" t="str">
        <x:v>Therapeutic category is not explicitly provided by the source index.</x:v>
      </x:c>
      <x:c r="D1058" s="37" t="str">
        <x:v>https://drug.fda.moph.go.th/media.php?id=808612106248265728&amp;name=Thioridazine hydrochloride_sugarCoatedTablet_PIL.pdf</x:v>
      </x:c>
      <x:c r="E1058" s="39" t="str">
        <x:v>Open</x:v>
      </x:c>
    </x:row>
    <x:row r="1059">
      <x:c r="A1059" s="31" t="str">
        <x:v>thyrothricin_benzocaine</x:v>
      </x:c>
      <x:c r="B1059" s="31" t="str">
        <x:v>missing_name_th</x:v>
      </x:c>
      <x:c r="C1059" s="37" t="str">
        <x:v>Thai drug name was not reliably extractable from the reference documents.</x:v>
      </x:c>
      <x:c r="D1059" s="37" t="str">
        <x:v>https://drug.fda.moph.go.th/media.php?id=810481677779476480&amp;name=SMPC_Tyrothricin and Benzocaine_Lozenge.pdf</x:v>
      </x:c>
      <x:c r="E1059" s="39" t="str">
        <x:v>Open</x:v>
      </x:c>
    </x:row>
    <x:row r="1060">
      <x:c r="A1060" s="31" t="str">
        <x:v>thyrothricin_benzocaine</x:v>
      </x:c>
      <x:c r="B1060" s="31" t="str">
        <x:v>category_requires_review</x:v>
      </x:c>
      <x:c r="C1060" s="37" t="str">
        <x:v>Therapeutic category is not explicitly provided by the source index.</x:v>
      </x:c>
      <x:c r="D1060" s="37" t="str">
        <x:v>https://drug.fda.moph.go.th/media.php?id=810481677779476480&amp;name=SMPC_Tyrothricin and Benzocaine_Lozenge.pdf</x:v>
      </x:c>
      <x:c r="E1060" s="39" t="str">
        <x:v>Open</x:v>
      </x:c>
    </x:row>
    <x:row r="1061">
      <x:c r="A1061" s="31" t="str">
        <x:v>timolol</x:v>
      </x:c>
      <x:c r="B1061" s="31" t="str">
        <x:v>category_requires_review</x:v>
      </x:c>
      <x:c r="C1061" s="37" t="str">
        <x:v>Therapeutic category is not explicitly provided by the source index.</x:v>
      </x:c>
      <x:c r="D1061" s="37" t="str">
        <x:v>https://drug.fda.moph.go.th/media.php?id=810482237991690240&amp;name=SMPC_Timolol_Eye Drops Solution.pdf</x:v>
      </x:c>
      <x:c r="E1061" s="39" t="str">
        <x:v>Open</x:v>
      </x:c>
    </x:row>
    <x:row r="1062">
      <x:c r="A1062" s="31" t="str">
        <x:v>tinidazole</x:v>
      </x:c>
      <x:c r="B1062" s="31" t="str">
        <x:v>category_requires_review</x:v>
      </x:c>
      <x:c r="C1062" s="37" t="str">
        <x:v>Therapeutic category is not explicitly provided by the source index.</x:v>
      </x:c>
      <x:c r="D1062" s="37" t="str">
        <x:v>https://drug.fda.moph.go.th/media.php?id=808854193703100416&amp;name=Tinidazole_capsuleCompressedTabletFilmCoatedTabletEntericFilmCoatedTablet_PIL.pdf</x:v>
      </x:c>
      <x:c r="E1062" s="39" t="str">
        <x:v>Open</x:v>
      </x:c>
    </x:row>
    <x:row r="1063">
      <x:c r="A1063" s="31" t="str">
        <x:v>tocopherol</x:v>
      </x:c>
      <x:c r="B1063" s="31" t="str">
        <x:v>category_requires_review</x:v>
      </x:c>
      <x:c r="C1063" s="37" t="str">
        <x:v>Therapeutic category is not explicitly provided by the source index.</x:v>
      </x:c>
      <x:c r="D1063" s="37" t="str">
        <x:v>https://drug.fda.moph.go.th/media.php?id=730443346484535296&amp;name=pil_Tocopherol (CAPSULE, SOFT).pdf</x:v>
      </x:c>
      <x:c r="E1063" s="39" t="str">
        <x:v>Open</x:v>
      </x:c>
    </x:row>
    <x:row r="1064">
      <x:c r="A1064" s="31" t="str">
        <x:v>tramadol</x:v>
      </x:c>
      <x:c r="B1064" s="31" t="str">
        <x:v>category_requires_review</x:v>
      </x:c>
      <x:c r="C1064" s="37" t="str">
        <x:v>Therapeutic category is not explicitly provided by the source index.</x:v>
      </x:c>
      <x:c r="D1064" s="37" t="str">
        <x:v>https://drug.fda.moph.go.th/media.php?id=808855984142426112&amp;name=Tramadol_capsuleCompressedtablet_PIL.pdf</x:v>
      </x:c>
      <x:c r="E1064" s="39" t="str">
        <x:v>Open</x:v>
      </x:c>
    </x:row>
    <x:row r="1065">
      <x:c r="A1065" s="31" t="str">
        <x:v>trazodone</x:v>
      </x:c>
      <x:c r="B1065" s="31" t="str">
        <x:v>category_requires_review</x:v>
      </x:c>
      <x:c r="C1065" s="37" t="str">
        <x:v>Therapeutic category is not explicitly provided by the source index.</x:v>
      </x:c>
      <x:c r="D1065" s="37" t="str">
        <x:v>https://drug.fda.moph.go.th/media.php?id=810484413367459840&amp;name=SMPC_Trazodone_Tablets.pdf</x:v>
      </x:c>
      <x:c r="E1065" s="39" t="str">
        <x:v>Open</x:v>
      </x:c>
    </x:row>
    <x:row r="1066">
      <x:c r="A1066" s="31" t="str">
        <x:v>tretinoin</x:v>
      </x:c>
      <x:c r="B1066" s="31" t="str">
        <x:v>missing_name_th</x:v>
      </x:c>
      <x:c r="C1066" s="37" t="str">
        <x:v>Thai drug name was not reliably extractable from the reference documents.</x:v>
      </x:c>
      <x:c r="D1066" s="37" t="str">
        <x:v>https://drug.fda.moph.go.th/media.php?id=810484794516447232&amp;name=SMPC_Tretinoin_Gel.pdf</x:v>
      </x:c>
      <x:c r="E1066" s="39" t="str">
        <x:v>Open</x:v>
      </x:c>
    </x:row>
    <x:row r="1067">
      <x:c r="A1067" s="31" t="str">
        <x:v>tretinoin</x:v>
      </x:c>
      <x:c r="B1067" s="31" t="str">
        <x:v>category_requires_review</x:v>
      </x:c>
      <x:c r="C1067" s="37" t="str">
        <x:v>Therapeutic category is not explicitly provided by the source index.</x:v>
      </x:c>
      <x:c r="D1067" s="37" t="str">
        <x:v>https://drug.fda.moph.go.th/media.php?id=810484794516447232&amp;name=SMPC_Tretinoin_Gel.pdf</x:v>
      </x:c>
      <x:c r="E1067" s="39" t="str">
        <x:v>Open</x:v>
      </x:c>
    </x:row>
    <x:row r="1068">
      <x:c r="A1068" s="31" t="str">
        <x:v>triamcinolone_acetonide</x:v>
      </x:c>
      <x:c r="B1068" s="31" t="str">
        <x:v>category_requires_review</x:v>
      </x:c>
      <x:c r="C1068" s="37" t="str">
        <x:v>Therapeutic category is not explicitly provided by the source index.</x:v>
      </x:c>
      <x:c r="D1068" s="37" t="str">
        <x:v>https://drug.fda.moph.go.th/media.php?id=730442794375716864&amp;name=pil_Triamcinolone acetonide (CREAM - LOTION).pdf</x:v>
      </x:c>
      <x:c r="E1068" s="39" t="str">
        <x:v>Open</x:v>
      </x:c>
    </x:row>
    <x:row r="1069">
      <x:c r="A1069" s="31" t="str">
        <x:v>trifluoperazine</x:v>
      </x:c>
      <x:c r="B1069" s="31" t="str">
        <x:v>missing_name_th</x:v>
      </x:c>
      <x:c r="C1069" s="37" t="str">
        <x:v>Thai drug name was not reliably extractable from the reference documents.</x:v>
      </x:c>
      <x:c r="D1069" s="37" t="str">
        <x:v>https://drug.fda.moph.go.th/media.php?id=810493611467743232&amp;name=SMPC_Trifluoperazine_Tablets.pdf</x:v>
      </x:c>
      <x:c r="E1069" s="39" t="str">
        <x:v>Open</x:v>
      </x:c>
    </x:row>
    <x:row r="1070">
      <x:c r="A1070" s="31" t="str">
        <x:v>trifluoperazine</x:v>
      </x:c>
      <x:c r="B1070" s="31" t="str">
        <x:v>category_requires_review</x:v>
      </x:c>
      <x:c r="C1070" s="37" t="str">
        <x:v>Therapeutic category is not explicitly provided by the source index.</x:v>
      </x:c>
      <x:c r="D1070" s="37" t="str">
        <x:v>https://drug.fda.moph.go.th/media.php?id=810493611467743232&amp;name=SMPC_Trifluoperazine_Tablets.pdf</x:v>
      </x:c>
      <x:c r="E1070" s="39" t="str">
        <x:v>Open</x:v>
      </x:c>
    </x:row>
    <x:row r="1071">
      <x:c r="A1071" s="31" t="str">
        <x:v>trimethoprim_sulfamethoxazole</x:v>
      </x:c>
      <x:c r="B1071" s="31" t="str">
        <x:v>missing_name_th</x:v>
      </x:c>
      <x:c r="C1071" s="37" t="str">
        <x:v>Thai drug name was not reliably extractable from the reference documents.</x:v>
      </x:c>
      <x:c r="D1071" s="37" t="str">
        <x:v>https://drug.fda.moph.go.th/media.php?id=810494133834752000&amp;name=SMPC_Trimethoprim + Sulfamethoxazole_Solution for Infusion.pdf</x:v>
      </x:c>
      <x:c r="E1071" s="39" t="str">
        <x:v>Open</x:v>
      </x:c>
    </x:row>
    <x:row r="1072">
      <x:c r="A1072" s="31" t="str">
        <x:v>trimethoprim_sulfamethoxazole</x:v>
      </x:c>
      <x:c r="B1072" s="31" t="str">
        <x:v>category_requires_review</x:v>
      </x:c>
      <x:c r="C1072" s="37" t="str">
        <x:v>Therapeutic category is not explicitly provided by the source index.</x:v>
      </x:c>
      <x:c r="D1072" s="37" t="str">
        <x:v>https://drug.fda.moph.go.th/media.php?id=810494133834752000&amp;name=SMPC_Trimethoprim + Sulfamethoxazole_Solution for Infusion.pdf</x:v>
      </x:c>
      <x:c r="E1072" s="39" t="str">
        <x:v>Open</x:v>
      </x:c>
    </x:row>
    <x:row r="1073">
      <x:c r="A1073" s="31" t="str">
        <x:v>verapamil</x:v>
      </x:c>
      <x:c r="B1073" s="31" t="str">
        <x:v>category_requires_review</x:v>
      </x:c>
      <x:c r="C1073" s="37" t="str">
        <x:v>Therapeutic category is not explicitly provided by the source index.</x:v>
      </x:c>
      <x:c r="D1073" s="37" t="str">
        <x:v>https://drug.fda.moph.go.th/media.php?id=730442671180619776&amp;name=pil_Verapamil hydrochloride (TABLET 40 mg, 80 mg).pdf</x:v>
      </x:c>
      <x:c r="E1073" s="39" t="str">
        <x:v>Open</x:v>
      </x:c>
    </x:row>
    <x:row r="1074">
      <x:c r="A1074" s="31" t="str">
        <x:v>vitamin_b1_b6_b12</x:v>
      </x:c>
      <x:c r="B1074" s="31" t="str">
        <x:v>category_requires_review</x:v>
      </x:c>
      <x:c r="C1074" s="37" t="str">
        <x:v>Therapeutic category is not explicitly provided by the source index.</x:v>
      </x:c>
      <x:c r="D1074" s="37" t="str">
        <x:v>https://drug.fda.moph.go.th/media.php?id=808856449353654272&amp;name=VitaminB1B6B12_tablet_PIL.pdf</x:v>
      </x:c>
      <x:c r="E1074" s="39" t="str">
        <x:v>Open</x:v>
      </x:c>
    </x:row>
    <x:row r="1075">
      <x:c r="A1075" s="31" t="str">
        <x:v>vitamin_b_complex</x:v>
      </x:c>
      <x:c r="B1075" s="31" t="str">
        <x:v>category_requires_review</x:v>
      </x:c>
      <x:c r="C1075" s="37" t="str">
        <x:v>Therapeutic category is not explicitly provided by the source index.</x:v>
      </x:c>
      <x:c r="D1075" s="37" t="str">
        <x:v>https://drug.fda.moph.go.th/media.php?id=733934898674540544&amp;name=PIL_Vitamin B-complex ชนิดเม็ดและแคปซูล_(11042024).pdf</x:v>
      </x:c>
      <x:c r="E1075" s="39" t="str">
        <x:v>Open</x:v>
      </x:c>
    </x:row>
    <x:row r="1076">
      <x:c r="A1076" s="31" t="str">
        <x:v>vitamin_c</x:v>
      </x:c>
      <x:c r="B1076" s="31" t="str">
        <x:v>category_requires_review</x:v>
      </x:c>
      <x:c r="C1076" s="37" t="str">
        <x:v>Therapeutic category is not explicitly provided by the source index.</x:v>
      </x:c>
      <x:c r="D1076" s="37" t="str">
        <x:v>https://drug.fda.moph.go.th/media.php?id=733933363483779072&amp;name=PIL ยาเม็ดวิตามินซี (15032024).pdf</x:v>
      </x:c>
      <x:c r="E1076" s="39" t="str">
        <x:v>Open</x:v>
      </x:c>
    </x:row>
    <x:row r="1077">
      <x:c r="A1077" s="31" t="str">
        <x:v>water_for_injection</x:v>
      </x:c>
      <x:c r="B1077" s="31" t="str">
        <x:v>missing_name_th</x:v>
      </x:c>
      <x:c r="C1077" s="37" t="str">
        <x:v>Thai drug name was not reliably extractable from the reference documents.</x:v>
      </x:c>
      <x:c r="D1077" s="37" t="str">
        <x:v>https://drug.fda.moph.go.th/media.php?id=810494575130058752&amp;name=SMPC_Water for Injections_solvent for parenteral use.pdf</x:v>
      </x:c>
      <x:c r="E1077" s="39" t="str">
        <x:v>Open</x:v>
      </x:c>
    </x:row>
    <x:row r="1078">
      <x:c r="A1078" s="31" t="str">
        <x:v>water_for_injection</x:v>
      </x:c>
      <x:c r="B1078" s="31" t="str">
        <x:v>category_requires_review</x:v>
      </x:c>
      <x:c r="C1078" s="37" t="str">
        <x:v>Therapeutic category is not explicitly provided by the source index.</x:v>
      </x:c>
      <x:c r="D1078" s="37" t="str">
        <x:v>https://drug.fda.moph.go.th/media.php?id=810494575130058752&amp;name=SMPC_Water for Injections_solvent for parenteral use.pdf</x:v>
      </x:c>
      <x:c r="E1078" s="39" t="str">
        <x:v>Open</x:v>
      </x:c>
    </x:row>
    <x:row r="1079">
      <x:c r="A1079" s="31" t="str">
        <x:v>zidovudine</x:v>
      </x:c>
      <x:c r="B1079" s="31" t="str">
        <x:v>missing_name_th</x:v>
      </x:c>
      <x:c r="C1079" s="37" t="str">
        <x:v>Thai drug name was not reliably extractable from the reference documents.</x:v>
      </x:c>
      <x:c r="D1079" s="37" t="str">
        <x:v>https://drug.fda.moph.go.th/media.php?id=810494978483691520&amp;name=SMPC_Zidovudine_Capsules.pdf</x:v>
      </x:c>
      <x:c r="E1079" s="39" t="str">
        <x:v>Open</x:v>
      </x:c>
    </x:row>
    <x:row r="1080">
      <x:c r="A1080" s="31" t="str">
        <x:v>zidovudine</x:v>
      </x:c>
      <x:c r="B1080" s="31" t="str">
        <x:v>category_requires_review</x:v>
      </x:c>
      <x:c r="C1080" s="37" t="str">
        <x:v>Therapeutic category is not explicitly provided by the source index.</x:v>
      </x:c>
      <x:c r="D1080" s="37" t="str">
        <x:v>https://drug.fda.moph.go.th/media.php?id=810494978483691520&amp;name=SMPC_Zidovudine_Capsules.pdf</x:v>
      </x:c>
      <x:c r="E1080" s="39" t="str">
        <x:v>Open</x:v>
      </x:c>
    </x:row>
    <x:row r="1081">
      <x:c r="A1081" s="31" t="str">
        <x:v>zinc_oxide</x:v>
      </x:c>
      <x:c r="B1081" s="31" t="str">
        <x:v>category_requires_review</x:v>
      </x:c>
      <x:c r="C1081" s="37" t="str">
        <x:v>Therapeutic category is not explicitly provided by the source index.</x:v>
      </x:c>
      <x:c r="D1081" s="37" t="str">
        <x:v>https://drug.fda.moph.go.th/media.php?id=730441990902259712&amp;name=pil_Zinc oxide (CREAM).pdf</x:v>
      </x:c>
      <x:c r="E1081" s="39" t="str">
        <x:v>Open</x:v>
      </x:c>
    </x:row>
    <x:row r="1082">
      <x:c r="A1082" s="31" t="str">
        <x:v>zinc</x:v>
      </x:c>
      <x:c r="B1082" s="31" t="str">
        <x:v>category_requires_review</x:v>
      </x:c>
      <x:c r="C1082" s="37" t="str">
        <x:v>Therapeutic category is not explicitly provided by the source index.</x:v>
      </x:c>
      <x:c r="D1082" s="37" t="str">
        <x:v>https://drug.fda.moph.go.th/media.php?id=730442096309313536&amp;name=pil_Zinc sulfate (TABLET - CAPSULE, HARD).pdf</x:v>
      </x:c>
      <x:c r="E1082" s="39" t="str">
        <x:v>Open</x:v>
      </x:c>
    </x:row>
    <x:row r="1083">
      <x:c r="A1083" s="31" t="str">
        <x:v>drug_cdacb08fe5</x:v>
      </x:c>
      <x:c r="B1083" s="31" t="str">
        <x:v>category_requires_review</x:v>
      </x:c>
      <x:c r="C1083" s="37" t="str">
        <x:v>Therapeutic category is not explicitly provided by the source index.</x:v>
      </x:c>
      <x:c r="D1083" s="37" t="str">
        <x:v>https://drug.fda.moph.go.th/media.php?id=733928051582312448&amp;name=PIL asafetida tincture_ทิงเจอร์มหาหิงคุ์ (15032024).pdf</x:v>
      </x:c>
      <x:c r="E1083" s="39" t="str">
        <x:v>Open</x:v>
      </x:c>
    </x:row>
    <x:row r="1084">
      <x:c r="A1084" s="31" t="str">
        <x:v>drug_a56a456d37</x:v>
      </x:c>
      <x:c r="B1084" s="31" t="str">
        <x:v>category_requires_review</x:v>
      </x:c>
      <x:c r="C1084" s="37" t="str">
        <x:v>Therapeutic category is not explicitly provided by the source index.</x:v>
      </x:c>
      <x:c r="D1084" s="37" t="str">
        <x:v>https://drug.fda.moph.go.th/media.php?id=733933046130155520&amp;name=PIL น้ำมันตับปลาชนิดแคปซูล (15032024).pdf</x:v>
      </x:c>
      <x:c r="E1084" s="39" t="str">
        <x:v>Open</x:v>
      </x:c>
    </x:row>
    <x:row r="1085">
      <x:c r="A1085" s="31" t="str">
        <x:v>drug_27c03b94af</x:v>
      </x:c>
      <x:c r="B1085" s="31" t="str">
        <x:v>missing_name_th</x:v>
      </x:c>
      <x:c r="C1085" s="37" t="str">
        <x:v>Thai drug name was not reliably extractable from the reference documents.</x:v>
      </x:c>
      <x:c r="D1085" s="37" t="str">
        <x:v>https://drug.fda.moph.go.th/media.php?id=733932929000022016&amp;name=PIL พลาสเตอร์บรรเทาปวด (15032024).pdf</x:v>
      </x:c>
      <x:c r="E1085" s="39" t="str">
        <x:v>Open</x:v>
      </x:c>
    </x:row>
    <x:row r="1086">
      <x:c r="A1086" s="31" t="str">
        <x:v>drug_27c03b94af</x:v>
      </x:c>
      <x:c r="B1086" s="31" t="str">
        <x:v>category_requires_review</x:v>
      </x:c>
      <x:c r="C1086" s="37" t="str">
        <x:v>Therapeutic category is not explicitly provided by the source index.</x:v>
      </x:c>
      <x:c r="D1086" s="37" t="str">
        <x:v>https://drug.fda.moph.go.th/media.php?id=733932929000022016&amp;name=PIL พลาสเตอร์บรรเทาปวด (15032024).pdf</x:v>
      </x:c>
      <x:c r="E1086" s="39" t="str">
        <x:v>Open</x:v>
      </x:c>
    </x:row>
    <x:row r="1087">
      <x:c r="A1087" s="31" t="str">
        <x:v>drug_3ed2c8244f</x:v>
      </x:c>
      <x:c r="B1087" s="31" t="str">
        <x:v>category_requires_review</x:v>
      </x:c>
      <x:c r="C1087" s="37" t="str">
        <x:v>Therapeutic category is not explicitly provided by the source index.</x:v>
      </x:c>
      <x:c r="D1087" s="37" t="str">
        <x:v>https://drug.fda.moph.go.th/media.php?id=733932148049977344&amp;name=PIL ยาแก้ไอขับเสมหะสำหรับเด็ก (15032024).pdf</x:v>
      </x:c>
      <x:c r="E1087" s="39" t="str">
        <x:v>Open</x:v>
      </x:c>
    </x:row>
    <x:row r="1088">
      <x:c r="A1088" s="31" t="str">
        <x:v>drug_9d2a2ed6b2</x:v>
      </x:c>
      <x:c r="B1088" s="31" t="str">
        <x:v>category_requires_review</x:v>
      </x:c>
      <x:c r="C1088" s="37" t="str">
        <x:v>Therapeutic category is not explicitly provided by the source index.</x:v>
      </x:c>
      <x:c r="D1088" s="37" t="str">
        <x:v>https://drug.fda.moph.go.th/media.php?id=733931981942956032&amp;name=PIL ยาแก้ไอน้ำดำ (15032024).pdf</x:v>
      </x:c>
      <x:c r="E1088" s="39" t="str">
        <x:v>Open</x:v>
      </x:c>
    </x:row>
    <x:row r="1089">
      <x:c r="A1089" s="31" t="str">
        <x:v>drug_e5698924be</x:v>
      </x:c>
      <x:c r="B1089" s="31" t="str">
        <x:v>category_requires_review</x:v>
      </x:c>
      <x:c r="C1089" s="37" t="str">
        <x:v>Therapeutic category is not explicitly provided by the source index.</x:v>
      </x:c>
      <x:c r="D1089" s="37" t="str">
        <x:v>https://drug.fda.moph.go.th/media.php?id=733932285426016256&amp;name=PIL_ยาธาตุน้ำแดง_update (15032024).pdf</x:v>
      </x:c>
      <x:c r="E1089" s="39" t="str">
        <x:v>Open</x:v>
      </x:c>
    </x:row>
    <x:row r="1090">
      <x:c r="A1090" s="31" t="str">
        <x:v>drug_a6f4c03545</x:v>
      </x:c>
      <x:c r="B1090" s="31" t="str">
        <x:v>category_requires_review</x:v>
      </x:c>
      <x:c r="C1090" s="37" t="str">
        <x:v>Therapeutic category is not explicitly provided by the source index.</x:v>
      </x:c>
      <x:c r="D1090" s="37" t="str">
        <x:v>https://drug.fda.moph.go.th/media.php?id=733929159822286848&amp;name=PIL ยาใส่แผลทิงเจอร์ไอโอดีน (17102024).pdf</x:v>
      </x:c>
      <x:c r="E1090" s="39" t="str">
        <x:v>Open</x:v>
      </x:c>
    </x:row>
    <x:row r="1091">
      <x:c r="A1091" s="31" t="str">
        <x:v>drug_81f7f5bc2d</x:v>
      </x:c>
      <x:c r="B1091" s="31" t="str">
        <x:v>category_requires_review</x:v>
      </x:c>
      <x:c r="C1091" s="37" t="str">
        <x:v>Therapeutic category is not explicitly provided by the source index.</x:v>
      </x:c>
      <x:c r="D1091" s="37" t="str">
        <x:v>https://drug.fda.moph.go.th/media.php?id=733932669158694912&amp;name=PIL ยากวาดคอ (150320204).pdf</x:v>
      </x:c>
      <x:c r="E1091" s="39" t="str">
        <x:v>Open</x:v>
      </x:c>
    </x:row>
    <x:row r="1092">
      <x:c r="A1092" s="31" t="str">
        <x:v>drug_0ec240fe15</x:v>
      </x:c>
      <x:c r="B1092" s="31" t="str">
        <x:v>category_requires_review</x:v>
      </x:c>
      <x:c r="C1092" s="37" t="str">
        <x:v>Therapeutic category is not explicitly provided by the source index.</x:v>
      </x:c>
      <x:c r="D1092" s="37" t="str">
        <x:v>https://drug.fda.moph.go.th/media.php?id=733930253092790272&amp;name=PIL ยาขับลม (15032024).pdf</x:v>
      </x:c>
      <x:c r="E1092" s="39" t="str">
        <x:v>Open</x:v>
      </x:c>
    </x:row>
    <x:row r="1093">
      <x:c r="A1093" s="31" t="str">
        <x:v>drug_b4b2b3db2d</x:v>
      </x:c>
      <x:c r="B1093" s="31" t="str">
        <x:v>category_requires_review</x:v>
      </x:c>
      <x:c r="C1093" s="37" t="str">
        <x:v>Therapeutic category is not explicitly provided by the source index.</x:v>
      </x:c>
      <x:c r="D1093" s="37" t="str">
        <x:v>https://drug.fda.moph.go.th/media.php?id=733929846647955456&amp;name=PIL ยาดมแก้วิงเวียนเหล้าแอมโมเนียหอม (15032024).pdf</x:v>
      </x:c>
      <x:c r="E1093" s="39" t="str">
        <x:v>Open</x:v>
      </x:c>
    </x:row>
    <x:row r="1094">
      <x:c r="A1094" s="31" t="str">
        <x:v>drug_22863faecb</x:v>
      </x:c>
      <x:c r="B1094" s="31" t="str">
        <x:v>missing_name_th</x:v>
      </x:c>
      <x:c r="C1094" s="37" t="str">
        <x:v>Thai drug name was not reliably extractable from the reference documents.</x:v>
      </x:c>
      <x:c r="D1094" s="37" t="str">
        <x:v>https://drug.fda.moph.go.th/media.php?id=733929961076957184&amp;name=PIL ยาดมแก้วิงเวียนแก้คัดจมูก (15032024).pdf</x:v>
      </x:c>
      <x:c r="E1094" s="39" t="str">
        <x:v>Open</x:v>
      </x:c>
    </x:row>
    <x:row r="1095">
      <x:c r="A1095" s="31" t="str">
        <x:v>drug_22863faecb</x:v>
      </x:c>
      <x:c r="B1095" s="31" t="str">
        <x:v>category_requires_review</x:v>
      </x:c>
      <x:c r="C1095" s="37" t="str">
        <x:v>Therapeutic category is not explicitly provided by the source index.</x:v>
      </x:c>
      <x:c r="D1095" s="37" t="str">
        <x:v>https://drug.fda.moph.go.th/media.php?id=733929961076957184&amp;name=PIL ยาดมแก้วิงเวียนแก้คัดจมูก (15032024).pdf</x:v>
      </x:c>
      <x:c r="E1095" s="39" t="str">
        <x:v>Open</x:v>
      </x:c>
    </x:row>
    <x:row r="1096">
      <x:c r="A1096" s="31" t="str">
        <x:v>drug_0b25ab6d64</x:v>
      </x:c>
      <x:c r="B1096" s="31" t="str">
        <x:v>missing_name_th</x:v>
      </x:c>
      <x:c r="C1096" s="37" t="str">
        <x:v>Thai drug name was not reliably extractable from the reference documents.</x:v>
      </x:c>
      <x:c r="D1096" s="37" t="str">
        <x:v>https://drug.fda.moph.go.th/media.php?id=733929511644700672&amp;name=PIL ยาทาระเหยบรรเทาอาการคัดจมูกชนิดขี้ผึ้ง (15032024).pdf</x:v>
      </x:c>
      <x:c r="E1096" s="39" t="str">
        <x:v>Open</x:v>
      </x:c>
    </x:row>
    <x:row r="1097">
      <x:c r="A1097" s="31" t="str">
        <x:v>drug_0b25ab6d64</x:v>
      </x:c>
      <x:c r="B1097" s="31" t="str">
        <x:v>category_requires_review</x:v>
      </x:c>
      <x:c r="C1097" s="37" t="str">
        <x:v>Therapeutic category is not explicitly provided by the source index.</x:v>
      </x:c>
      <x:c r="D1097" s="37" t="str">
        <x:v>https://drug.fda.moph.go.th/media.php?id=733929511644700672&amp;name=PIL ยาทาระเหยบรรเทาอาการคัดจมูกชนิดขี้ผึ้ง (15032024).pdf</x:v>
      </x:c>
      <x:c r="E1097" s="39" t="str">
        <x:v>Open</x:v>
      </x:c>
    </x:row>
    <x:row r="1098">
      <x:c r="A1098" s="31" t="str">
        <x:v>drug_d49a89ee4c</x:v>
      </x:c>
      <x:c r="B1098" s="31" t="str">
        <x:v>category_requires_review</x:v>
      </x:c>
      <x:c r="C1098" s="37" t="str">
        <x:v>Therapeutic category is not explicitly provided by the source index.</x:v>
      </x:c>
      <x:c r="D1098" s="37" t="str">
        <x:v>https://drug.fda.moph.go.th/media.php?id=733929359777341440&amp;name=PIL ยาระบายมะขามแขก (15032024).pdf</x:v>
      </x:c>
      <x:c r="E1098" s="39" t="str">
        <x:v>Open</x:v>
      </x:c>
    </x:row>
    <x:row r="1099">
      <x:c r="A1099" s="31" t="str">
        <x:v>drug_a96b7e501e</x:v>
      </x:c>
      <x:c r="B1099" s="31" t="str">
        <x:v>missing_name_th</x:v>
      </x:c>
      <x:c r="C1099" s="37" t="str">
        <x:v>Thai drug name was not reliably extractable from the reference documents.</x:v>
      </x:c>
      <x:c r="D1099" s="37" t="str">
        <x:v>https://drug.fda.moph.go.th/media.php?id=733925199526895616&amp;name=PIL ยาหม่องชนิดขี้ผึ้ง (15032024).pdf</x:v>
      </x:c>
      <x:c r="E1099" s="39" t="str">
        <x:v>Open</x:v>
      </x:c>
    </x:row>
    <x:row r="1100">
      <x:c r="A1100" s="31" t="str">
        <x:v>drug_a96b7e501e</x:v>
      </x:c>
      <x:c r="B1100" s="31" t="str">
        <x:v>category_requires_review</x:v>
      </x:c>
      <x:c r="C1100" s="37" t="str">
        <x:v>Therapeutic category is not explicitly provided by the source index.</x:v>
      </x:c>
      <x:c r="D1100" s="37" t="str">
        <x:v>https://drug.fda.moph.go.th/media.php?id=733925199526895616&amp;name=PIL ยาหม่องชนิดขี้ผึ้ง (15032024).pdf</x:v>
      </x:c>
      <x:c r="E1100" s="39" t="str">
        <x:v>Open</x:v>
      </x:c>
    </x:row>
    <x:row r="1101">
      <x:c r="A1101" s="31" t="str">
        <x:v>amyl_metacresol_2_4_dichloro_benzyl_alcohol_ascorbic_acid</x:v>
      </x:c>
      <x:c r="B1101" s="31" t="str">
        <x:v>category_requires_review</x:v>
      </x:c>
      <x:c r="C1101" s="37" t="str">
        <x:v>Therapeutic category is not explicitly provided by the source index.</x:v>
      </x:c>
      <x:c r="D1101" s="37" t="str">
        <x:v>https://drug.fda.moph.go.th/media.php?id=733928774151839744&amp;name=PIL ยาอมบรรเทาอาการเจ็บคอ_(150320204).pdf</x:v>
      </x:c>
      <x:c r="E1101" s="39" t="str">
        <x:v>Open</x:v>
      </x:c>
    </x:row>
    <x:row r="1102">
      <x:c r="A1102" s="31" t="str">
        <x:v>drug_cdf20ba583</x:v>
      </x:c>
      <x:c r="B1102" s="31" t="str">
        <x:v>category_requires_review</x:v>
      </x:c>
      <x:c r="C1102" s="37" t="str">
        <x:v>Therapeutic category is not explicitly provided by the source index.</x:v>
      </x:c>
      <x:c r="D1102" s="37" t="str">
        <x:v>https://drug.fda.moph.go.th/media.php?id=733928650512146432&amp;name=PIL ยาอมบรรเทาอาการระคายคอ (15032024).pdf</x:v>
      </x:c>
      <x:c r="E1102" s="39" t="str">
        <x:v>Open</x:v>
      </x:c>
    </x:row>
    <x:row r="1103">
      <x:c r="A1103" s="31" t="str">
        <x:v>cefoperazone</x:v>
      </x:c>
      <x:c r="B1103" s="31" t="str">
        <x:v>category_requires_review</x:v>
      </x:c>
      <x:c r="C1103" s="37" t="str">
        <x:v>Therapeutic category is not explicitly provided by the source index.</x:v>
      </x:c>
      <x:c r="D1103" s="37" t="str">
        <x:v>https://drug.fda.moph.go.th/media.php?id=862918393894936576&amp;name=1. Cefoperazone_injection_PIL_final.pdf</x:v>
      </x:c>
      <x:c r="E1103" s="39" t="str">
        <x:v>Open</x:v>
      </x:c>
    </x:row>
    <x:row r="1104">
      <x:c r="A1104" s="31" t="str">
        <x:v>cefoperazone_sulbactam</x:v>
      </x:c>
      <x:c r="B1104" s="31" t="str">
        <x:v>missing_name_th</x:v>
      </x:c>
      <x:c r="C1104" s="37" t="str">
        <x:v>Thai drug name was not reliably extractable from the reference documents.</x:v>
      </x:c>
      <x:c r="D1104" s="37" t="str">
        <x:v>https://drug.fda.moph.go.th/media.php?id=862918395853676544&amp;name=2. CefoperazoneSulbactam_injection_PIL_final.pdf</x:v>
      </x:c>
      <x:c r="E1104" s="39" t="str">
        <x:v>Open</x:v>
      </x:c>
    </x:row>
    <x:row r="1105">
      <x:c r="A1105" s="31" t="str">
        <x:v>cefoperazone_sulbactam</x:v>
      </x:c>
      <x:c r="B1105" s="31" t="str">
        <x:v>category_requires_review</x:v>
      </x:c>
      <x:c r="C1105" s="37" t="str">
        <x:v>Therapeutic category is not explicitly provided by the source index.</x:v>
      </x:c>
      <x:c r="D1105" s="37" t="str">
        <x:v>https://drug.fda.moph.go.th/media.php?id=862918395853676544&amp;name=2. CefoperazoneSulbactam_injection_PIL_final.pdf</x:v>
      </x:c>
      <x:c r="E1105" s="39" t="str">
        <x:v>Open</x:v>
      </x:c>
    </x:row>
    <x:row r="1106">
      <x:c r="A1106" s="31" t="str">
        <x:v>cefuroxime_axetil</x:v>
      </x:c>
      <x:c r="B1106" s="31" t="str">
        <x:v>category_requires_review</x:v>
      </x:c>
      <x:c r="C1106" s="37" t="str">
        <x:v>Therapeutic category is not explicitly provided by the source index.</x:v>
      </x:c>
      <x:c r="D1106" s="37" t="str">
        <x:v>https://drug.fda.moph.go.th/media.php?id=862918394750574592&amp;name=3. cefuroxime Axetil_tablets_PIL_final.pdf</x:v>
      </x:c>
      <x:c r="E1106" s="39" t="str">
        <x:v>Open</x:v>
      </x:c>
    </x:row>
    <x:row r="1107">
      <x:c r="A1107" s="31" t="str">
        <x:v>cefaclor</x:v>
      </x:c>
      <x:c r="B1107" s="31" t="str">
        <x:v>category_requires_review</x:v>
      </x:c>
      <x:c r="C1107" s="37" t="str">
        <x:v>Therapeutic category is not explicitly provided by the source index.</x:v>
      </x:c>
      <x:c r="D1107" s="37" t="str">
        <x:v>https://drug.fda.moph.go.th/media.php?id=862918392741502976&amp;name=4.cefaclor_susp_PIL_final.pdf</x:v>
      </x:c>
      <x:c r="E1107" s="39" t="str">
        <x:v>Open</x:v>
      </x:c>
    </x:row>
    <x:row r="1108">
      <x:c r="A1108" s="31" t="str">
        <x:v>cefadroxil</x:v>
      </x:c>
      <x:c r="B1108" s="31" t="str">
        <x:v>category_requires_review</x:v>
      </x:c>
      <x:c r="C1108" s="37" t="str">
        <x:v>Therapeutic category is not explicitly provided by the source index.</x:v>
      </x:c>
      <x:c r="D1108" s="37" t="str">
        <x:v>https://drug.fda.moph.go.th/media.php?id=862918390044565504&amp;name=5. cefadroxil_capsules_PIL_final.pdf</x:v>
      </x:c>
      <x:c r="E1108" s="39" t="str">
        <x:v>Open</x:v>
      </x:c>
    </x:row>
    <x:row r="1109">
      <x:c r="A1109" s="31" t="str">
        <x:v>cefdinir</x:v>
      </x:c>
      <x:c r="B1109" s="31" t="str">
        <x:v>category_requires_review</x:v>
      </x:c>
      <x:c r="C1109" s="37" t="str">
        <x:v>Therapeutic category is not explicitly provided by the source index.</x:v>
      </x:c>
      <x:c r="D1109" s="37" t="str">
        <x:v>https://drug.fda.moph.go.th/media.php?id=862918391428685824&amp;name=7. cefdinir_capsules_PIL_final_.pdf</x:v>
      </x:c>
      <x:c r="E1109" s="39" t="str">
        <x:v>Open</x:v>
      </x:c>
    </x:row>
    <x:row r="1110">
      <x:c r="A1110" s="31" t="str">
        <x:v>carboplatin</x:v>
      </x:c>
      <x:c r="B1110" s="31" t="str">
        <x:v>category_requires_review</x:v>
      </x:c>
      <x:c r="C1110" s="37" t="str">
        <x:v>Therapeutic category is not explicitly provided by the source index.</x:v>
      </x:c>
      <x:c r="D1110" s="37" t="str">
        <x:v>https://drug.fda.moph.go.th/media.php?id=864026451677159424&amp;name=Carboplatin_Inj_PIL_final.pdf</x:v>
      </x:c>
      <x:c r="E1110" s="39" t="str">
        <x:v>Open</x:v>
      </x:c>
    </x:row>
    <x:row r="1111">
      <x:c r="A1111" s="31" t="str">
        <x:v>doxorubicin</x:v>
      </x:c>
      <x:c r="B1111" s="31" t="str">
        <x:v>category_requires_review</x:v>
      </x:c>
      <x:c r="C1111" s="37" t="str">
        <x:v>Therapeutic category is not explicitly provided by the source index.</x:v>
      </x:c>
      <x:c r="D1111" s="37" t="str">
        <x:v>https://drug.fda.moph.go.th/media.php?id=862918390954729472&amp;name=13.Doxorubicin  HCl_inj_PIL_final.pdf</x:v>
      </x:c>
      <x:c r="E1111" s="39" t="str">
        <x:v>Open</x:v>
      </x:c>
    </x:row>
    <x:row r="1112">
      <x:c r="A1112" s="31" t="str">
        <x:v>methotrexate</x:v>
      </x:c>
      <x:c r="B1112" s="31" t="str">
        <x:v>category_requires_review</x:v>
      </x:c>
      <x:c r="C1112" s="37" t="str">
        <x:v>Therapeutic category is not explicitly provided by the source index.</x:v>
      </x:c>
      <x:c r="D1112" s="37" t="str">
        <x:v>https://drug.fda.moph.go.th/media.php?id=862918389411225600&amp;name=15.Methotrexate_Inj_PIL_final.pdf</x:v>
      </x:c>
      <x:c r="E1112" s="39" t="str">
        <x:v>Open</x:v>
      </x:c>
    </x:row>
    <x:row r="1113">
      <x:c r="A1113" s="31" t="str">
        <x:v>norfloxacin</x:v>
      </x:c>
      <x:c r="B1113" s="31" t="str">
        <x:v>category_requires_review</x:v>
      </x:c>
      <x:c r="C1113" s="37" t="str">
        <x:v>Therapeutic category is not explicitly provided by the source index.</x:v>
      </x:c>
      <x:c r="D1113" s="37" t="str">
        <x:v>https://drug.fda.moph.go.th/media.php?id=862918392955412480&amp;name=19.norfloxacin_tablets_PIL_final.pdf</x:v>
      </x:c>
      <x:c r="E1113" s="39" t="str">
        <x:v>Open</x:v>
      </x:c>
    </x:row>
    <x:row r="1114">
      <x:c r="A1114" s="31" t="str">
        <x:v>amoxicillin_trihydrate_potassium_clavulanate</x:v>
      </x:c>
      <x:c r="B1114" s="31" t="str">
        <x:v>category_requires_review</x:v>
      </x:c>
      <x:c r="C1114" s="37" t="str">
        <x:v>Therapeutic category is not explicitly provided by the source index.</x:v>
      </x:c>
      <x:c r="D1114" s="37" t="str">
        <x:v>https://drug.fda.moph.go.th/media.php?id=862918390451412992&amp;name=20. amoxicillin+clavulanate_tablets_PIL_final.pdf</x:v>
      </x:c>
      <x:c r="E1114" s="39" t="str">
        <x:v>Open</x:v>
      </x:c>
    </x:row>
    <x:row r="1115">
      <x:c r="A1115" s="31" t="str">
        <x:v>roxithromycin</x:v>
      </x:c>
      <x:c r="B1115" s="31" t="str">
        <x:v>category_requires_review</x:v>
      </x:c>
      <x:c r="C1115" s="37" t="str">
        <x:v>Therapeutic category is not explicitly provided by the source index.</x:v>
      </x:c>
      <x:c r="D1115" s="37" t="str">
        <x:v>https://drug.fda.moph.go.th/media.php?id=862918388656250880&amp;name=21.Roxithromycin_tablet_PIL_final.pdf</x:v>
      </x:c>
      <x:c r="E1115" s="39" t="str">
        <x:v>Open</x:v>
      </x:c>
    </x:row>
    <x:row r="1116">
      <x:c r="A1116" s="31" t="str">
        <x:v>phenoxymethylpenicillin</x:v>
      </x:c>
      <x:c r="B1116" s="31" t="str">
        <x:v>category_requires_review</x:v>
      </x:c>
      <x:c r="C1116" s="37" t="str">
        <x:v>Therapeutic category is not explicitly provided by the source index.</x:v>
      </x:c>
      <x:c r="D1116" s="37" t="str">
        <x:v>https://drug.fda.moph.go.th/media.php?id=862918394427613184&amp;name=22.Phenoxymethylpenicillin_dry_syup_PIL_final_.pdf</x:v>
      </x:c>
      <x:c r="E1116" s="39" t="str">
        <x:v>Open</x:v>
      </x:c>
    </x:row>
    <x:row r="1117">
      <x:c r="A1117" s="31" t="str">
        <x:v>phenoxymethylpenicillin_potassium_penicillin_v</x:v>
      </x:c>
      <x:c r="B1117" s="31" t="str">
        <x:v>category_requires_review</x:v>
      </x:c>
      <x:c r="C1117" s="37" t="str">
        <x:v>Therapeutic category is not explicitly provided by the source index.</x:v>
      </x:c>
      <x:c r="D1117" s="37" t="str">
        <x:v>https://drug.fda.moph.go.th/media.php?id=862918396285689856&amp;name=23.phenoxymethylpenicillin potassium_tablets_PIL_final.pdf</x:v>
      </x:c>
      <x:c r="E1117" s="39" t="str">
        <x:v>Open</x:v>
      </x:c>
    </x:row>
    <x:row r="1118">
      <x:c r="A1118" s="31" t="str">
        <x:v>amikacin</x:v>
      </x:c>
      <x:c r="B1118" s="31" t="str">
        <x:v>category_requires_review</x:v>
      </x:c>
      <x:c r="C1118" s="37" t="str">
        <x:v>Therapeutic category is not explicitly provided by the source index.</x:v>
      </x:c>
      <x:c r="D1118" s="37" t="str">
        <x:v>https://drug.fda.moph.go.th/media.php?id=862918393123184640&amp;name=24.amikacin sulfate_sterile solution_PIL_final.pdf</x:v>
      </x:c>
      <x:c r="E1118" s="39" t="str">
        <x:v>Open</x:v>
      </x:c>
    </x:row>
    <x:row r="1119">
      <x:c r="A1119" s="31" t="str">
        <x:v>lincomycin</x:v>
      </x:c>
      <x:c r="B1119" s="31" t="str">
        <x:v>category_requires_review</x:v>
      </x:c>
      <x:c r="C1119" s="37" t="str">
        <x:v>Therapeutic category is not explicitly provided by the source index.</x:v>
      </x:c>
      <x:c r="D1119" s="37" t="str">
        <x:v>https://drug.fda.moph.go.th/media.php?id=862918393525837824&amp;name=25. lincomycin_sterile solution_PIL_final.pdf</x:v>
      </x:c>
      <x:c r="E1119" s="39" t="str">
        <x:v>Open</x:v>
      </x:c>
    </x:row>
    <x:row r="1120">
      <x:c r="A1120" s="31" t="str">
        <x:v>aminophylline</x:v>
      </x:c>
      <x:c r="B1120" s="31" t="str">
        <x:v>category_requires_review</x:v>
      </x:c>
      <x:c r="C1120" s="37" t="str">
        <x:v>Therapeutic category is not explicitly provided by the source index.</x:v>
      </x:c>
      <x:c r="D1120" s="37" t="str">
        <x:v>https://drug.fda.moph.go.th/media.php?id=862918394586996736&amp;name=27. Aminophylline_tablet_PIL_Final.pdf</x:v>
      </x:c>
      <x:c r="E1120" s="39" t="str">
        <x:v>Open</x:v>
      </x:c>
    </x:row>
    <x:row r="1121">
      <x:c r="A1121" s="31" t="str">
        <x:v>procaterol</x:v>
      </x:c>
      <x:c r="B1121" s="31" t="str">
        <x:v>category_requires_review</x:v>
      </x:c>
      <x:c r="C1121" s="37" t="str">
        <x:v>Therapeutic category is not explicitly provided by the source index.</x:v>
      </x:c>
      <x:c r="D1121" s="37" t="str">
        <x:v>https://drug.fda.moph.go.th/media.php?id=862918390623379456&amp;name=29.Procaterol_syrup_PIL_Final.pdf</x:v>
      </x:c>
      <x:c r="E1121" s="39" t="str">
        <x:v>Open</x:v>
      </x:c>
    </x:row>
    <x:row r="1122">
      <x:c r="A1122" s="31" t="str">
        <x:v>diphenhydramine</x:v>
      </x:c>
      <x:c r="B1122" s="31" t="str">
        <x:v>category_requires_review</x:v>
      </x:c>
      <x:c r="C1122" s="37" t="str">
        <x:v>Therapeutic category is not explicitly provided by the source index.</x:v>
      </x:c>
      <x:c r="D1122" s="37" t="str">
        <x:v>https://drug.fda.moph.go.th/media.php?id=862918394234675200&amp;name=30. Diphenhydramine_tablet_PIL_Final.pdf</x:v>
      </x:c>
      <x:c r="E1122" s="39" t="str">
        <x:v>Open</x:v>
      </x:c>
    </x:row>
    <x:row r="1123">
      <x:c r="A1123" s="31" t="str">
        <x:v>pyrimethamine</x:v>
      </x:c>
      <x:c r="B1123" s="31" t="str">
        <x:v>category_requires_review</x:v>
      </x:c>
      <x:c r="C1123" s="37" t="str">
        <x:v>Therapeutic category is not explicitly provided by the source index.</x:v>
      </x:c>
      <x:c r="D1123" s="37" t="str">
        <x:v>https://drug.fda.moph.go.th/media.php?id=862918388308123648&amp;name=31.Pyrimethamine_tablet_PIL_final.pdf</x:v>
      </x:c>
      <x:c r="E1123" s="39" t="str">
        <x:v>Open</x:v>
      </x:c>
    </x:row>
    <x:row r="1124">
      <x:c r="A1124" s="31" t="str">
        <x:v>niclosamide</x:v>
      </x:c>
      <x:c r="B1124" s="31" t="str">
        <x:v>category_requires_review</x:v>
      </x:c>
      <x:c r="C1124" s="37" t="str">
        <x:v>Therapeutic category is not explicitly provided by the source index.</x:v>
      </x:c>
      <x:c r="D1124" s="37" t="str">
        <x:v>https://drug.fda.moph.go.th/media.php?id=862918387754475520&amp;name=36.Niclosamide_Tablets_PIL_final.pdf</x:v>
      </x:c>
      <x:c r="E1124" s="39" t="str">
        <x:v>Open</x:v>
      </x:c>
    </x:row>
    <x:row r="1125">
      <x:c r="A1125" s="31" t="str">
        <x:v>bromocriptine</x:v>
      </x:c>
      <x:c r="B1125" s="31" t="str">
        <x:v>category_requires_review</x:v>
      </x:c>
      <x:c r="C1125" s="37" t="str">
        <x:v>Therapeutic category is not explicitly provided by the source index.</x:v>
      </x:c>
      <x:c r="D1125" s="37" t="str">
        <x:v>https://drug.fda.moph.go.th/media.php?id=862918386806562816&amp;name=41.Bromocriptine_tablet_PIL.pdf</x:v>
      </x:c>
      <x:c r="E1125" s="39" t="str">
        <x:v>Open</x:v>
      </x:c>
    </x:row>
    <x:row r="1126">
      <x:c r="A1126" s="31" t="str">
        <x:v>lithium</x:v>
      </x:c>
      <x:c r="B1126" s="31" t="str">
        <x:v>category_requires_review</x:v>
      </x:c>
      <x:c r="C1126" s="37" t="str">
        <x:v>Therapeutic category is not explicitly provided by the source index.</x:v>
      </x:c>
      <x:c r="D1126" s="37" t="str">
        <x:v>https://drug.fda.moph.go.th/media.php?id=862918386550710272&amp;name=43.LithiumCarbonate_capsule_PIL.pdf</x:v>
      </x:c>
      <x:c r="E1126" s="39" t="str">
        <x:v>Open</x:v>
      </x:c>
    </x:row>
    <x:row r="1127">
      <x:c r="A1127" s="31" t="str">
        <x:v>imipramine</x:v>
      </x:c>
      <x:c r="B1127" s="31" t="str">
        <x:v>category_requires_review</x:v>
      </x:c>
      <x:c r="C1127" s="37" t="str">
        <x:v>Therapeutic category is not explicitly provided by the source index.</x:v>
      </x:c>
      <x:c r="D1127" s="37" t="str">
        <x:v>https://drug.fda.moph.go.th/media.php?id=862918385892204544&amp;name=44.Imipramine_tablet_PIL.pdf</x:v>
      </x:c>
      <x:c r="E1127" s="39" t="str">
        <x:v>Open</x:v>
      </x:c>
    </x:row>
    <x:row r="1128">
      <x:c r="A1128" s="31" t="str">
        <x:v>perphenazine</x:v>
      </x:c>
      <x:c r="B1128" s="31" t="str">
        <x:v>category_requires_review</x:v>
      </x:c>
      <x:c r="C1128" s="37" t="str">
        <x:v>Therapeutic category is not explicitly provided by the source index.</x:v>
      </x:c>
      <x:c r="D1128" s="37" t="str">
        <x:v>https://drug.fda.moph.go.th/media.php?id=862918385070120960&amp;name=46.Perphenazine_tablet_PIL.pdf</x:v>
      </x:c>
      <x:c r="E1128" s="39" t="str">
        <x:v>Open</x:v>
      </x:c>
    </x:row>
    <x:row r="1129">
      <x:c r="A1129" s="31" t="str">
        <x:v>trihexyphenidyl</x:v>
      </x:c>
      <x:c r="B1129" s="31" t="str">
        <x:v>category_requires_review</x:v>
      </x:c>
      <x:c r="C1129" s="37" t="str">
        <x:v>Therapeutic category is not explicitly provided by the source index.</x:v>
      </x:c>
      <x:c r="D1129" s="37" t="str">
        <x:v>https://drug.fda.moph.go.th/media.php?id=862918385552465920&amp;name=48.Trihexyphenidyl_tablet_PIL.pdf</x:v>
      </x:c>
      <x:c r="E1129" s="39" t="str">
        <x:v>Open</x:v>
      </x:c>
    </x:row>
    <x:row r="1130">
      <x:c r="A1130" s="31" t="str">
        <x:v>amino_acid</x:v>
      </x:c>
      <x:c r="B1130" s="31" t="str">
        <x:v>category_requires_review</x:v>
      </x:c>
      <x:c r="C1130" s="37" t="str">
        <x:v>Therapeutic category is not explicitly provided by the source index.</x:v>
      </x:c>
      <x:c r="D1130" s="37" t="str">
        <x:v>https://drug.fda.moph.go.th/media.php?id=904601731533512704&amp;name=1. Ref PIL_Amino acid.pdf</x:v>
      </x:c>
      <x:c r="E1130" s="39" t="str">
        <x:v>Open</x:v>
      </x:c>
    </x:row>
    <x:row r="1131">
      <x:c r="A1131" s="31" t="str">
        <x:v>dobutamine</x:v>
      </x:c>
      <x:c r="B1131" s="31" t="str">
        <x:v>category_requires_review</x:v>
      </x:c>
      <x:c r="C1131" s="37" t="str">
        <x:v>Therapeutic category is not explicitly provided by the source index.</x:v>
      </x:c>
      <x:c r="D1131" s="37" t="str">
        <x:v>https://drug.fda.moph.go.th/media.php?id=904601732011663360&amp;name=2. Ref PIL_Dobutamine.pdf</x:v>
      </x:c>
      <x:c r="E1131" s="39" t="str">
        <x:v>Open</x:v>
      </x:c>
    </x:row>
    <x:row r="1132">
      <x:c r="A1132" s="31" t="str">
        <x:v>propofol</x:v>
      </x:c>
      <x:c r="B1132" s="31" t="str">
        <x:v>category_requires_review</x:v>
      </x:c>
      <x:c r="C1132" s="37" t="str">
        <x:v>Therapeutic category is not explicitly provided by the source index.</x:v>
      </x:c>
      <x:c r="D1132" s="37" t="str">
        <x:v>https://drug.fda.moph.go.th/media.php?id=904601732196212736&amp;name=4. Ref PIL_ PROPOFOL.pdf</x:v>
      </x:c>
      <x:c r="E1132" s="39" t="str">
        <x:v>Open</x:v>
      </x:c>
    </x:row>
    <x:row r="1133">
      <x:c r="A1133" s="31" t="str">
        <x:v>vancomycin</x:v>
      </x:c>
      <x:c r="B1133" s="31" t="str">
        <x:v>category_requires_review</x:v>
      </x:c>
      <x:c r="C1133" s="37" t="str">
        <x:v>Therapeutic category is not explicitly provided by the source index.</x:v>
      </x:c>
      <x:c r="D1133" s="37" t="str">
        <x:v>https://drug.fda.moph.go.th/media.php?id=904601732376567808&amp;name=5. Ref_PIL Vancomycin.pdf</x:v>
      </x:c>
      <x:c r="E1133" s="39" t="str">
        <x:v>Open</x:v>
      </x:c>
    </x:row>
    <x:row r="1134">
      <x:c r="A1134" s="31" t="str">
        <x:v>bisoprolol</x:v>
      </x:c>
      <x:c r="B1134" s="31" t="str">
        <x:v>category_requires_review</x:v>
      </x:c>
      <x:c r="C1134" s="37" t="str">
        <x:v>Therapeutic category is not explicitly provided by the source index.</x:v>
      </x:c>
      <x:c r="D1134" s="37" t="str">
        <x:v>https://drug.fda.moph.go.th/media.php?id=904601733051850752&amp;name=6. Ref PIL_Bisoprolol.pdf</x:v>
      </x:c>
      <x:c r="E1134" s="39" t="str">
        <x:v>Open</x:v>
      </x:c>
    </x:row>
    <x:row r="1135">
      <x:c r="A1135" s="31" t="str">
        <x:v>carbidopa_levodopa</x:v>
      </x:c>
      <x:c r="B1135" s="31" t="str">
        <x:v>missing_name_th</x:v>
      </x:c>
      <x:c r="C1135" s="37" t="str">
        <x:v>Thai drug name was not reliably extractable from the reference documents.</x:v>
      </x:c>
      <x:c r="D1135" s="37" t="str">
        <x:v>https://drug.fda.moph.go.th/media.php?id=904601732791803904&amp;name=8. ref PIL_Carbidopa+Levodopa.pdf</x:v>
      </x:c>
      <x:c r="E1135" s="39" t="str">
        <x:v>Open</x:v>
      </x:c>
    </x:row>
    <x:row r="1136">
      <x:c r="A1136" s="31" t="str">
        <x:v>carbidopa_levodopa</x:v>
      </x:c>
      <x:c r="B1136" s="31" t="str">
        <x:v>category_requires_review</x:v>
      </x:c>
      <x:c r="C1136" s="37" t="str">
        <x:v>Therapeutic category is not explicitly provided by the source index.</x:v>
      </x:c>
      <x:c r="D1136" s="37" t="str">
        <x:v>https://drug.fda.moph.go.th/media.php?id=904601732791803904&amp;name=8. ref PIL_Carbidopa+Levodopa.pdf</x:v>
      </x:c>
      <x:c r="E1136" s="39" t="str">
        <x:v>Open</x:v>
      </x:c>
    </x:row>
    <x:row r="1137">
      <x:c r="A1137" s="31" t="str">
        <x:v>hydrocortisone_cinchocaine</x:v>
      </x:c>
      <x:c r="B1137" s="31" t="str">
        <x:v>missing_name_th</x:v>
      </x:c>
      <x:c r="C1137" s="37" t="str">
        <x:v>Thai drug name was not reliably extractable from the reference documents.</x:v>
      </x:c>
      <x:c r="D1137" s="37" t="str">
        <x:v>https://drug.fda.moph.go.th/media.php?id=904601734947676160&amp;name=9. Ref PIL_Hydrocortisone 5 mg+cinchocaine 5 mg suppo.pdf</x:v>
      </x:c>
      <x:c r="E1137" s="39" t="str">
        <x:v>Open</x:v>
      </x:c>
    </x:row>
    <x:row r="1138">
      <x:c r="A1138" s="31" t="str">
        <x:v>hydrocortisone_cinchocaine</x:v>
      </x:c>
      <x:c r="B1138" s="31" t="str">
        <x:v>category_requires_review</x:v>
      </x:c>
      <x:c r="C1138" s="37" t="str">
        <x:v>Therapeutic category is not explicitly provided by the source index.</x:v>
      </x:c>
      <x:c r="D1138" s="37" t="str">
        <x:v>https://drug.fda.moph.go.th/media.php?id=904601734947676160&amp;name=9. Ref PIL_Hydrocortisone 5 mg+cinchocaine 5 mg suppo.pdf</x:v>
      </x:c>
      <x:c r="E1138" s="39" t="str">
        <x:v>Open</x:v>
      </x:c>
    </x:row>
    <x:row r="1139">
      <x:c r="A1139" s="31" t="str">
        <x:v>cinnarizine</x:v>
      </x:c>
      <x:c r="B1139" s="31" t="str">
        <x:v>category_requires_review</x:v>
      </x:c>
      <x:c r="C1139" s="37" t="str">
        <x:v>Therapeutic category is not explicitly provided by the source index.</x:v>
      </x:c>
      <x:c r="D1139" s="37" t="str">
        <x:v>https://drug.fda.moph.go.th/media.php?id=904601735509712896&amp;name=13. Ref_PIL_Cinnarizine tab.pdf</x:v>
      </x:c>
      <x:c r="E1139" s="39" t="str">
        <x:v>Open</x:v>
      </x:c>
    </x:row>
    <x:row r="1140">
      <x:c r="A1140" s="31" t="str">
        <x:v>flavoxate</x:v>
      </x:c>
      <x:c r="B1140" s="31" t="str">
        <x:v>category_requires_review</x:v>
      </x:c>
      <x:c r="C1140" s="37" t="str">
        <x:v>Therapeutic category is not explicitly provided by the source index.</x:v>
      </x:c>
      <x:c r="D1140" s="37" t="str">
        <x:v>https://drug.fda.moph.go.th/media.php?id=904601734129786880&amp;name=11. ref PIL_Flavoxate.pdf</x:v>
      </x:c>
      <x:c r="E1140" s="39" t="str">
        <x:v>Open</x:v>
      </x:c>
    </x:row>
    <x:row r="1141">
      <x:c r="A1141" s="31" t="str">
        <x:v>flupentixol_melitracen</x:v>
      </x:c>
      <x:c r="B1141" s="31" t="str">
        <x:v>missing_name_th</x:v>
      </x:c>
      <x:c r="C1141" s="37" t="str">
        <x:v>Thai drug name was not reliably extractable from the reference documents.</x:v>
      </x:c>
      <x:c r="D1141" s="37" t="str">
        <x:v>https://drug.fda.moph.go.th/media.php?id=904601734746349568&amp;name=12. Ref PIL_MelitracenFlupentixol.pdf</x:v>
      </x:c>
      <x:c r="E1141" s="39" t="str">
        <x:v>Open</x:v>
      </x:c>
    </x:row>
    <x:row r="1142">
      <x:c r="A1142" s="31" t="str">
        <x:v>flupentixol_melitracen</x:v>
      </x:c>
      <x:c r="B1142" s="31" t="str">
        <x:v>category_requires_review</x:v>
      </x:c>
      <x:c r="C1142" s="37" t="str">
        <x:v>Therapeutic category is not explicitly provided by the source index.</x:v>
      </x:c>
      <x:c r="D1142" s="37" t="str">
        <x:v>https://drug.fda.moph.go.th/media.php?id=904601734746349568&amp;name=12. Ref PIL_MelitracenFlupentixol.pdf</x:v>
      </x:c>
      <x:c r="E1142" s="39" t="str">
        <x:v>Open</x:v>
      </x:c>
    </x:row>
    <x:row r="1143">
      <x:c r="A1143" s="31" t="str">
        <x:v>calcium_acetate_magnesium</x:v>
      </x:c>
      <x:c r="B1143" s="31" t="str">
        <x:v>missing_name_th</x:v>
      </x:c>
      <x:c r="C1143" s="37" t="str">
        <x:v>Thai drug name was not reliably extractable from the reference documents.</x:v>
      </x:c>
      <x:c r="D1143" s="37" t="str">
        <x:v>https://drug.fda.moph.go.th/media.php?id=904601733299314688&amp;name=7. Ref PIL Calcium_Magnesium carbonate_tab.pdf</x:v>
      </x:c>
      <x:c r="E1143" s="39" t="str">
        <x:v>Open</x:v>
      </x:c>
    </x:row>
    <x:row r="1144">
      <x:c r="A1144" s="31" t="str">
        <x:v>calcium_acetate_magnesium</x:v>
      </x:c>
      <x:c r="B1144" s="31" t="str">
        <x:v>category_requires_review</x:v>
      </x:c>
      <x:c r="C1144" s="37" t="str">
        <x:v>Therapeutic category is not explicitly provided by the source index.</x:v>
      </x:c>
      <x:c r="D1144" s="37" t="str">
        <x:v>https://drug.fda.moph.go.th/media.php?id=904601733299314688&amp;name=7. Ref PIL Calcium_Magnesium carbonate_tab.pdf</x:v>
      </x:c>
      <x:c r="E1144" s="39" t="str">
        <x:v>Open</x:v>
      </x:c>
    </x:row>
  </x:sheetData>
  <x:conditionalFormatting sqref="E2:E1144">
    <x:cfRule type="containsText" dxfId="4" priority="1" operator="containsText" text="Open"/>
    <x:cfRule type="containsText" dxfId="5" priority="2" operator="containsText" text="Resolved"/>
  </x:conditionalFormatting>
  <x:dataValidations count="1">
    <x:dataValidation type="list" sqref="E2:E1144">
      <x:formula1>"Open,In review,Resolved"</x:formula1>
    </x:dataValidation>
  </x:dataValidations>
  <x:pageMargins left="0.7" right="0.7" top="0.75" bottom="0.75" header="0.3" footer="0.3"/>
  <x:tableParts count="1">
    <x:tablePart xmlns:r="http://schemas.openxmlformats.org/officeDocument/2006/relationships" r:id="Rb254b6f2962b401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9" hidden="0" customWidth="1"/>
    <x:col min="2" max="2" width="42" hidden="0" customWidth="1"/>
    <x:col min="3" max="3" width="26" hidden="0" customWidth="1"/>
    <x:col min="4" max="4" width="45" hidden="0" customWidth="1"/>
    <x:col min="5" max="5" width="55" hidden="0" customWidth="1"/>
  </x:cols>
  <x:sheetData>
    <x:row r="1" ht="30" customHeight="1">
      <x:c r="A1" s="36" t="str">
        <x:v>field</x:v>
      </x:c>
      <x:c r="B1" s="36" t="str">
        <x:v>definition_th</x:v>
      </x:c>
      <x:c r="C1" s="36" t="str">
        <x:v>database_type</x:v>
      </x:c>
      <x:c r="D1" s="36" t="str">
        <x:v>example</x:v>
      </x:c>
      <x:c r="E1" s="36" t="str">
        <x:v>validation_rule</x:v>
      </x:c>
    </x:row>
    <x:row r="2">
      <x:c r="A2" s="31" t="str">
        <x:v>medications.code</x:v>
      </x:c>
      <x:c r="B2" s="37" t="str">
        <x:v>รหัสยากลางคงที่</x:v>
      </x:c>
      <x:c r="C2" s="31" t="str">
        <x:v>text / primary key</x:v>
      </x:c>
      <x:c r="D2" s="37" t="str">
        <x:v>acetylcysteine</x:v>
      </x:c>
      <x:c r="E2" s="37" t="str">
        <x:v>lowercase snake_case; ไม่เปลี่ยนหลังเผยแพร่</x:v>
      </x:c>
    </x:row>
    <x:row r="3">
      <x:c r="A3" s="31" t="str">
        <x:v>medications.name_en</x:v>
      </x:c>
      <x:c r="B3" s="37" t="str">
        <x:v>ชื่อสามัญภาษาอังกฤษ</x:v>
      </x:c>
      <x:c r="C3" s="31" t="str">
        <x:v>text</x:v>
      </x:c>
      <x:c r="D3" s="37" t="str">
        <x:v>Acetylcysteine</x:v>
      </x:c>
      <x:c r="E3" s="37" t="str">
        <x:v>ต้องตรวจจาก PIL/SmPC</x:v>
      </x:c>
    </x:row>
    <x:row r="4">
      <x:c r="A4" s="31" t="str">
        <x:v>medications.name_th</x:v>
      </x:c>
      <x:c r="B4" s="37" t="str">
        <x:v>ชื่อภาษาไทย</x:v>
      </x:c>
      <x:c r="C4" s="31" t="str">
        <x:v>text</x:v>
      </x:c>
      <x:c r="D4" s="37" t="str">
        <x:v>อะเซทิลซิสเทอีน</x:v>
      </x:c>
      <x:c r="E4" s="37" t="str">
        <x:v>ค่ารอตรวจสอบห้าม Published</x:v>
      </x:c>
    </x:row>
    <x:row r="5">
      <x:c r="A5" s="31" t="str">
        <x:v>medications.category</x:v>
      </x:c>
      <x:c r="B5" s="37" t="str">
        <x:v>หมวดหมู่ยา</x:v>
      </x:c>
      <x:c r="C5" s="31" t="str">
        <x:v>text</x:v>
      </x:c>
      <x:c r="D5" s="37" t="str">
        <x:v>ยาละลายเสมหะ</x:v>
      </x:c>
      <x:c r="E5" s="37" t="str">
        <x:v>รอตรวจสอบจนกว่า Clinical reviewer ยืนยัน</x:v>
      </x:c>
    </x:row>
    <x:row r="6">
      <x:c r="A6" s="31" t="str">
        <x:v>medications.common_dosages_mg</x:v>
      </x:c>
      <x:c r="B6" s="37" t="str">
        <x:v>ขนาดยาที่พบบ่อย หน่วย mg</x:v>
      </x:c>
      <x:c r="C6" s="31" t="str">
        <x:v>numeric[]</x:v>
      </x:c>
      <x:c r="D6" s="37" t="str">
        <x:v>ARRAY[200]</x:v>
      </x:c>
      <x:c r="E6" s="37" t="str">
        <x:v>ห้ามอนุมานจาก product strength</x:v>
      </x:c>
    </x:row>
    <x:row r="7">
      <x:c r="A7" s="31" t="str">
        <x:v>medications.description_th</x:v>
      </x:c>
      <x:c r="B7" s="37" t="str">
        <x:v>คำอธิบายภาษาไทย</x:v>
      </x:c>
      <x:c r="C7" s="31" t="str">
        <x:v>text</x:v>
      </x:c>
      <x:c r="D7" s="37" t="str">
        <x:v>ข้อมูลฉบับร่าง...</x:v>
      </x:c>
      <x:c r="E7" s="37" t="str">
        <x:v>ต้องตรวจการสกัด PDF</x:v>
      </x:c>
    </x:row>
    <x:row r="8">
      <x:c r="A8" s="31" t="str">
        <x:v>medications.active</x:v>
      </x:c>
      <x:c r="B8" s="37" t="str">
        <x:v>เปิดให้แอปค้นหา</x:v>
      </x:c>
      <x:c r="C8" s="31" t="str">
        <x:v>boolean</x:v>
      </x:c>
      <x:c r="D8" s="37" t="str">
        <x:v>false</x:v>
      </x:c>
      <x:c r="E8" s="37" t="str">
        <x:v>ชุดนำเข้าต้อง false</x:v>
      </x:c>
    </x:row>
    <x:row r="9">
      <x:c r="A9" s="31" t="str">
        <x:v>medications.source_references</x:v>
      </x:c>
      <x:c r="B9" s="37" t="str">
        <x:v>แหล่งอ้างอิง</x:v>
      </x:c>
      <x:c r="C9" s="31" t="str">
        <x:v>text[]</x:v>
      </x:c>
      <x:c r="D9" s="37" t="str">
        <x:v>ARRAY[URL]</x:v>
      </x:c>
      <x:c r="E9" s="37" t="str">
        <x:v>อย่างน้อย 1 รายการก่อน Published</x:v>
      </x:c>
    </x:row>
    <x:row r="10">
      <x:c r="A10" s="31" t="str">
        <x:v>medications.status</x:v>
      </x:c>
      <x:c r="B10" s="37" t="str">
        <x:v>สถานะเวิร์กโฟลว์</x:v>
      </x:c>
      <x:c r="C10" s="31" t="str">
        <x:v>clinical_record_status</x:v>
      </x:c>
      <x:c r="D10" s="37" t="str">
        <x:v>draft</x:v>
      </x:c>
      <x:c r="E10" s="37" t="str">
        <x:v>draft, in_review, published, archived</x:v>
      </x:c>
    </x:row>
    <x:row r="11">
      <x:c r="A11" s="31" t="str">
        <x:v>drug_interactions.drug_1</x:v>
      </x:c>
      <x:c r="B11" s="37" t="str">
        <x:v>รหัสยาตัวที่ 1</x:v>
      </x:c>
      <x:c r="C11" s="31" t="str">
        <x:v>text / foreign key</x:v>
      </x:c>
      <x:c r="D11" s="37" t="str">
        <x:v>clarithromycin</x:v>
      </x:c>
      <x:c r="E11" s="37" t="str">
        <x:v>ต้องน้อยกว่า drug_2 ตามลำดับตัวอักษร</x:v>
      </x:c>
    </x:row>
    <x:row r="12">
      <x:c r="A12" s="31" t="str">
        <x:v>drug_interactions.drug_2</x:v>
      </x:c>
      <x:c r="B12" s="37" t="str">
        <x:v>รหัสยาตัวที่ 2</x:v>
      </x:c>
      <x:c r="C12" s="31" t="str">
        <x:v>text / foreign key</x:v>
      </x:c>
      <x:c r="D12" s="37" t="str">
        <x:v>simvastatin</x:v>
      </x:c>
      <x:c r="E12" s="37" t="str">
        <x:v>ต้องมีใน medications.code</x:v>
      </x:c>
    </x:row>
    <x:row r="13">
      <x:c r="A13" s="31" t="str">
        <x:v>drug_interactions.severity</x:v>
      </x:c>
      <x:c r="B13" s="37" t="str">
        <x:v>ระดับคัดกรอง</x:v>
      </x:c>
      <x:c r="C13" s="31" t="str">
        <x:v>interaction_severity</x:v>
      </x:c>
      <x:c r="D13" s="37" t="str">
        <x:v>severe</x:v>
      </x:c>
      <x:c r="E13" s="37" t="str">
        <x:v>moderate หรือ severe เท่านั้น</x:v>
      </x:c>
    </x:row>
    <x:row r="14">
      <x:c r="A14" s="31" t="str">
        <x:v>drug_interactions.title_th</x:v>
      </x:c>
      <x:c r="B14" s="37" t="str">
        <x:v>ข้อความความปลอดภัยตายตัว</x:v>
      </x:c>
      <x:c r="C14" s="31" t="str">
        <x:v>text</x:v>
      </x:c>
      <x:c r="D14" s="37" t="str">
        <x:v>ห้ามรับประทานยาคู่นี้ร่วมกัน</x:v>
      </x:c>
      <x:c r="E14" s="37" t="str">
        <x:v>ฐานข้อมูลบังคับข้อความ</x:v>
      </x:c>
    </x:row>
    <x:row r="15">
      <x:c r="A15" s="31" t="str">
        <x:v>drug_interactions.description_th</x:v>
      </x:c>
      <x:c r="B15" s="37" t="str">
        <x:v>ข้อความความปลอดภัยตายตัว</x:v>
      </x:c>
      <x:c r="C15" s="31" t="str">
        <x:v>text</x:v>
      </x:c>
      <x:c r="D15" s="37" t="str">
        <x:v>ระบบไม่แสดงรายละเอียดผลกระทบ...</x:v>
      </x:c>
      <x:c r="E15" s="37" t="str">
        <x:v>ห้ามเก็บกลไก อาการ หรือผลลัพธ์</x:v>
      </x:c>
    </x:row>
    <x:row r="16">
      <x:c r="A16" s="31" t="str">
        <x:v>drug_interactions.advice_th</x:v>
      </x:c>
      <x:c r="B16" s="37" t="str">
        <x:v>คำแนะนำความปลอดภัยตายตัว</x:v>
      </x:c>
      <x:c r="C16" s="31" t="str">
        <x:v>text</x:v>
      </x:c>
      <x:c r="D16" s="37" t="str">
        <x:v>ติดต่อแพทย์หรือเภสัชกร</x:v>
      </x:c>
      <x:c r="E16" s="37" t="str">
        <x:v>ฐานข้อมูลบังคับข้อความ</x:v>
      </x:c>
    </x:row>
    <x:row r="17">
      <x:c r="A17" s="31" t="str">
        <x:v>source_references</x:v>
      </x:c>
      <x:c r="B17" s="37" t="str">
        <x:v>รูปแบบใน Excel ชุดนี้</x:v>
      </x:c>
      <x:c r="C17" s="31" t="str">
        <x:v>JSON text for review</x:v>
      </x:c>
      <x:c r="D17" s="37" t="str">
        <x:v>["https://..."]</x:v>
      </x:c>
      <x:c r="E17" s="37" t="str">
        <x:v>SQL แปลงเป็น PostgreSQL text[]</x:v>
      </x:c>
    </x:row>
  </x:sheetData>
  <x:pageMargins left="0.7" right="0.7" top="0.75" bottom="0.75" header="0.3" footer="0.3"/>
  <x:tableParts count="1">
    <x:tablePart xmlns:r="http://schemas.openxmlformats.org/officeDocument/2006/relationships" r:id="R7526dd11b6c54b9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4" hidden="0" customWidth="1"/>
    <x:col min="2" max="2" width="16" hidden="0" customWidth="1"/>
    <x:col min="3" max="3" width="16" hidden="0" customWidth="1"/>
    <x:col min="4" max="4" width="16" hidden="0" customWidth="1"/>
  </x:cols>
  <x:sheetData>
    <x:row r="1" ht="32" customHeight="1">
      <x:c r="A1" s="40" t="str">
        <x:v>Automated Import QA Checks</x:v>
      </x:c>
      <x:c r="B1" s="40"/>
      <x:c r="C1" s="40"/>
      <x:c r="D1" s="40"/>
    </x:row>
    <x:row r="3" ht="28" customHeight="1">
      <x:c r="A3" s="16" t="str">
        <x:v>Check</x:v>
      </x:c>
      <x:c r="B3" s="17" t="str">
        <x:v>Result</x:v>
      </x:c>
      <x:c r="C3" s="17" t="str">
        <x:v>Expected</x:v>
      </x:c>
      <x:c r="D3" s="18" t="str">
        <x:v>Status</x:v>
      </x:c>
    </x:row>
    <x:row r="4">
      <x:c r="A4" s="7" t="str">
        <x:v>Source medication rows</x:v>
      </x:c>
      <x:c r="B4" s="19" t="n">
        <x:f>COUNTA('Medications_Source'!A2:A295)</x:f>
        <x:v>294</x:v>
      </x:c>
      <x:c r="C4" s="19" t="n">
        <x:v>294</x:v>
      </x:c>
      <x:c r="D4" s="9" t="str">
        <x:f>IF(B4=C4,"PASS","FAIL")</x:f>
        <x:v>PASS</x:v>
      </x:c>
    </x:row>
    <x:row r="5">
      <x:c r="A5" s="7" t="str">
        <x:v>Ready medication rows</x:v>
      </x:c>
      <x:c r="B5" s="19" t="n">
        <x:f>COUNTA('Medications_Ready'!A2:A280)</x:f>
        <x:v>279</x:v>
      </x:c>
      <x:c r="C5" s="19" t="n">
        <x:v>279</x:v>
      </x:c>
      <x:c r="D5" s="9" t="str">
        <x:f>IF(B5=C5,"PASS","FAIL")</x:f>
        <x:v>PASS</x:v>
      </x:c>
    </x:row>
    <x:row r="6">
      <x:c r="A6" s="7" t="str">
        <x:v>Excluded medication rows</x:v>
      </x:c>
      <x:c r="B6" s="19" t="n">
        <x:f>COUNTA('Excluded_15'!A2:A16)</x:f>
        <x:v>15</x:v>
      </x:c>
      <x:c r="C6" s="19" t="n">
        <x:v>15</x:v>
      </x:c>
      <x:c r="D6" s="9" t="str">
        <x:f>IF(B6=C6,"PASS","FAIL")</x:f>
        <x:v>PASS</x:v>
      </x:c>
    </x:row>
    <x:row r="7">
      <x:c r="A7" s="7" t="str">
        <x:v>Ready + excluded = source</x:v>
      </x:c>
      <x:c r="B7" s="19" t="n">
        <x:f>B5+B6</x:f>
        <x:v>294</x:v>
      </x:c>
      <x:c r="C7" s="19" t="n">
        <x:v>294</x:v>
      </x:c>
      <x:c r="D7" s="9" t="str">
        <x:f>IF(B7=C7,"PASS","FAIL")</x:f>
        <x:v>PASS</x:v>
      </x:c>
    </x:row>
    <x:row r="8">
      <x:c r="A8" s="7" t="str">
        <x:v>Duplicate ready medication codes</x:v>
      </x:c>
      <x:c r="B8" s="19" t="n">
        <x:f>SUMPRODUCT(--(COUNTIF('Medications_Ready'!A2:A280,'Medications_Ready'!A2:A280)&gt;1))/2</x:f>
        <x:v>0</x:v>
      </x:c>
      <x:c r="C8" s="19" t="n">
        <x:v>0</x:v>
      </x:c>
      <x:c r="D8" s="9" t="str">
        <x:f>IF(B8=C8,"PASS","FAIL")</x:f>
        <x:v>PASS</x:v>
      </x:c>
    </x:row>
    <x:row r="9">
      <x:c r="A9" s="7" t="str">
        <x:v>Ready medications not draft</x:v>
      </x:c>
      <x:c r="B9" s="19" t="n">
        <x:f>COUNTIF('Medications_Ready'!I2:I280,"&lt;&gt;draft")</x:f>
        <x:v>0</x:v>
      </x:c>
      <x:c r="C9" s="19" t="n">
        <x:v>0</x:v>
      </x:c>
      <x:c r="D9" s="9" t="str">
        <x:f>IF(B9=C9,"PASS","FAIL")</x:f>
        <x:v>PASS</x:v>
      </x:c>
    </x:row>
    <x:row r="10">
      <x:c r="A10" s="7" t="str">
        <x:v>Ready medications active=true</x:v>
      </x:c>
      <x:c r="B10" s="19" t="n">
        <x:f>COUNTIF('Medications_Ready'!G2:G280,TRUE)</x:f>
        <x:v>0</x:v>
      </x:c>
      <x:c r="C10" s="19" t="n">
        <x:v>0</x:v>
      </x:c>
      <x:c r="D10" s="9" t="str">
        <x:f>IF(B10=C10,"PASS","FAIL")</x:f>
        <x:v>PASS</x:v>
      </x:c>
    </x:row>
    <x:row r="11">
      <x:c r="A11" s="7" t="str">
        <x:v>Ready medications missing sources</x:v>
      </x:c>
      <x:c r="B11" s="19" t="n">
        <x:f>COUNTBLANK('Medications_Ready'!H2:H280)</x:f>
        <x:v>0</x:v>
      </x:c>
      <x:c r="C11" s="19" t="n">
        <x:v>0</x:v>
      </x:c>
      <x:c r="D11" s="9" t="str">
        <x:f>IF(B11=C11,"PASS","FAIL")</x:f>
        <x:v>PASS</x:v>
      </x:c>
    </x:row>
    <x:row r="12">
      <x:c r="A12" s="7" t="str">
        <x:v>Interaction rows</x:v>
      </x:c>
      <x:c r="B12" s="19" t="n">
        <x:f>COUNTA('Interactions_Ready'!A2:A48)</x:f>
        <x:v>47</x:v>
      </x:c>
      <x:c r="C12" s="19" t="n">
        <x:v>47</x:v>
      </x:c>
      <x:c r="D12" s="9" t="str">
        <x:f>IF(B12=C12,"PASS","FAIL")</x:f>
        <x:v>PASS</x:v>
      </x:c>
    </x:row>
    <x:row r="13">
      <x:c r="A13" s="7" t="str">
        <x:v>Duplicate interaction pairs</x:v>
      </x:c>
      <x:c r="B13" s="19" t="n">
        <x:f>SUMPRODUCT(--(COUNTIFS('Interactions_Ready'!A2:A48,'Interactions_Ready'!A2:A48,'Interactions_Ready'!B2:B48,'Interactions_Ready'!B2:B48)&gt;1))/2</x:f>
        <x:v>0</x:v>
      </x:c>
      <x:c r="C13" s="19" t="n">
        <x:v>0</x:v>
      </x:c>
      <x:c r="D13" s="9" t="str">
        <x:f>IF(B13=C13,"PASS","FAIL")</x:f>
        <x:v>PASS</x:v>
      </x:c>
    </x:row>
    <x:row r="14">
      <x:c r="A14" s="7" t="str">
        <x:v>Interactions not draft</x:v>
      </x:c>
      <x:c r="B14" s="19" t="n">
        <x:f>COUNTIF('Interactions_Ready'!G2:G48,"&lt;&gt;draft")</x:f>
        <x:v>0</x:v>
      </x:c>
      <x:c r="C14" s="19" t="n">
        <x:v>0</x:v>
      </x:c>
      <x:c r="D14" s="9" t="str">
        <x:f>IF(B14=C14,"PASS","FAIL")</x:f>
        <x:v>PASS</x:v>
      </x:c>
    </x:row>
    <x:row r="15">
      <x:c r="A15" s="10" t="str">
        <x:v>Interactions missing sources</x:v>
      </x:c>
      <x:c r="B15" s="20" t="n">
        <x:f>COUNTBLANK('Interactions_Ready'!H2:H48)</x:f>
        <x:v>0</x:v>
      </x:c>
      <x:c r="C15" s="20" t="n">
        <x:v>0</x:v>
      </x:c>
      <x:c r="D15" s="12" t="str">
        <x:f>IF(B15=C15,"PASS","FAIL")</x:f>
        <x:v>PASS</x:v>
      </x:c>
    </x:row>
  </x:sheetData>
  <x:mergeCells>
    <x:mergeCell ref="A1:D1"/>
  </x:mergeCells>
  <x:conditionalFormatting sqref="D4:D15">
    <x:cfRule type="containsText" dxfId="6" priority="1" operator="containsText" text="PASS"/>
    <x:cfRule type="containsText" dxfId="7" priority="2" operator="containsText" text="FAIL"/>
  </x:conditionalFormatting>
  <x:pageMargins left="0.7" right="0.7" top="0.75" bottom="0.75" header="0.3" footer="0.3"/>
</x:worksheet>
</file>